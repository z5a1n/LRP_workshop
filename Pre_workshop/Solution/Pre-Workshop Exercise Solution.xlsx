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rretttj\Desktop\LRP_workshop\Pre_workshop\Solution\"/>
    </mc:Choice>
  </mc:AlternateContent>
  <bookViews>
    <workbookView xWindow="0" yWindow="0" windowWidth="18765" windowHeight="9060" activeTab="6"/>
  </bookViews>
  <sheets>
    <sheet name="phi0" sheetId="1" r:id="rId1"/>
    <sheet name="SPR and YPR" sheetId="2" r:id="rId2"/>
    <sheet name="Curves and SPRx" sheetId="5" r:id="rId3"/>
    <sheet name="SSB at SPRx" sheetId="12" r:id="rId4"/>
    <sheet name="SRR and Yield" sheetId="6" r:id="rId5"/>
    <sheet name="MSY" sheetId="8" r:id="rId6"/>
    <sheet name="Solution" sheetId="13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113" i="6" l="1"/>
  <c r="AD112" i="6"/>
  <c r="AD111" i="6"/>
  <c r="AD110" i="6"/>
  <c r="AD109" i="6"/>
  <c r="AD108" i="6"/>
  <c r="AD107" i="6"/>
  <c r="AD106" i="6"/>
  <c r="AD105" i="6"/>
  <c r="AD104" i="6"/>
  <c r="AD103" i="6"/>
  <c r="AD102" i="6"/>
  <c r="AD101" i="6"/>
  <c r="AD100" i="6"/>
  <c r="AD99" i="6"/>
  <c r="AD98" i="6"/>
  <c r="AD97" i="6"/>
  <c r="AD96" i="6"/>
  <c r="AD95" i="6"/>
  <c r="AD94" i="6"/>
  <c r="AD93" i="6"/>
  <c r="AD92" i="6"/>
  <c r="AD91" i="6"/>
  <c r="AD90" i="6"/>
  <c r="AD89" i="6"/>
  <c r="AD88" i="6"/>
  <c r="AD87" i="6"/>
  <c r="AD86" i="6"/>
  <c r="AD85" i="6"/>
  <c r="AD84" i="6"/>
  <c r="AD83" i="6"/>
  <c r="AD82" i="6"/>
  <c r="AD81" i="6"/>
  <c r="AD80" i="6"/>
  <c r="AD79" i="6"/>
  <c r="AD78" i="6"/>
  <c r="AD77" i="6"/>
  <c r="AD76" i="6"/>
  <c r="AD75" i="6"/>
  <c r="AD74" i="6"/>
  <c r="AD73" i="6"/>
  <c r="AD72" i="6"/>
  <c r="AD71" i="6"/>
  <c r="AD70" i="6"/>
  <c r="AD69" i="6"/>
  <c r="AD68" i="6"/>
  <c r="AD67" i="6"/>
  <c r="AD66" i="6"/>
  <c r="AD65" i="6"/>
  <c r="AD64" i="6"/>
  <c r="AD63" i="6"/>
  <c r="AD62" i="6"/>
  <c r="AD61" i="6"/>
  <c r="AD60" i="6"/>
  <c r="AD59" i="6"/>
  <c r="AD58" i="6"/>
  <c r="AD57" i="6"/>
  <c r="AD56" i="6"/>
  <c r="AD55" i="6"/>
  <c r="AD54" i="6"/>
  <c r="AD53" i="6"/>
  <c r="AD52" i="6"/>
  <c r="AD51" i="6"/>
  <c r="AD50" i="6"/>
  <c r="AD49" i="6"/>
  <c r="AD48" i="6"/>
  <c r="AD47" i="6"/>
  <c r="AD46" i="6"/>
  <c r="AD45" i="6"/>
  <c r="AD44" i="6"/>
  <c r="AD43" i="6"/>
  <c r="AD42" i="6"/>
  <c r="AD41" i="6"/>
  <c r="AD40" i="6"/>
  <c r="AD39" i="6"/>
  <c r="AD38" i="6"/>
  <c r="AD37" i="6"/>
  <c r="AD36" i="6"/>
  <c r="AD35" i="6"/>
  <c r="AD34" i="6"/>
  <c r="AD33" i="6"/>
  <c r="AD32" i="6"/>
  <c r="AD31" i="6"/>
  <c r="AD30" i="6"/>
  <c r="AD29" i="6"/>
  <c r="AD28" i="6"/>
  <c r="AD27" i="6"/>
  <c r="AD26" i="6"/>
  <c r="AD25" i="6"/>
  <c r="AD24" i="6"/>
  <c r="AD23" i="6"/>
  <c r="AD22" i="6"/>
  <c r="AD21" i="6"/>
  <c r="AD20" i="6"/>
  <c r="AD19" i="6"/>
  <c r="AD18" i="6"/>
  <c r="AD17" i="6"/>
  <c r="AD16" i="6"/>
  <c r="AD15" i="6"/>
  <c r="AD14" i="6"/>
  <c r="AD13" i="6"/>
  <c r="AD12" i="6"/>
  <c r="AD11" i="6"/>
  <c r="AD10" i="6"/>
  <c r="AD9" i="6"/>
  <c r="AD8" i="6"/>
  <c r="AD7" i="6"/>
  <c r="AD6" i="6"/>
  <c r="AD5" i="6"/>
  <c r="AD4" i="6"/>
  <c r="AD3" i="6"/>
  <c r="AD2" i="6"/>
  <c r="AD60" i="8"/>
  <c r="AD61" i="8"/>
  <c r="AD62" i="8"/>
  <c r="AD63" i="8"/>
  <c r="AD64" i="8"/>
  <c r="AD65" i="8"/>
  <c r="AD66" i="8"/>
  <c r="AD67" i="8"/>
  <c r="AD68" i="8"/>
  <c r="AD69" i="8"/>
  <c r="AD70" i="8"/>
  <c r="AD71" i="8"/>
  <c r="AD72" i="8"/>
  <c r="AD73" i="8"/>
  <c r="AD74" i="8"/>
  <c r="AD75" i="8"/>
  <c r="AD76" i="8"/>
  <c r="AD77" i="8"/>
  <c r="AD78" i="8"/>
  <c r="AD79" i="8"/>
  <c r="AD80" i="8"/>
  <c r="AD81" i="8"/>
  <c r="AD82" i="8"/>
  <c r="AD83" i="8"/>
  <c r="AD84" i="8"/>
  <c r="AD85" i="8"/>
  <c r="AD86" i="8"/>
  <c r="AD87" i="8"/>
  <c r="AD88" i="8"/>
  <c r="AD89" i="8"/>
  <c r="AD90" i="8"/>
  <c r="AD91" i="8"/>
  <c r="AD92" i="8"/>
  <c r="AD93" i="8"/>
  <c r="AD94" i="8"/>
  <c r="AD95" i="8"/>
  <c r="AD96" i="8"/>
  <c r="AD97" i="8"/>
  <c r="AD98" i="8"/>
  <c r="AD99" i="8"/>
  <c r="AD100" i="8"/>
  <c r="AD101" i="8"/>
  <c r="AD102" i="8"/>
  <c r="AD103" i="8"/>
  <c r="AD104" i="8"/>
  <c r="AD105" i="8"/>
  <c r="AD106" i="8"/>
  <c r="AD107" i="8"/>
  <c r="AD108" i="8"/>
  <c r="AD109" i="8"/>
  <c r="AD110" i="8"/>
  <c r="AD111" i="8"/>
  <c r="AD112" i="8"/>
  <c r="AD113" i="8"/>
  <c r="G6" i="8"/>
  <c r="H6" i="8" s="1"/>
  <c r="I6" i="8" s="1"/>
  <c r="J6" i="8" s="1"/>
  <c r="K6" i="8" s="1"/>
  <c r="L6" i="8" s="1"/>
  <c r="M6" i="8" s="1"/>
  <c r="N6" i="8" s="1"/>
  <c r="G9" i="13"/>
  <c r="E15" i="8"/>
  <c r="E9" i="8"/>
  <c r="E13" i="8" s="1"/>
  <c r="F6" i="8"/>
  <c r="E15" i="6"/>
  <c r="E9" i="6"/>
  <c r="F10" i="6" s="1"/>
  <c r="F6" i="6"/>
  <c r="G6" i="6" s="1"/>
  <c r="E15" i="12"/>
  <c r="E9" i="12"/>
  <c r="E13" i="12" s="1"/>
  <c r="F6" i="12"/>
  <c r="G6" i="12" s="1"/>
  <c r="E9" i="5"/>
  <c r="E13" i="5" s="1"/>
  <c r="F6" i="5"/>
  <c r="G6" i="5" s="1"/>
  <c r="G6" i="2"/>
  <c r="H6" i="2" s="1"/>
  <c r="I6" i="2" s="1"/>
  <c r="J6" i="2" s="1"/>
  <c r="K6" i="2" s="1"/>
  <c r="L6" i="2" s="1"/>
  <c r="M6" i="2" s="1"/>
  <c r="N6" i="2" s="1"/>
  <c r="F10" i="8" l="1"/>
  <c r="G10" i="8" s="1"/>
  <c r="H10" i="8" s="1"/>
  <c r="I10" i="8" s="1"/>
  <c r="O6" i="8"/>
  <c r="F13" i="6"/>
  <c r="G10" i="6"/>
  <c r="H6" i="6"/>
  <c r="I6" i="6" s="1"/>
  <c r="J6" i="6" s="1"/>
  <c r="K6" i="6" s="1"/>
  <c r="L6" i="6" s="1"/>
  <c r="M6" i="6" s="1"/>
  <c r="N6" i="6" s="1"/>
  <c r="O6" i="6" s="1"/>
  <c r="E13" i="6"/>
  <c r="H6" i="12"/>
  <c r="I6" i="12" s="1"/>
  <c r="J6" i="12" s="1"/>
  <c r="K6" i="12" s="1"/>
  <c r="L6" i="12" s="1"/>
  <c r="M6" i="12" s="1"/>
  <c r="N6" i="12" s="1"/>
  <c r="O6" i="12" s="1"/>
  <c r="F10" i="12"/>
  <c r="H6" i="5"/>
  <c r="I6" i="5" s="1"/>
  <c r="J6" i="5" s="1"/>
  <c r="K6" i="5" s="1"/>
  <c r="L6" i="5" s="1"/>
  <c r="M6" i="5" s="1"/>
  <c r="N6" i="5" s="1"/>
  <c r="O6" i="5" s="1"/>
  <c r="E7" i="5"/>
  <c r="F10" i="5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1" i="8"/>
  <c r="M262" i="8"/>
  <c r="M263" i="8"/>
  <c r="M264" i="8"/>
  <c r="M265" i="8"/>
  <c r="M266" i="8"/>
  <c r="M267" i="8"/>
  <c r="M268" i="8"/>
  <c r="M269" i="8"/>
  <c r="M270" i="8"/>
  <c r="M271" i="8"/>
  <c r="M272" i="8"/>
  <c r="M273" i="8"/>
  <c r="M274" i="8"/>
  <c r="M275" i="8"/>
  <c r="M276" i="8"/>
  <c r="M277" i="8"/>
  <c r="M278" i="8"/>
  <c r="M279" i="8"/>
  <c r="M280" i="8"/>
  <c r="M281" i="8"/>
  <c r="M282" i="8"/>
  <c r="M283" i="8"/>
  <c r="M284" i="8"/>
  <c r="M285" i="8"/>
  <c r="M286" i="8"/>
  <c r="M287" i="8"/>
  <c r="M288" i="8"/>
  <c r="M289" i="8"/>
  <c r="M290" i="8"/>
  <c r="M291" i="8"/>
  <c r="M292" i="8"/>
  <c r="M293" i="8"/>
  <c r="M294" i="8"/>
  <c r="M295" i="8"/>
  <c r="M296" i="8"/>
  <c r="M297" i="8"/>
  <c r="M298" i="8"/>
  <c r="M299" i="8"/>
  <c r="M300" i="8"/>
  <c r="M301" i="8"/>
  <c r="M302" i="8"/>
  <c r="M303" i="8"/>
  <c r="M304" i="8"/>
  <c r="M305" i="8"/>
  <c r="M306" i="8"/>
  <c r="M307" i="8"/>
  <c r="M308" i="8"/>
  <c r="M309" i="8"/>
  <c r="M310" i="8"/>
  <c r="M311" i="8"/>
  <c r="M312" i="8"/>
  <c r="M313" i="8"/>
  <c r="M314" i="8"/>
  <c r="M315" i="8"/>
  <c r="M316" i="8"/>
  <c r="M317" i="8"/>
  <c r="M318" i="8"/>
  <c r="M319" i="8"/>
  <c r="M320" i="8"/>
  <c r="M321" i="8"/>
  <c r="M322" i="8"/>
  <c r="M323" i="8"/>
  <c r="M324" i="8"/>
  <c r="M325" i="8"/>
  <c r="M326" i="8"/>
  <c r="M327" i="8"/>
  <c r="M328" i="8"/>
  <c r="M329" i="8"/>
  <c r="M330" i="8"/>
  <c r="M331" i="8"/>
  <c r="M332" i="8"/>
  <c r="M333" i="8"/>
  <c r="M334" i="8"/>
  <c r="M335" i="8"/>
  <c r="M336" i="8"/>
  <c r="M337" i="8"/>
  <c r="M338" i="8"/>
  <c r="M339" i="8"/>
  <c r="M340" i="8"/>
  <c r="M341" i="8"/>
  <c r="M342" i="8"/>
  <c r="M343" i="8"/>
  <c r="M344" i="8"/>
  <c r="M345" i="8"/>
  <c r="M346" i="8"/>
  <c r="M347" i="8"/>
  <c r="M348" i="8"/>
  <c r="M349" i="8"/>
  <c r="M350" i="8"/>
  <c r="M351" i="8"/>
  <c r="M352" i="8"/>
  <c r="M353" i="8"/>
  <c r="M354" i="8"/>
  <c r="M355" i="8"/>
  <c r="M356" i="8"/>
  <c r="M357" i="8"/>
  <c r="M358" i="8"/>
  <c r="M359" i="8"/>
  <c r="M360" i="8"/>
  <c r="M361" i="8"/>
  <c r="M362" i="8"/>
  <c r="M363" i="8"/>
  <c r="M364" i="8"/>
  <c r="M365" i="8"/>
  <c r="M366" i="8"/>
  <c r="M367" i="8"/>
  <c r="M368" i="8"/>
  <c r="M369" i="8"/>
  <c r="M370" i="8"/>
  <c r="M371" i="8"/>
  <c r="M372" i="8"/>
  <c r="M373" i="8"/>
  <c r="M374" i="8"/>
  <c r="M375" i="8"/>
  <c r="M376" i="8"/>
  <c r="M377" i="8"/>
  <c r="M378" i="8"/>
  <c r="M379" i="8"/>
  <c r="M380" i="8"/>
  <c r="M381" i="8"/>
  <c r="M382" i="8"/>
  <c r="M383" i="8"/>
  <c r="M384" i="8"/>
  <c r="M385" i="8"/>
  <c r="M386" i="8"/>
  <c r="M387" i="8"/>
  <c r="M388" i="8"/>
  <c r="M389" i="8"/>
  <c r="M390" i="8"/>
  <c r="M391" i="8"/>
  <c r="M392" i="8"/>
  <c r="M393" i="8"/>
  <c r="M394" i="8"/>
  <c r="M395" i="8"/>
  <c r="M396" i="8"/>
  <c r="M397" i="8"/>
  <c r="M398" i="8"/>
  <c r="M399" i="8"/>
  <c r="M400" i="8"/>
  <c r="M401" i="8"/>
  <c r="M402" i="8"/>
  <c r="M403" i="8"/>
  <c r="M404" i="8"/>
  <c r="M405" i="8"/>
  <c r="M406" i="8"/>
  <c r="M407" i="8"/>
  <c r="M408" i="8"/>
  <c r="M409" i="8"/>
  <c r="M410" i="8"/>
  <c r="M411" i="8"/>
  <c r="M412" i="8"/>
  <c r="M413" i="8"/>
  <c r="M414" i="8"/>
  <c r="M415" i="8"/>
  <c r="M416" i="8"/>
  <c r="M417" i="8"/>
  <c r="M418" i="8"/>
  <c r="M419" i="8"/>
  <c r="M420" i="8"/>
  <c r="M421" i="8"/>
  <c r="M422" i="8"/>
  <c r="M423" i="8"/>
  <c r="M424" i="8"/>
  <c r="M425" i="8"/>
  <c r="M426" i="8"/>
  <c r="M427" i="8"/>
  <c r="M428" i="8"/>
  <c r="M429" i="8"/>
  <c r="M430" i="8"/>
  <c r="M431" i="8"/>
  <c r="M432" i="8"/>
  <c r="M433" i="8"/>
  <c r="M434" i="8"/>
  <c r="M435" i="8"/>
  <c r="M436" i="8"/>
  <c r="M437" i="8"/>
  <c r="M438" i="8"/>
  <c r="M439" i="8"/>
  <c r="M440" i="8"/>
  <c r="M441" i="8"/>
  <c r="M442" i="8"/>
  <c r="M443" i="8"/>
  <c r="M444" i="8"/>
  <c r="M445" i="8"/>
  <c r="M446" i="8"/>
  <c r="M447" i="8"/>
  <c r="M448" i="8"/>
  <c r="M449" i="8"/>
  <c r="M450" i="8"/>
  <c r="M451" i="8"/>
  <c r="M452" i="8"/>
  <c r="M453" i="8"/>
  <c r="M454" i="8"/>
  <c r="M455" i="8"/>
  <c r="M456" i="8"/>
  <c r="M457" i="8"/>
  <c r="M458" i="8"/>
  <c r="M459" i="8"/>
  <c r="M460" i="8"/>
  <c r="M461" i="8"/>
  <c r="M462" i="8"/>
  <c r="M463" i="8"/>
  <c r="M464" i="8"/>
  <c r="M465" i="8"/>
  <c r="M466" i="8"/>
  <c r="M467" i="8"/>
  <c r="M468" i="8"/>
  <c r="M469" i="8"/>
  <c r="M470" i="8"/>
  <c r="M471" i="8"/>
  <c r="M472" i="8"/>
  <c r="M473" i="8"/>
  <c r="M474" i="8"/>
  <c r="M475" i="8"/>
  <c r="M476" i="8"/>
  <c r="M477" i="8"/>
  <c r="M478" i="8"/>
  <c r="M479" i="8"/>
  <c r="M480" i="8"/>
  <c r="M481" i="8"/>
  <c r="M482" i="8"/>
  <c r="M483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43" i="8"/>
  <c r="AA44" i="6"/>
  <c r="Y43" i="6"/>
  <c r="X46" i="6" s="1"/>
  <c r="X44" i="6"/>
  <c r="X45" i="6"/>
  <c r="D27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34" i="12"/>
  <c r="C27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X46" i="8"/>
  <c r="X44" i="8"/>
  <c r="AA44" i="8"/>
  <c r="F6" i="2"/>
  <c r="H13" i="8" l="1"/>
  <c r="G13" i="8"/>
  <c r="I13" i="8"/>
  <c r="J10" i="8"/>
  <c r="F13" i="8"/>
  <c r="E7" i="8"/>
  <c r="E7" i="6"/>
  <c r="G13" i="6"/>
  <c r="H10" i="6"/>
  <c r="F13" i="12"/>
  <c r="G10" i="12"/>
  <c r="E7" i="12"/>
  <c r="F13" i="5"/>
  <c r="G10" i="5"/>
  <c r="O6" i="2"/>
  <c r="E23" i="12"/>
  <c r="L31" i="12"/>
  <c r="K10" i="8" l="1"/>
  <c r="J13" i="8"/>
  <c r="H13" i="6"/>
  <c r="I10" i="6"/>
  <c r="G13" i="12"/>
  <c r="H10" i="12"/>
  <c r="G13" i="5"/>
  <c r="H10" i="5"/>
  <c r="B21" i="12"/>
  <c r="E27" i="12" s="1"/>
  <c r="C4" i="13" s="1"/>
  <c r="L10" i="8" l="1"/>
  <c r="K13" i="8"/>
  <c r="I13" i="6"/>
  <c r="J10" i="6"/>
  <c r="H13" i="12"/>
  <c r="I10" i="12"/>
  <c r="H13" i="5"/>
  <c r="I10" i="5"/>
  <c r="E17" i="8"/>
  <c r="M10" i="8" l="1"/>
  <c r="L13" i="8"/>
  <c r="E18" i="8"/>
  <c r="G10" i="13"/>
  <c r="J13" i="6"/>
  <c r="K10" i="6"/>
  <c r="I13" i="12"/>
  <c r="J10" i="12"/>
  <c r="I13" i="5"/>
  <c r="J10" i="5"/>
  <c r="N10" i="8" l="1"/>
  <c r="N13" i="8" s="1"/>
  <c r="M13" i="8"/>
  <c r="E19" i="8"/>
  <c r="G11" i="13"/>
  <c r="C5" i="13"/>
  <c r="K13" i="6"/>
  <c r="L10" i="6"/>
  <c r="J13" i="12"/>
  <c r="K10" i="12"/>
  <c r="J13" i="5"/>
  <c r="K10" i="5"/>
  <c r="AA45" i="8" l="1"/>
  <c r="C3" i="13"/>
  <c r="L13" i="6"/>
  <c r="M10" i="6"/>
  <c r="K13" i="12"/>
  <c r="L10" i="12"/>
  <c r="K13" i="5"/>
  <c r="L10" i="5"/>
  <c r="M13" i="6" l="1"/>
  <c r="N10" i="6"/>
  <c r="L13" i="12"/>
  <c r="M10" i="12"/>
  <c r="L13" i="5"/>
  <c r="M10" i="5"/>
  <c r="O10" i="8" l="1"/>
  <c r="N13" i="6"/>
  <c r="O10" i="6"/>
  <c r="M13" i="12"/>
  <c r="N10" i="12"/>
  <c r="M13" i="5"/>
  <c r="N10" i="5"/>
  <c r="O13" i="8" l="1"/>
  <c r="E14" i="8" s="1"/>
  <c r="C43" i="8" s="1"/>
  <c r="E11" i="8"/>
  <c r="E12" i="8" s="1"/>
  <c r="B43" i="8" s="1"/>
  <c r="O13" i="6"/>
  <c r="E14" i="6" s="1"/>
  <c r="E11" i="6"/>
  <c r="E12" i="6" s="1"/>
  <c r="O10" i="12"/>
  <c r="N13" i="12"/>
  <c r="N13" i="5"/>
  <c r="O10" i="5"/>
  <c r="E20" i="8" l="1"/>
  <c r="E21" i="8" s="1"/>
  <c r="F43" i="8" s="1"/>
  <c r="D43" i="8"/>
  <c r="O13" i="12"/>
  <c r="E14" i="12" s="1"/>
  <c r="C33" i="12" s="1"/>
  <c r="E11" i="12"/>
  <c r="O13" i="5"/>
  <c r="E14" i="5" s="1"/>
  <c r="C29" i="5" s="1"/>
  <c r="E11" i="5"/>
  <c r="E12" i="5" s="1"/>
  <c r="B29" i="5" s="1"/>
  <c r="E43" i="8" l="1"/>
  <c r="E22" i="8"/>
  <c r="G43" i="8" s="1"/>
  <c r="E25" i="8" s="1"/>
  <c r="E24" i="8" s="1"/>
  <c r="E26" i="8" s="1"/>
  <c r="E12" i="12"/>
  <c r="B33" i="12" s="1"/>
  <c r="D33" i="12"/>
  <c r="X45" i="8"/>
  <c r="E17" i="6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30" i="5"/>
  <c r="Y45" i="8" l="1"/>
  <c r="C2" i="13"/>
  <c r="Y44" i="8"/>
  <c r="E18" i="6"/>
  <c r="E19" i="6" s="1"/>
  <c r="AA45" i="6" s="1"/>
  <c r="L27" i="5"/>
  <c r="B21" i="5" s="1"/>
  <c r="AD3" i="8" l="1"/>
  <c r="AD2" i="8" l="1"/>
  <c r="AD53" i="8"/>
  <c r="AD14" i="8"/>
  <c r="AD49" i="8"/>
  <c r="AD38" i="8"/>
  <c r="AD11" i="8"/>
  <c r="AD32" i="8"/>
  <c r="AD41" i="8"/>
  <c r="AD20" i="8"/>
  <c r="AD31" i="8"/>
  <c r="AD42" i="8"/>
  <c r="AD10" i="8"/>
  <c r="AD39" i="8"/>
  <c r="AD23" i="8"/>
  <c r="AD34" i="8"/>
  <c r="AD45" i="8"/>
  <c r="AD56" i="8"/>
  <c r="AD30" i="8"/>
  <c r="AD52" i="8"/>
  <c r="AD47" i="8"/>
  <c r="AD46" i="8"/>
  <c r="AD7" i="8"/>
  <c r="AD27" i="8"/>
  <c r="AD54" i="8"/>
  <c r="AD57" i="8"/>
  <c r="AD9" i="8"/>
  <c r="AD6" i="8"/>
  <c r="AD25" i="8"/>
  <c r="AD35" i="8"/>
  <c r="AD17" i="8"/>
  <c r="AD5" i="8"/>
  <c r="AD50" i="8"/>
  <c r="AD51" i="8"/>
  <c r="AD16" i="8"/>
  <c r="AD59" i="8"/>
  <c r="AD44" i="8"/>
  <c r="AD37" i="8"/>
  <c r="AD15" i="8"/>
  <c r="AD33" i="8"/>
  <c r="AD18" i="8"/>
  <c r="AD43" i="8"/>
  <c r="AD19" i="8"/>
  <c r="AD29" i="8"/>
  <c r="AD48" i="8"/>
  <c r="AD8" i="8"/>
  <c r="AD40" i="8"/>
  <c r="AD28" i="8"/>
  <c r="AD13" i="8"/>
  <c r="AD24" i="8"/>
  <c r="AD21" i="8"/>
  <c r="AD4" i="8"/>
  <c r="AD26" i="8"/>
  <c r="AD58" i="8"/>
  <c r="AD36" i="8"/>
  <c r="AD55" i="8"/>
  <c r="AD22" i="8"/>
  <c r="AD12" i="8"/>
  <c r="E20" i="6" l="1"/>
  <c r="Y44" i="6" s="1"/>
  <c r="E21" i="6" l="1"/>
  <c r="Y45" i="6" s="1"/>
  <c r="E22" i="6"/>
  <c r="E9" i="2" l="1"/>
  <c r="E13" i="2" l="1"/>
  <c r="F10" i="2"/>
  <c r="G10" i="2" s="1"/>
  <c r="H10" i="2" l="1"/>
  <c r="G13" i="2"/>
  <c r="F13" i="2"/>
  <c r="F6" i="1"/>
  <c r="I10" i="2" l="1"/>
  <c r="H13" i="2"/>
  <c r="E7" i="2"/>
  <c r="G6" i="1"/>
  <c r="J10" i="2" l="1"/>
  <c r="I13" i="2"/>
  <c r="H6" i="1"/>
  <c r="I6" i="1" s="1"/>
  <c r="J6" i="1" s="1"/>
  <c r="K6" i="1" s="1"/>
  <c r="L6" i="1" s="1"/>
  <c r="M6" i="1" s="1"/>
  <c r="N6" i="1" s="1"/>
  <c r="K10" i="2" l="1"/>
  <c r="J13" i="2"/>
  <c r="O6" i="1"/>
  <c r="E7" i="1" s="1"/>
  <c r="L10" i="2" l="1"/>
  <c r="K13" i="2"/>
  <c r="M10" i="2" l="1"/>
  <c r="L13" i="2"/>
  <c r="N10" i="2" l="1"/>
  <c r="M13" i="2"/>
  <c r="N13" i="2" l="1"/>
  <c r="O10" i="2"/>
  <c r="O13" i="2" s="1"/>
  <c r="E14" i="2" s="1"/>
  <c r="E11" i="2" l="1"/>
  <c r="E12" i="2" s="1"/>
</calcChain>
</file>

<file path=xl/sharedStrings.xml><?xml version="1.0" encoding="utf-8"?>
<sst xmlns="http://schemas.openxmlformats.org/spreadsheetml/2006/main" count="419" uniqueCount="117">
  <si>
    <t>Parameter</t>
  </si>
  <si>
    <t>At-age - Biological Data (estimated)</t>
  </si>
  <si>
    <t>11+</t>
  </si>
  <si>
    <t>units</t>
  </si>
  <si>
    <t>Vulnerability (selectivity)</t>
  </si>
  <si>
    <t>-</t>
  </si>
  <si>
    <t>Proportion mature</t>
  </si>
  <si>
    <t>M</t>
  </si>
  <si>
    <t>Unfished survivorship</t>
  </si>
  <si>
    <t>M_age</t>
  </si>
  <si>
    <t>Equilibrium survivorship-at-age:</t>
  </si>
  <si>
    <t>Unfished spawning biomass (or eggs) per recruit</t>
  </si>
  <si>
    <t>w_age</t>
  </si>
  <si>
    <t>m_age</t>
  </si>
  <si>
    <t>v_age</t>
  </si>
  <si>
    <t>Equilibrium spawning biomass per recruit:</t>
  </si>
  <si>
    <t>Comments</t>
  </si>
  <si>
    <t>unfished so use F=0</t>
  </si>
  <si>
    <t>Fished survivorship</t>
  </si>
  <si>
    <t>Fished spawning biomass (or eggs) per recruit</t>
  </si>
  <si>
    <t>F</t>
  </si>
  <si>
    <t>Fishing mortality rate</t>
  </si>
  <si>
    <r>
      <rPr>
        <sz val="11"/>
        <color theme="1"/>
        <rFont val="Calibri"/>
        <family val="2"/>
      </rPr>
      <t>φ</t>
    </r>
    <r>
      <rPr>
        <vertAlign val="subscript"/>
        <sz val="11"/>
        <color theme="1"/>
        <rFont val="Calibri"/>
        <family val="2"/>
        <scheme val="minor"/>
      </rPr>
      <t>0</t>
    </r>
  </si>
  <si>
    <r>
      <t>φ</t>
    </r>
    <r>
      <rPr>
        <vertAlign val="subscript"/>
        <sz val="11"/>
        <color theme="1"/>
        <rFont val="Calibri"/>
        <family val="2"/>
        <scheme val="minor"/>
      </rPr>
      <t>F</t>
    </r>
  </si>
  <si>
    <r>
      <t>l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_age</t>
    </r>
  </si>
  <si>
    <r>
      <t>l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_age</t>
    </r>
  </si>
  <si>
    <t>SPR</t>
  </si>
  <si>
    <t>Weight-at-age</t>
  </si>
  <si>
    <t>Steepness</t>
  </si>
  <si>
    <t>h</t>
  </si>
  <si>
    <t>R0</t>
  </si>
  <si>
    <t>Beverton-Holt a</t>
  </si>
  <si>
    <t>Beverton-Holt b</t>
  </si>
  <si>
    <t>a</t>
  </si>
  <si>
    <t>b</t>
  </si>
  <si>
    <r>
      <t>Beverton-Holt SRR (parameterized in terms of h and R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):</t>
    </r>
  </si>
  <si>
    <t>Beverton-Holt SRR (parameterized in terms of a and b):</t>
  </si>
  <si>
    <t>Note:</t>
  </si>
  <si>
    <r>
      <t>f</t>
    </r>
    <r>
      <rPr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= relative fecundity (eggs per units mass). A common assumption is fecundity is proportional to spawning biomass.</t>
    </r>
  </si>
  <si>
    <t>See Miller and Brooks (2021) for more details</t>
  </si>
  <si>
    <t xml:space="preserve">https://onlinelibrary.wiley.com/doi/full/10.1111/faf.12534 </t>
  </si>
  <si>
    <t>1. Calculate unfished spawning biomass per recruit (phi0)</t>
  </si>
  <si>
    <t>Equilibrium eggs  per recruit:</t>
  </si>
  <si>
    <t>User defined: estimated from biological sampling</t>
  </si>
  <si>
    <t>User defined: model assumption</t>
  </si>
  <si>
    <t xml:space="preserve">Start with F = </t>
  </si>
  <si>
    <t>User defined: Model output</t>
  </si>
  <si>
    <t>Spawning Potential Ratio:</t>
  </si>
  <si>
    <r>
      <t>v</t>
    </r>
    <r>
      <rPr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= vulnerability-at-age</t>
    </r>
  </si>
  <si>
    <t>Yield Per Recruit :</t>
  </si>
  <si>
    <r>
      <t xml:space="preserve">Ratio of (spawning biomass per recruit in the </t>
    </r>
    <r>
      <rPr>
        <u/>
        <sz val="11"/>
        <color theme="1"/>
        <rFont val="Calibri"/>
        <family val="2"/>
        <scheme val="minor"/>
      </rPr>
      <t xml:space="preserve">fished </t>
    </r>
    <r>
      <rPr>
        <sz val="11"/>
        <color theme="1"/>
        <rFont val="Calibri"/>
        <family val="2"/>
        <scheme val="minor"/>
      </rPr>
      <t xml:space="preserve">state) to (spawning biomass per recruit in the </t>
    </r>
    <r>
      <rPr>
        <u/>
        <sz val="11"/>
        <color theme="1"/>
        <rFont val="Calibri"/>
        <family val="2"/>
        <scheme val="minor"/>
      </rPr>
      <t>unfished</t>
    </r>
    <r>
      <rPr>
        <sz val="11"/>
        <color theme="1"/>
        <rFont val="Calibri"/>
        <family val="2"/>
        <scheme val="minor"/>
      </rPr>
      <t xml:space="preserve"> state)</t>
    </r>
  </si>
  <si>
    <t>Yield per recruit</t>
  </si>
  <si>
    <t>Spawning potential ratio</t>
  </si>
  <si>
    <t>YPR</t>
  </si>
  <si>
    <t>YPR_age</t>
  </si>
  <si>
    <t>Yield per recruit-at-age</t>
  </si>
  <si>
    <t>2. Calculate spawning biomass per recruit for various F</t>
  </si>
  <si>
    <t>4. Estimate F at X% SPR</t>
  </si>
  <si>
    <t>X =</t>
  </si>
  <si>
    <t>%</t>
  </si>
  <si>
    <t>F=</t>
  </si>
  <si>
    <t>SPR-X</t>
  </si>
  <si>
    <t>min SPR-X</t>
  </si>
  <si>
    <t>3. Add what-if analysis to calculate SPR and YPR for various F</t>
  </si>
  <si>
    <r>
      <t>A B-H SRR parameterized using h and R0 and be reparmeterized in terms of a and b assuming an equilibrium unfished spawning biomass per recruit (φ</t>
    </r>
    <r>
      <rPr>
        <vertAlign val="subscript"/>
        <sz val="10"/>
        <color theme="1"/>
        <rFont val="Calibri"/>
        <family val="2"/>
        <scheme val="minor"/>
      </rPr>
      <t>0</t>
    </r>
    <r>
      <rPr>
        <sz val="10"/>
        <color theme="1"/>
        <rFont val="Calibri"/>
        <family val="2"/>
        <scheme val="minor"/>
      </rPr>
      <t>)</t>
    </r>
  </si>
  <si>
    <t>Recruitment (10^9)</t>
  </si>
  <si>
    <t>SSB (kt)</t>
  </si>
  <si>
    <t>kt</t>
  </si>
  <si>
    <r>
      <t>SSB</t>
    </r>
    <r>
      <rPr>
        <vertAlign val="subscript"/>
        <sz val="11"/>
        <color theme="1"/>
        <rFont val="Calibri"/>
        <family val="2"/>
        <scheme val="minor"/>
      </rPr>
      <t>0</t>
    </r>
  </si>
  <si>
    <t>Equilibrium unfished recruitment</t>
  </si>
  <si>
    <t>Equilibrium fished recruitment</t>
  </si>
  <si>
    <t>Equilibrium unfished SSB</t>
  </si>
  <si>
    <r>
      <t>Eq_rec</t>
    </r>
    <r>
      <rPr>
        <vertAlign val="subscript"/>
        <sz val="11"/>
        <color theme="1"/>
        <rFont val="Calibri"/>
        <family val="2"/>
        <scheme val="minor"/>
      </rPr>
      <t>F</t>
    </r>
  </si>
  <si>
    <t>Equilibrium fished SSB</t>
  </si>
  <si>
    <r>
      <t>Eq_SSB</t>
    </r>
    <r>
      <rPr>
        <vertAlign val="subscript"/>
        <sz val="11"/>
        <color theme="1"/>
        <rFont val="Calibri"/>
        <family val="2"/>
        <scheme val="minor"/>
      </rPr>
      <t>F</t>
    </r>
  </si>
  <si>
    <t>Yield</t>
  </si>
  <si>
    <t>MSY</t>
  </si>
  <si>
    <r>
      <t>F</t>
    </r>
    <r>
      <rPr>
        <vertAlign val="subscript"/>
        <sz val="11"/>
        <color theme="1"/>
        <rFont val="Calibri"/>
        <family val="2"/>
        <scheme val="minor"/>
      </rPr>
      <t>MSY</t>
    </r>
  </si>
  <si>
    <r>
      <t>SSB</t>
    </r>
    <r>
      <rPr>
        <vertAlign val="subscript"/>
        <sz val="11"/>
        <color theme="1"/>
        <rFont val="Calibri"/>
        <family val="2"/>
        <scheme val="minor"/>
      </rPr>
      <t>MSY</t>
    </r>
  </si>
  <si>
    <t>Fishing mortality at MSY</t>
  </si>
  <si>
    <r>
      <t>Equilibrium SSB</t>
    </r>
    <r>
      <rPr>
        <vertAlign val="subscript"/>
        <sz val="11"/>
        <color theme="1"/>
        <rFont val="Calibri"/>
        <family val="2"/>
        <scheme val="minor"/>
      </rPr>
      <t>MSY</t>
    </r>
  </si>
  <si>
    <r>
      <t>Note: h depends on φ</t>
    </r>
    <r>
      <rPr>
        <vertAlign val="subscript"/>
        <sz val="10"/>
        <color theme="1"/>
        <rFont val="Calibri"/>
        <family val="2"/>
        <scheme val="minor"/>
      </rPr>
      <t>0</t>
    </r>
    <r>
      <rPr>
        <sz val="10"/>
        <color theme="1"/>
        <rFont val="Calibri"/>
        <family val="2"/>
        <scheme val="minor"/>
      </rPr>
      <t xml:space="preserve"> (the equilibrium unfished spawning biomass per recruit). The term "equilibrium" is key because φ</t>
    </r>
    <r>
      <rPr>
        <vertAlign val="subscript"/>
        <sz val="10"/>
        <color theme="1"/>
        <rFont val="Calibri"/>
        <family val="2"/>
        <scheme val="minor"/>
      </rPr>
      <t>0</t>
    </r>
    <r>
      <rPr>
        <sz val="10"/>
        <color theme="1"/>
        <rFont val="Calibri"/>
        <family val="2"/>
        <scheme val="minor"/>
      </rPr>
      <t xml:space="preserve"> depends on weight-at-age, maturity-at-age, and M</t>
    </r>
  </si>
  <si>
    <t>Used to estimate F at X% SPR</t>
  </si>
  <si>
    <t>Bha</t>
  </si>
  <si>
    <t>BHb</t>
  </si>
  <si>
    <t>kg</t>
  </si>
  <si>
    <t>kg/recruit</t>
  </si>
  <si>
    <t>User defined: needed to estiamte equilibrium SSB at F at X% SPR</t>
  </si>
  <si>
    <t>What if analysis to calculate SPR and YPR for different F</t>
  </si>
  <si>
    <t>10^6 recruits</t>
  </si>
  <si>
    <t>recruit/kg</t>
  </si>
  <si>
    <t>/kg</t>
  </si>
  <si>
    <t>Eq_SSBF</t>
  </si>
  <si>
    <t>Eq_recF</t>
  </si>
  <si>
    <t>What if analysis for different F</t>
  </si>
  <si>
    <t>8. Add what-if analysis to calculate Yield for various F and estimate equilibrium MSY reference points</t>
  </si>
  <si>
    <t>SSB0</t>
  </si>
  <si>
    <t>R</t>
  </si>
  <si>
    <t>Equilibrium fished SSB (no stock recruitment relationship)</t>
  </si>
  <si>
    <t>Equilibrium unfished recruitment or median recruitment (no stock recruitment relationship)</t>
  </si>
  <si>
    <t>5. Estimate Equilibrium SSB at F at X% SPR (no stock recruitment relationship)</t>
  </si>
  <si>
    <r>
      <t>6. Define SRR from steepness (h) and equilibrium unfished recruitment (R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</t>
    </r>
  </si>
  <si>
    <t>7. Calculate equilbrium fished recruitment and equilibrium fished SSB</t>
  </si>
  <si>
    <r>
      <t>6. Add a B-H SRR from steepness (h) and equilibrium unfished recruitment (R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</t>
    </r>
  </si>
  <si>
    <t>F corresponding to max yield</t>
  </si>
  <si>
    <t>Equilibrium SSB from fishing at Fmsy</t>
  </si>
  <si>
    <t>Max yield from what-if analysis table</t>
  </si>
  <si>
    <t>Biomass units come from product of weight-at-age and units of R0</t>
  </si>
  <si>
    <t>Biomass units come from product of weight-at-age and units of R</t>
  </si>
  <si>
    <t>Metric</t>
  </si>
  <si>
    <t>Value</t>
  </si>
  <si>
    <t>Units</t>
  </si>
  <si>
    <r>
      <t>Equilibrium SSB at F</t>
    </r>
    <r>
      <rPr>
        <vertAlign val="subscript"/>
        <sz val="11"/>
        <color theme="1"/>
        <rFont val="Calibri"/>
        <family val="2"/>
        <scheme val="minor"/>
      </rPr>
      <t>40%</t>
    </r>
    <r>
      <rPr>
        <sz val="11"/>
        <color theme="1"/>
        <rFont val="Calibri"/>
        <family val="2"/>
        <scheme val="minor"/>
      </rPr>
      <t xml:space="preserve"> (assuming no stock recruitment relationship)</t>
    </r>
  </si>
  <si>
    <r>
      <t>SSB at 50% R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(from stock recruitment relationship)</t>
    </r>
  </si>
  <si>
    <t>50% R0</t>
  </si>
  <si>
    <r>
      <t>Equilibrium SSB</t>
    </r>
    <r>
      <rPr>
        <vertAlign val="subscript"/>
        <sz val="11"/>
        <color theme="1"/>
        <rFont val="Calibri"/>
        <family val="2"/>
        <scheme val="minor"/>
      </rPr>
      <t>0</t>
    </r>
  </si>
  <si>
    <t>Changed units to Millions because units of weight are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</si>
</sst>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"/>
  </numFmts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bscript"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0" xfId="0" applyFont="1"/>
    <xf numFmtId="0" fontId="1" fillId="2" borderId="0" xfId="0" applyFont="1" applyFill="1" applyAlignment="1">
      <alignment vertical="center"/>
    </xf>
    <xf numFmtId="0" fontId="1" fillId="0" borderId="0" xfId="0" applyFont="1"/>
    <xf numFmtId="0" fontId="0" fillId="0" borderId="0" xfId="0" quotePrefix="1" applyFont="1"/>
    <xf numFmtId="0" fontId="1" fillId="0" borderId="0" xfId="0" quotePrefix="1" applyFont="1"/>
    <xf numFmtId="0" fontId="1" fillId="0" borderId="0" xfId="0" applyFont="1" applyFill="1" applyAlignment="1">
      <alignment vertical="center"/>
    </xf>
    <xf numFmtId="0" fontId="0" fillId="0" borderId="0" xfId="0" quotePrefix="1"/>
    <xf numFmtId="0" fontId="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5" borderId="0" xfId="0" applyFont="1" applyFill="1"/>
    <xf numFmtId="0" fontId="0" fillId="5" borderId="0" xfId="0" applyFill="1" applyAlignment="1"/>
    <xf numFmtId="0" fontId="0" fillId="3" borderId="0" xfId="0" applyFont="1" applyFill="1"/>
    <xf numFmtId="0" fontId="0" fillId="3" borderId="0" xfId="0" applyFill="1"/>
    <xf numFmtId="0" fontId="0" fillId="5" borderId="0" xfId="0" applyFill="1"/>
    <xf numFmtId="0" fontId="4" fillId="0" borderId="0" xfId="1"/>
    <xf numFmtId="0" fontId="0" fillId="2" borderId="0" xfId="0" applyFill="1"/>
    <xf numFmtId="0" fontId="1" fillId="5" borderId="0" xfId="0" applyFont="1" applyFill="1"/>
    <xf numFmtId="0" fontId="1" fillId="7" borderId="0" xfId="0" applyFont="1" applyFill="1" applyAlignment="1">
      <alignment vertical="center"/>
    </xf>
    <xf numFmtId="0" fontId="0" fillId="7" borderId="0" xfId="0" applyFill="1"/>
    <xf numFmtId="0" fontId="0" fillId="4" borderId="0" xfId="0" applyFill="1" applyAlignment="1">
      <alignment vertical="top" wrapText="1"/>
    </xf>
    <xf numFmtId="0" fontId="0" fillId="8" borderId="0" xfId="0" applyFont="1" applyFill="1"/>
    <xf numFmtId="0" fontId="0" fillId="8" borderId="0" xfId="0" applyFill="1"/>
    <xf numFmtId="0" fontId="0" fillId="8" borderId="0" xfId="0" applyFill="1" applyAlignment="1">
      <alignment vertical="center"/>
    </xf>
    <xf numFmtId="0" fontId="0" fillId="0" borderId="0" xfId="0" applyFill="1"/>
    <xf numFmtId="0" fontId="0" fillId="6" borderId="4" xfId="0" applyFill="1" applyBorder="1"/>
    <xf numFmtId="0" fontId="0" fillId="6" borderId="0" xfId="0" applyFill="1" applyBorder="1"/>
    <xf numFmtId="0" fontId="0" fillId="6" borderId="5" xfId="0" applyFill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right"/>
    </xf>
    <xf numFmtId="0" fontId="0" fillId="0" borderId="0" xfId="0" applyFill="1" applyAlignment="1">
      <alignment horizontal="right" vertical="top" wrapText="1"/>
    </xf>
    <xf numFmtId="0" fontId="7" fillId="0" borderId="0" xfId="0" applyFont="1"/>
    <xf numFmtId="0" fontId="0" fillId="0" borderId="0" xfId="0" applyFont="1" applyFill="1"/>
    <xf numFmtId="2" fontId="0" fillId="0" borderId="0" xfId="0" applyNumberFormat="1"/>
    <xf numFmtId="0" fontId="5" fillId="0" borderId="0" xfId="0" applyFont="1"/>
    <xf numFmtId="0" fontId="1" fillId="3" borderId="0" xfId="0" applyFont="1" applyFill="1"/>
    <xf numFmtId="0" fontId="1" fillId="0" borderId="0" xfId="0" applyFont="1" applyFill="1"/>
    <xf numFmtId="0" fontId="0" fillId="0" borderId="10" xfId="0" applyFill="1" applyBorder="1"/>
    <xf numFmtId="0" fontId="0" fillId="0" borderId="11" xfId="0" applyFill="1" applyBorder="1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4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166" fontId="0" fillId="0" borderId="0" xfId="0" applyNumberFormat="1"/>
    <xf numFmtId="0" fontId="0" fillId="0" borderId="0" xfId="0" applyAlignment="1">
      <alignment horizontal="left"/>
    </xf>
    <xf numFmtId="0" fontId="0" fillId="8" borderId="6" xfId="0" applyFont="1" applyFill="1" applyBorder="1" applyAlignment="1">
      <alignment horizontal="left"/>
    </xf>
    <xf numFmtId="0" fontId="0" fillId="8" borderId="7" xfId="0" applyFont="1" applyFill="1" applyBorder="1" applyAlignment="1">
      <alignment horizontal="left"/>
    </xf>
    <xf numFmtId="0" fontId="0" fillId="8" borderId="6" xfId="0" applyFont="1" applyFill="1" applyBorder="1" applyAlignment="1"/>
    <xf numFmtId="0" fontId="0" fillId="8" borderId="7" xfId="0" applyFont="1" applyFill="1" applyBorder="1" applyAlignment="1"/>
    <xf numFmtId="0" fontId="0" fillId="0" borderId="0" xfId="0" applyAlignment="1">
      <alignment horizontal="right" vertical="center"/>
    </xf>
    <xf numFmtId="0" fontId="1" fillId="6" borderId="0" xfId="0" applyFont="1" applyFill="1" applyAlignment="1">
      <alignment horizontal="left" vertical="top" wrapText="1"/>
    </xf>
    <xf numFmtId="0" fontId="1" fillId="6" borderId="0" xfId="0" applyFont="1" applyFill="1"/>
    <xf numFmtId="0" fontId="0" fillId="6" borderId="0" xfId="0" applyFont="1" applyFill="1"/>
    <xf numFmtId="1" fontId="0" fillId="0" borderId="0" xfId="0" applyNumberFormat="1"/>
    <xf numFmtId="0" fontId="0" fillId="9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2799650043744"/>
          <c:y val="4.1666666666666664E-2"/>
          <c:w val="0.84096500437445332"/>
          <c:h val="0.7963888888888889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'Curves and SPRx'!$A$30:$A$280</c:f>
              <c:numCache>
                <c:formatCode>General</c:formatCode>
                <c:ptCount val="251"/>
                <c:pt idx="0">
                  <c:v>1E-4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</c:numCache>
            </c:numRef>
          </c:xVal>
          <c:yVal>
            <c:numRef>
              <c:f>'Curves and SPRx'!$B$30:$B$280</c:f>
              <c:numCache>
                <c:formatCode>General</c:formatCode>
                <c:ptCount val="251"/>
                <c:pt idx="0">
                  <c:v>0.99957921186715459</c:v>
                </c:pt>
                <c:pt idx="1">
                  <c:v>0.95923692764839574</c:v>
                </c:pt>
                <c:pt idx="2">
                  <c:v>0.92098392015969677</c:v>
                </c:pt>
                <c:pt idx="3">
                  <c:v>0.8850352768045644</c:v>
                </c:pt>
                <c:pt idx="4">
                  <c:v>0.85120627324999176</c:v>
                </c:pt>
                <c:pt idx="5">
                  <c:v>0.81933060785614542</c:v>
                </c:pt>
                <c:pt idx="6">
                  <c:v>0.78925820861960994</c:v>
                </c:pt>
                <c:pt idx="7">
                  <c:v>0.76085334295682439</c:v>
                </c:pt>
                <c:pt idx="8">
                  <c:v>0.7339929828557693</c:v>
                </c:pt>
                <c:pt idx="9">
                  <c:v>0.70856538622649956</c:v>
                </c:pt>
                <c:pt idx="10">
                  <c:v>0.68446886198619394</c:v>
                </c:pt>
                <c:pt idx="11">
                  <c:v>0.66161069185628396</c:v>
                </c:pt>
                <c:pt idx="12">
                  <c:v>0.63990618628682094</c:v>
                </c:pt>
                <c:pt idx="13">
                  <c:v>0.61927785555832326</c:v>
                </c:pt>
                <c:pt idx="14">
                  <c:v>0.59965468010187983</c:v>
                </c:pt>
                <c:pt idx="15">
                  <c:v>0.58097146654880893</c:v>
                </c:pt>
                <c:pt idx="16">
                  <c:v>0.56316827807014747</c:v>
                </c:pt>
                <c:pt idx="17">
                  <c:v>0.54618992927210608</c:v>
                </c:pt>
                <c:pt idx="18">
                  <c:v>0.529985537338996</c:v>
                </c:pt>
                <c:pt idx="19">
                  <c:v>0.51450812231029308</c:v>
                </c:pt>
                <c:pt idx="20">
                  <c:v>0.49971425038404899</c:v>
                </c:pt>
                <c:pt idx="21">
                  <c:v>0.48556371498754353</c:v>
                </c:pt>
                <c:pt idx="22">
                  <c:v>0.47201925107466908</c:v>
                </c:pt>
                <c:pt idx="23">
                  <c:v>0.45904627871976766</c:v>
                </c:pt>
                <c:pt idx="24">
                  <c:v>0.4466126725973425</c:v>
                </c:pt>
                <c:pt idx="25">
                  <c:v>0.43468855438093951</c:v>
                </c:pt>
                <c:pt idx="26">
                  <c:v>0.42324610547457209</c:v>
                </c:pt>
                <c:pt idx="27">
                  <c:v>0.41225939781640808</c:v>
                </c:pt>
                <c:pt idx="28">
                  <c:v>0.40170424077530392</c:v>
                </c:pt>
                <c:pt idx="29">
                  <c:v>0.39155804240312425</c:v>
                </c:pt>
                <c:pt idx="30">
                  <c:v>0.38179968351535931</c:v>
                </c:pt>
                <c:pt idx="31">
                  <c:v>0.37240940325421801</c:v>
                </c:pt>
                <c:pt idx="32">
                  <c:v>0.36336869494617685</c:v>
                </c:pt>
                <c:pt idx="33">
                  <c:v>0.35466021120334157</c:v>
                </c:pt>
                <c:pt idx="34">
                  <c:v>0.34626767733781055</c:v>
                </c:pt>
                <c:pt idx="35">
                  <c:v>0.33817581226297005</c:v>
                </c:pt>
                <c:pt idx="36">
                  <c:v>0.33037025614737897</c:v>
                </c:pt>
                <c:pt idx="37">
                  <c:v>0.32283750416738044</c:v>
                </c:pt>
                <c:pt idx="38">
                  <c:v>0.31556484577532051</c:v>
                </c:pt>
                <c:pt idx="39">
                  <c:v>0.30854030896254203</c:v>
                </c:pt>
                <c:pt idx="40">
                  <c:v>0.30175260905127022</c:v>
                </c:pt>
                <c:pt idx="41">
                  <c:v>0.29519110159804574</c:v>
                </c:pt>
                <c:pt idx="42">
                  <c:v>0.28884573903432609</c:v>
                </c:pt>
                <c:pt idx="43">
                  <c:v>0.28270703070795095</c:v>
                </c:pt>
                <c:pt idx="44">
                  <c:v>0.27676600602296936</c:v>
                </c:pt>
                <c:pt idx="45">
                  <c:v>0.2710141804053825</c:v>
                </c:pt>
                <c:pt idx="46">
                  <c:v>0.26544352384910719</c:v>
                </c:pt>
                <c:pt idx="47">
                  <c:v>0.26004643182032355</c:v>
                </c:pt>
                <c:pt idx="48">
                  <c:v>0.25481569831967105</c:v>
                </c:pt>
                <c:pt idx="49">
                  <c:v>0.24974449092079545</c:v>
                </c:pt>
                <c:pt idx="50">
                  <c:v>0.24482632762079964</c:v>
                </c:pt>
                <c:pt idx="51">
                  <c:v>0.2400550553534288</c:v>
                </c:pt>
                <c:pt idx="52">
                  <c:v>0.23542483002953274</c:v>
                </c:pt>
                <c:pt idx="53">
                  <c:v>0.23093009798167222</c:v>
                </c:pt>
                <c:pt idx="54">
                  <c:v>0.22656557870081895</c:v>
                </c:pt>
                <c:pt idx="55">
                  <c:v>0.22232624876308388</c:v>
                </c:pt>
                <c:pt idx="56">
                  <c:v>0.21820732685340971</c:v>
                </c:pt>
                <c:pt idx="57">
                  <c:v>0.2142042598012916</c:v>
                </c:pt>
                <c:pt idx="58">
                  <c:v>0.21031270955093084</c:v>
                </c:pt>
                <c:pt idx="59">
                  <c:v>0.20652854099487075</c:v>
                </c:pt>
                <c:pt idx="60">
                  <c:v>0.20284781060617973</c:v>
                </c:pt>
                <c:pt idx="61">
                  <c:v>0.19926675580969788</c:v>
                </c:pt>
                <c:pt idx="62">
                  <c:v>0.1957817850378121</c:v>
                </c:pt>
                <c:pt idx="63">
                  <c:v>0.19238946842071836</c:v>
                </c:pt>
                <c:pt idx="64">
                  <c:v>0.18908652906521431</c:v>
                </c:pt>
                <c:pt idx="65">
                  <c:v>0.18586983487978351</c:v>
                </c:pt>
                <c:pt idx="66">
                  <c:v>0.1827363909071173</c:v>
                </c:pt>
                <c:pt idx="67">
                  <c:v>0.17968333212830681</c:v>
                </c:pt>
                <c:pt idx="68">
                  <c:v>0.17670791670575484</c:v>
                </c:pt>
                <c:pt idx="69">
                  <c:v>0.17380751963442487</c:v>
                </c:pt>
                <c:pt idx="70">
                  <c:v>0.17097962677339942</c:v>
                </c:pt>
                <c:pt idx="71">
                  <c:v>0.16822182923186543</c:v>
                </c:pt>
                <c:pt idx="72">
                  <c:v>0.16553181808561276</c:v>
                </c:pt>
                <c:pt idx="73">
                  <c:v>0.16290737940193675</c:v>
                </c:pt>
                <c:pt idx="74">
                  <c:v>0.16034638955248445</c:v>
                </c:pt>
                <c:pt idx="75">
                  <c:v>0.15784681079510507</c:v>
                </c:pt>
                <c:pt idx="76">
                  <c:v>0.15540668710715308</c:v>
                </c:pt>
                <c:pt idx="77">
                  <c:v>0.15302414025397582</c:v>
                </c:pt>
                <c:pt idx="78">
                  <c:v>0.15069736607749068</c:v>
                </c:pt>
                <c:pt idx="79">
                  <c:v>0.14842463099084291</c:v>
                </c:pt>
                <c:pt idx="80">
                  <c:v>0.14620426866612815</c:v>
                </c:pt>
                <c:pt idx="81">
                  <c:v>0.14403467690308663</c:v>
                </c:pt>
                <c:pt idx="82">
                  <c:v>0.14191431466752027</c:v>
                </c:pt>
                <c:pt idx="83">
                  <c:v>0.13984169928896562</c:v>
                </c:pt>
                <c:pt idx="84">
                  <c:v>0.1378154038078801</c:v>
                </c:pt>
                <c:pt idx="85">
                  <c:v>0.13583405446326158</c:v>
                </c:pt>
                <c:pt idx="86">
                  <c:v>0.13389632831224157</c:v>
                </c:pt>
                <c:pt idx="87">
                  <c:v>0.13200095097376027</c:v>
                </c:pt>
                <c:pt idx="88">
                  <c:v>0.13014669448895982</c:v>
                </c:pt>
                <c:pt idx="89">
                  <c:v>0.12833237529142205</c:v>
                </c:pt>
                <c:pt idx="90">
                  <c:v>0.12655685228082902</c:v>
                </c:pt>
                <c:pt idx="91">
                  <c:v>0.12481902499404432</c:v>
                </c:pt>
                <c:pt idx="92">
                  <c:v>0.12311783186800448</c:v>
                </c:pt>
                <c:pt idx="93">
                  <c:v>0.12145224858916968</c:v>
                </c:pt>
                <c:pt idx="94">
                  <c:v>0.11982128652462072</c:v>
                </c:pt>
                <c:pt idx="95">
                  <c:v>0.11822399123019942</c:v>
                </c:pt>
                <c:pt idx="96">
                  <c:v>0.11665944103138232</c:v>
                </c:pt>
                <c:pt idx="97">
                  <c:v>0.1151267456728463</c:v>
                </c:pt>
                <c:pt idx="98">
                  <c:v>0.11362504503293572</c:v>
                </c:pt>
                <c:pt idx="99">
                  <c:v>0.11215350789947565</c:v>
                </c:pt>
                <c:pt idx="100">
                  <c:v>0.11071133080359519</c:v>
                </c:pt>
                <c:pt idx="101">
                  <c:v>0.10929773690842412</c:v>
                </c:pt>
                <c:pt idx="102">
                  <c:v>0.1079119749497213</c:v>
                </c:pt>
                <c:pt idx="103">
                  <c:v>0.1065533182256652</c:v>
                </c:pt>
                <c:pt idx="104">
                  <c:v>0.1052210636332062</c:v>
                </c:pt>
                <c:pt idx="105">
                  <c:v>0.10391453074853127</c:v>
                </c:pt>
                <c:pt idx="106">
                  <c:v>0.10263306094933849</c:v>
                </c:pt>
                <c:pt idx="107">
                  <c:v>0.1013760165767526</c:v>
                </c:pt>
                <c:pt idx="108">
                  <c:v>0.10014278013483779</c:v>
                </c:pt>
                <c:pt idx="109">
                  <c:v>9.8932753525784664E-2</c:v>
                </c:pt>
                <c:pt idx="110">
                  <c:v>9.7745357318956186E-2</c:v>
                </c:pt>
                <c:pt idx="111">
                  <c:v>9.6580030052081406E-2</c:v>
                </c:pt>
                <c:pt idx="112">
                  <c:v>9.5436227562984366E-2</c:v>
                </c:pt>
                <c:pt idx="113">
                  <c:v>9.4313422350324513E-2</c:v>
                </c:pt>
                <c:pt idx="114">
                  <c:v>9.3211102961910278E-2</c:v>
                </c:pt>
                <c:pt idx="115">
                  <c:v>9.2128773409229162E-2</c:v>
                </c:pt>
                <c:pt idx="116">
                  <c:v>9.106595260691018E-2</c:v>
                </c:pt>
                <c:pt idx="117">
                  <c:v>9.002217383590766E-2</c:v>
                </c:pt>
                <c:pt idx="118">
                  <c:v>8.8996984229258322E-2</c:v>
                </c:pt>
                <c:pt idx="119">
                  <c:v>8.7989944279329255E-2</c:v>
                </c:pt>
                <c:pt idx="120">
                  <c:v>8.7000627365529895E-2</c:v>
                </c:pt>
                <c:pt idx="121">
                  <c:v>8.6028619301517895E-2</c:v>
                </c:pt>
                <c:pt idx="122">
                  <c:v>8.5073517900979223E-2</c:v>
                </c:pt>
                <c:pt idx="123">
                  <c:v>8.4134932561112749E-2</c:v>
                </c:pt>
                <c:pt idx="124">
                  <c:v>8.3212483862993875E-2</c:v>
                </c:pt>
                <c:pt idx="125">
                  <c:v>8.2305803188036375E-2</c:v>
                </c:pt>
                <c:pt idx="126">
                  <c:v>8.1414532349811275E-2</c:v>
                </c:pt>
                <c:pt idx="127">
                  <c:v>8.0538323240519641E-2</c:v>
                </c:pt>
                <c:pt idx="128">
                  <c:v>7.9676837491453864E-2</c:v>
                </c:pt>
                <c:pt idx="129">
                  <c:v>7.8829746146813942E-2</c:v>
                </c:pt>
                <c:pt idx="130">
                  <c:v>7.7996729350278682E-2</c:v>
                </c:pt>
                <c:pt idx="131">
                  <c:v>7.7177476043762169E-2</c:v>
                </c:pt>
                <c:pt idx="132">
                  <c:v>7.6371683677813468E-2</c:v>
                </c:pt>
                <c:pt idx="133">
                  <c:v>7.5579057933145746E-2</c:v>
                </c:pt>
                <c:pt idx="134">
                  <c:v>7.4799312452805286E-2</c:v>
                </c:pt>
                <c:pt idx="135">
                  <c:v>7.4032168584516042E-2</c:v>
                </c:pt>
                <c:pt idx="136">
                  <c:v>7.3277355132758112E-2</c:v>
                </c:pt>
                <c:pt idx="137">
                  <c:v>7.2534608120158744E-2</c:v>
                </c:pt>
                <c:pt idx="138">
                  <c:v>7.1803670557796961E-2</c:v>
                </c:pt>
                <c:pt idx="139">
                  <c:v>7.1084292224040529E-2</c:v>
                </c:pt>
                <c:pt idx="140">
                  <c:v>7.0376229451553057E-2</c:v>
                </c:pt>
                <c:pt idx="141">
                  <c:v>6.9679244922125974E-2</c:v>
                </c:pt>
                <c:pt idx="142">
                  <c:v>6.8993107469006928E-2</c:v>
                </c:pt>
                <c:pt idx="143">
                  <c:v>6.8317591886411205E-2</c:v>
                </c:pt>
                <c:pt idx="144">
                  <c:v>6.7652478745917649E-2</c:v>
                </c:pt>
                <c:pt idx="145">
                  <c:v>6.6997554219464753E-2</c:v>
                </c:pt>
                <c:pt idx="146">
                  <c:v>6.6352609908675364E-2</c:v>
                </c:pt>
                <c:pt idx="147">
                  <c:v>6.5717442680251384E-2</c:v>
                </c:pt>
                <c:pt idx="148">
                  <c:v>6.5091854507191488E-2</c:v>
                </c:pt>
                <c:pt idx="149">
                  <c:v>6.4475652315596252E-2</c:v>
                </c:pt>
                <c:pt idx="150">
                  <c:v>6.3868647836835962E-2</c:v>
                </c:pt>
                <c:pt idx="151">
                  <c:v>6.327065746486614E-2</c:v>
                </c:pt>
                <c:pt idx="152">
                  <c:v>6.2681502118486027E-2</c:v>
                </c:pt>
                <c:pt idx="153">
                  <c:v>6.2101007108344021E-2</c:v>
                </c:pt>
                <c:pt idx="154">
                  <c:v>6.1529002008503031E-2</c:v>
                </c:pt>
                <c:pt idx="155">
                  <c:v>6.096532053238668E-2</c:v>
                </c:pt>
                <c:pt idx="156">
                  <c:v>6.0409800412935824E-2</c:v>
                </c:pt>
                <c:pt idx="157">
                  <c:v>5.9862283286811716E-2</c:v>
                </c:pt>
                <c:pt idx="158">
                  <c:v>5.9322614582489316E-2</c:v>
                </c:pt>
                <c:pt idx="159">
                  <c:v>5.8790643412091712E-2</c:v>
                </c:pt>
                <c:pt idx="160">
                  <c:v>5.8266222466822358E-2</c:v>
                </c:pt>
                <c:pt idx="161">
                  <c:v>5.7749207915857852E-2</c:v>
                </c:pt>
                <c:pt idx="162">
                  <c:v>5.7239459308571126E-2</c:v>
                </c:pt>
                <c:pt idx="163">
                  <c:v>5.6736839479958716E-2</c:v>
                </c:pt>
                <c:pt idx="164">
                  <c:v>5.6241214459152485E-2</c:v>
                </c:pt>
                <c:pt idx="165">
                  <c:v>5.5752453380900409E-2</c:v>
                </c:pt>
                <c:pt idx="166">
                  <c:v>5.5270428399906701E-2</c:v>
                </c:pt>
                <c:pt idx="167">
                  <c:v>5.4795014607924963E-2</c:v>
                </c:pt>
                <c:pt idx="168">
                  <c:v>5.4326089953503638E-2</c:v>
                </c:pt>
                <c:pt idx="169">
                  <c:v>5.3863535164286561E-2</c:v>
                </c:pt>
                <c:pt idx="170">
                  <c:v>5.3407233671775425E-2</c:v>
                </c:pt>
                <c:pt idx="171">
                  <c:v>5.2957071538465163E-2</c:v>
                </c:pt>
                <c:pt idx="172">
                  <c:v>5.2512937387266444E-2</c:v>
                </c:pt>
                <c:pt idx="173">
                  <c:v>5.2074722333133226E-2</c:v>
                </c:pt>
                <c:pt idx="174">
                  <c:v>5.1642319916816642E-2</c:v>
                </c:pt>
                <c:pt idx="175">
                  <c:v>5.121562604066935E-2</c:v>
                </c:pt>
                <c:pt idx="176">
                  <c:v>5.0794538906428197E-2</c:v>
                </c:pt>
                <c:pt idx="177">
                  <c:v>5.0378958954904823E-2</c:v>
                </c:pt>
                <c:pt idx="178">
                  <c:v>4.9968788807517824E-2</c:v>
                </c:pt>
                <c:pt idx="179">
                  <c:v>4.9563933209602028E-2</c:v>
                </c:pt>
                <c:pt idx="180">
                  <c:v>4.9164298975432764E-2</c:v>
                </c:pt>
                <c:pt idx="181">
                  <c:v>4.8769794934906421E-2</c:v>
                </c:pt>
                <c:pt idx="182">
                  <c:v>4.8380331881819477E-2</c:v>
                </c:pt>
                <c:pt idx="183">
                  <c:v>4.7995822523691833E-2</c:v>
                </c:pt>
                <c:pt idx="184">
                  <c:v>4.7616181433081432E-2</c:v>
                </c:pt>
                <c:pt idx="185">
                  <c:v>4.7241325000339292E-2</c:v>
                </c:pt>
                <c:pt idx="186">
                  <c:v>4.6871171387756684E-2</c:v>
                </c:pt>
                <c:pt idx="187">
                  <c:v>4.6505640485057023E-2</c:v>
                </c:pt>
                <c:pt idx="188">
                  <c:v>4.6144653866187844E-2</c:v>
                </c:pt>
                <c:pt idx="189">
                  <c:v>4.578813474736905E-2</c:v>
                </c:pt>
                <c:pt idx="190">
                  <c:v>4.5436007946355904E-2</c:v>
                </c:pt>
                <c:pt idx="191">
                  <c:v>4.5088199842876424E-2</c:v>
                </c:pt>
                <c:pt idx="192">
                  <c:v>4.4744638340204632E-2</c:v>
                </c:pt>
                <c:pt idx="193">
                  <c:v>4.440525282783199E-2</c:v>
                </c:pt>
                <c:pt idx="194">
                  <c:v>4.4069974145201765E-2</c:v>
                </c:pt>
                <c:pt idx="195">
                  <c:v>4.3738734546470925E-2</c:v>
                </c:pt>
                <c:pt idx="196">
                  <c:v>4.3411467666267106E-2</c:v>
                </c:pt>
                <c:pt idx="197">
                  <c:v>4.3088108486407831E-2</c:v>
                </c:pt>
                <c:pt idx="198">
                  <c:v>4.2768593303551469E-2</c:v>
                </c:pt>
                <c:pt idx="199">
                  <c:v>4.2452859697750076E-2</c:v>
                </c:pt>
                <c:pt idx="200">
                  <c:v>4.2140846501875169E-2</c:v>
                </c:pt>
                <c:pt idx="201">
                  <c:v>4.1832493771888878E-2</c:v>
                </c:pt>
                <c:pt idx="202">
                  <c:v>4.152774275793391E-2</c:v>
                </c:pt>
                <c:pt idx="203">
                  <c:v>4.1226535876216219E-2</c:v>
                </c:pt>
                <c:pt idx="204">
                  <c:v>4.0928816681655732E-2</c:v>
                </c:pt>
                <c:pt idx="205">
                  <c:v>4.0634529841281262E-2</c:v>
                </c:pt>
                <c:pt idx="206">
                  <c:v>4.0343621108346085E-2</c:v>
                </c:pt>
                <c:pt idx="207">
                  <c:v>4.005603729714239E-2</c:v>
                </c:pt>
                <c:pt idx="208">
                  <c:v>3.9771726258492561E-2</c:v>
                </c:pt>
                <c:pt idx="209">
                  <c:v>3.9490636855896863E-2</c:v>
                </c:pt>
                <c:pt idx="210">
                  <c:v>3.9212718942317176E-2</c:v>
                </c:pt>
                <c:pt idx="211">
                  <c:v>3.8937923337577646E-2</c:v>
                </c:pt>
                <c:pt idx="212">
                  <c:v>3.8666201806363279E-2</c:v>
                </c:pt>
                <c:pt idx="213">
                  <c:v>3.8397507036798582E-2</c:v>
                </c:pt>
                <c:pt idx="214">
                  <c:v>3.8131792619588781E-2</c:v>
                </c:pt>
                <c:pt idx="215">
                  <c:v>3.7869013027706518E-2</c:v>
                </c:pt>
                <c:pt idx="216">
                  <c:v>3.7609123596608111E-2</c:v>
                </c:pt>
                <c:pt idx="217">
                  <c:v>3.735208050496322E-2</c:v>
                </c:pt>
                <c:pt idx="218">
                  <c:v>3.709784075588303E-2</c:v>
                </c:pt>
                <c:pt idx="219">
                  <c:v>3.6846362158631872E-2</c:v>
                </c:pt>
                <c:pt idx="220">
                  <c:v>3.6597603310808496E-2</c:v>
                </c:pt>
                <c:pt idx="221">
                  <c:v>3.6351523580982863E-2</c:v>
                </c:pt>
                <c:pt idx="222">
                  <c:v>3.6108083091775274E-2</c:v>
                </c:pt>
                <c:pt idx="223">
                  <c:v>3.5867242703365089E-2</c:v>
                </c:pt>
                <c:pt idx="224">
                  <c:v>3.5628963997416399E-2</c:v>
                </c:pt>
                <c:pt idx="225">
                  <c:v>3.5393209261408744E-2</c:v>
                </c:pt>
                <c:pt idx="226">
                  <c:v>3.5159941473361225E-2</c:v>
                </c:pt>
                <c:pt idx="227">
                  <c:v>3.4929124286938527E-2</c:v>
                </c:pt>
                <c:pt idx="228">
                  <c:v>3.4700722016928434E-2</c:v>
                </c:pt>
                <c:pt idx="229">
                  <c:v>3.4474699625079583E-2</c:v>
                </c:pt>
                <c:pt idx="230">
                  <c:v>3.4251022706290039E-2</c:v>
                </c:pt>
                <c:pt idx="231">
                  <c:v>3.4029657475135963E-2</c:v>
                </c:pt>
                <c:pt idx="232">
                  <c:v>3.3810570752731611E-2</c:v>
                </c:pt>
                <c:pt idx="233">
                  <c:v>3.3593729953910641E-2</c:v>
                </c:pt>
                <c:pt idx="234">
                  <c:v>3.3379103074720397E-2</c:v>
                </c:pt>
                <c:pt idx="235">
                  <c:v>3.316665868021991E-2</c:v>
                </c:pt>
                <c:pt idx="236">
                  <c:v>3.2956365892573766E-2</c:v>
                </c:pt>
                <c:pt idx="237">
                  <c:v>3.2748194379432959E-2</c:v>
                </c:pt>
                <c:pt idx="238">
                  <c:v>3.2542114342595657E-2</c:v>
                </c:pt>
                <c:pt idx="239">
                  <c:v>3.233809650693939E-2</c:v>
                </c:pt>
                <c:pt idx="240">
                  <c:v>3.213611210961799E-2</c:v>
                </c:pt>
                <c:pt idx="241">
                  <c:v>3.1936132889515322E-2</c:v>
                </c:pt>
                <c:pt idx="242">
                  <c:v>3.1738131076949644E-2</c:v>
                </c:pt>
                <c:pt idx="243">
                  <c:v>3.1542079383621038E-2</c:v>
                </c:pt>
                <c:pt idx="244">
                  <c:v>3.1347950992796005E-2</c:v>
                </c:pt>
                <c:pt idx="245">
                  <c:v>3.1155719549722433E-2</c:v>
                </c:pt>
                <c:pt idx="246">
                  <c:v>3.0965359152268872E-2</c:v>
                </c:pt>
                <c:pt idx="247">
                  <c:v>3.0776844341782381E-2</c:v>
                </c:pt>
                <c:pt idx="248">
                  <c:v>3.0590150094158771E-2</c:v>
                </c:pt>
                <c:pt idx="249">
                  <c:v>3.0405251811119725E-2</c:v>
                </c:pt>
                <c:pt idx="250">
                  <c:v>3.0222125311691803E-2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06-4F55-A00E-4CE96DDEC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  <c:max val="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SPR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2799650043744"/>
          <c:y val="4.1666666666666664E-2"/>
          <c:w val="0.84096500437445332"/>
          <c:h val="0.7963888888888889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'Curves and SPRx'!$A$30:$A$280</c:f>
              <c:numCache>
                <c:formatCode>General</c:formatCode>
                <c:ptCount val="251"/>
                <c:pt idx="0">
                  <c:v>1E-4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</c:numCache>
            </c:numRef>
          </c:xVal>
          <c:yVal>
            <c:numRef>
              <c:f>'Curves and SPRx'!$C$30:$C$280</c:f>
              <c:numCache>
                <c:formatCode>General</c:formatCode>
                <c:ptCount val="251"/>
                <c:pt idx="0">
                  <c:v>2.6831243809218875E-5</c:v>
                </c:pt>
                <c:pt idx="1">
                  <c:v>2.5782733080532043E-3</c:v>
                </c:pt>
                <c:pt idx="2">
                  <c:v>4.9577543154900811E-3</c:v>
                </c:pt>
                <c:pt idx="3">
                  <c:v>7.1564693829870487E-3</c:v>
                </c:pt>
                <c:pt idx="4">
                  <c:v>9.1905063333097767E-3</c:v>
                </c:pt>
                <c:pt idx="5">
                  <c:v>1.107425715962243E-2</c:v>
                </c:pt>
                <c:pt idx="6">
                  <c:v>1.2820625972301701E-2</c:v>
                </c:pt>
                <c:pt idx="7">
                  <c:v>1.4441207792607399E-2</c:v>
                </c:pt>
                <c:pt idx="8">
                  <c:v>1.5946442796102703E-2</c:v>
                </c:pt>
                <c:pt idx="9">
                  <c:v>1.7345749801153023E-2</c:v>
                </c:pt>
                <c:pt idx="10">
                  <c:v>1.8647642145849699E-2</c:v>
                </c:pt>
                <c:pt idx="11">
                  <c:v>1.9859828567731084E-2</c:v>
                </c:pt>
                <c:pt idx="12">
                  <c:v>2.0989301269480565E-2</c:v>
                </c:pt>
                <c:pt idx="13">
                  <c:v>2.2042413000715765E-2</c:v>
                </c:pt>
                <c:pt idx="14">
                  <c:v>2.302494469564919E-2</c:v>
                </c:pt>
                <c:pt idx="15">
                  <c:v>2.3942164966673545E-2</c:v>
                </c:pt>
                <c:pt idx="16">
                  <c:v>2.4798882555206347E-2</c:v>
                </c:pt>
                <c:pt idx="17">
                  <c:v>2.5599492675784891E-2</c:v>
                </c:pt>
                <c:pt idx="18">
                  <c:v>2.6348018051333116E-2</c:v>
                </c:pt>
                <c:pt idx="19">
                  <c:v>2.7048145321829226E-2</c:v>
                </c:pt>
                <c:pt idx="20">
                  <c:v>2.7703257411339003E-2</c:v>
                </c:pt>
                <c:pt idx="21">
                  <c:v>2.831646235634885E-2</c:v>
                </c:pt>
                <c:pt idx="22">
                  <c:v>2.8890619028937085E-2</c:v>
                </c:pt>
                <c:pt idx="23">
                  <c:v>2.9428360129442985E-2</c:v>
                </c:pt>
                <c:pt idx="24">
                  <c:v>2.9932112773194745E-2</c:v>
                </c:pt>
                <c:pt idx="25">
                  <c:v>3.0404116953115356E-2</c:v>
                </c:pt>
                <c:pt idx="26">
                  <c:v>3.0846442123461156E-2</c:v>
                </c:pt>
                <c:pt idx="27">
                  <c:v>3.1261002118592375E-2</c:v>
                </c:pt>
                <c:pt idx="28">
                  <c:v>3.1649568593716891E-2</c:v>
                </c:pt>
                <c:pt idx="29">
                  <c:v>3.2013783151319856E-2</c:v>
                </c:pt>
                <c:pt idx="30">
                  <c:v>3.2355168296928388E-2</c:v>
                </c:pt>
                <c:pt idx="31">
                  <c:v>3.2675137350494272E-2</c:v>
                </c:pt>
                <c:pt idx="32">
                  <c:v>3.2975003424613757E-2</c:v>
                </c:pt>
                <c:pt idx="33">
                  <c:v>3.3255987567709033E-2</c:v>
                </c:pt>
                <c:pt idx="34">
                  <c:v>3.3519226158892031E-2</c:v>
                </c:pt>
                <c:pt idx="35">
                  <c:v>3.3765777631279394E-2</c:v>
                </c:pt>
                <c:pt idx="36">
                  <c:v>3.399662859182636E-2</c:v>
                </c:pt>
                <c:pt idx="37">
                  <c:v>3.4212699398127683E-2</c:v>
                </c:pt>
                <c:pt idx="38">
                  <c:v>3.4414849245946968E-2</c:v>
                </c:pt>
                <c:pt idx="39">
                  <c:v>3.4603880815359998E-2</c:v>
                </c:pt>
                <c:pt idx="40">
                  <c:v>3.4780544518223849E-2</c:v>
                </c:pt>
                <c:pt idx="41">
                  <c:v>3.4945542385122895E-2</c:v>
                </c:pt>
                <c:pt idx="42">
                  <c:v>3.509953162591363E-2</c:v>
                </c:pt>
                <c:pt idx="43">
                  <c:v>3.5243127894427746E-2</c:v>
                </c:pt>
                <c:pt idx="44">
                  <c:v>3.5376908284736761E-2</c:v>
                </c:pt>
                <c:pt idx="45">
                  <c:v>3.5501414083581637E-2</c:v>
                </c:pt>
                <c:pt idx="46">
                  <c:v>3.5617153301084704E-2</c:v>
                </c:pt>
                <c:pt idx="47">
                  <c:v>3.5724602999648344E-2</c:v>
                </c:pt>
                <c:pt idx="48">
                  <c:v>3.5824211438975503E-2</c:v>
                </c:pt>
                <c:pt idx="49">
                  <c:v>3.5916400053389773E-2</c:v>
                </c:pt>
                <c:pt idx="50">
                  <c:v>3.6001565276063602E-2</c:v>
                </c:pt>
                <c:pt idx="51">
                  <c:v>3.6080080223361281E-2</c:v>
                </c:pt>
                <c:pt idx="52">
                  <c:v>3.6152296251246906E-2</c:v>
                </c:pt>
                <c:pt idx="53">
                  <c:v>3.6218544394583239E-2</c:v>
                </c:pt>
                <c:pt idx="54">
                  <c:v>3.627913669913755E-2</c:v>
                </c:pt>
                <c:pt idx="55">
                  <c:v>3.6334367455203589E-2</c:v>
                </c:pt>
                <c:pt idx="56">
                  <c:v>3.6384514340934739E-2</c:v>
                </c:pt>
                <c:pt idx="57">
                  <c:v>3.6429839482748388E-2</c:v>
                </c:pt>
                <c:pt idx="58">
                  <c:v>3.6470590439501113E-2</c:v>
                </c:pt>
                <c:pt idx="59">
                  <c:v>3.6507001116538318E-2</c:v>
                </c:pt>
                <c:pt idx="60">
                  <c:v>3.6539292615182649E-2</c:v>
                </c:pt>
                <c:pt idx="61">
                  <c:v>3.65676740227402E-2</c:v>
                </c:pt>
                <c:pt idx="62">
                  <c:v>3.659234314766216E-2</c:v>
                </c:pt>
                <c:pt idx="63">
                  <c:v>3.6613487204102325E-2</c:v>
                </c:pt>
                <c:pt idx="64">
                  <c:v>3.6631283449749211E-2</c:v>
                </c:pt>
                <c:pt idx="65">
                  <c:v>3.6645899780483548E-2</c:v>
                </c:pt>
                <c:pt idx="66">
                  <c:v>3.6657495285115846E-2</c:v>
                </c:pt>
                <c:pt idx="67">
                  <c:v>3.6666220763187027E-2</c:v>
                </c:pt>
                <c:pt idx="68">
                  <c:v>3.6672219208570951E-2</c:v>
                </c:pt>
                <c:pt idx="69">
                  <c:v>3.6675626261392653E-2</c:v>
                </c:pt>
                <c:pt idx="70">
                  <c:v>3.6676570630573536E-2</c:v>
                </c:pt>
                <c:pt idx="71">
                  <c:v>3.6675174489128624E-2</c:v>
                </c:pt>
                <c:pt idx="72">
                  <c:v>3.6671553844171194E-2</c:v>
                </c:pt>
                <c:pt idx="73">
                  <c:v>3.6665818883426606E-2</c:v>
                </c:pt>
                <c:pt idx="74">
                  <c:v>3.6658074299914419E-2</c:v>
                </c:pt>
                <c:pt idx="75">
                  <c:v>3.6648419596329793E-2</c:v>
                </c:pt>
                <c:pt idx="76">
                  <c:v>3.6636949370536506E-2</c:v>
                </c:pt>
                <c:pt idx="77">
                  <c:v>3.6623753583475499E-2</c:v>
                </c:pt>
                <c:pt idx="78">
                  <c:v>3.6608917810693899E-2</c:v>
                </c:pt>
                <c:pt idx="79">
                  <c:v>3.6592523478608766E-2</c:v>
                </c:pt>
                <c:pt idx="80">
                  <c:v>3.6574648086535502E-2</c:v>
                </c:pt>
                <c:pt idx="81">
                  <c:v>3.6555365415435179E-2</c:v>
                </c:pt>
                <c:pt idx="82">
                  <c:v>3.6534745724263955E-2</c:v>
                </c:pt>
                <c:pt idx="83">
                  <c:v>3.6512855934743377E-2</c:v>
                </c:pt>
                <c:pt idx="84">
                  <c:v>3.6489759805310558E-2</c:v>
                </c:pt>
                <c:pt idx="85">
                  <c:v>3.6465518094952631E-2</c:v>
                </c:pt>
                <c:pt idx="86">
                  <c:v>3.6440188717579043E-2</c:v>
                </c:pt>
                <c:pt idx="87">
                  <c:v>3.641382688753917E-2</c:v>
                </c:pt>
                <c:pt idx="88">
                  <c:v>3.6386485256849233E-2</c:v>
                </c:pt>
                <c:pt idx="89">
                  <c:v>3.635821404465342E-2</c:v>
                </c:pt>
                <c:pt idx="90">
                  <c:v>3.6329061159407205E-2</c:v>
                </c:pt>
                <c:pt idx="91">
                  <c:v>3.6299072314236999E-2</c:v>
                </c:pt>
                <c:pt idx="92">
                  <c:v>3.6268291135899411E-2</c:v>
                </c:pt>
                <c:pt idx="93">
                  <c:v>3.6236759267734245E-2</c:v>
                </c:pt>
                <c:pt idx="94">
                  <c:v>3.620451646697833E-2</c:v>
                </c:pt>
                <c:pt idx="95">
                  <c:v>3.6171600696783351E-2</c:v>
                </c:pt>
                <c:pt idx="96">
                  <c:v>3.6138048213256793E-2</c:v>
                </c:pt>
                <c:pt idx="97">
                  <c:v>3.6103893647825139E-2</c:v>
                </c:pt>
                <c:pt idx="98">
                  <c:v>3.6069170085197381E-2</c:v>
                </c:pt>
                <c:pt idx="99">
                  <c:v>3.6033909137189797E-2</c:v>
                </c:pt>
                <c:pt idx="100">
                  <c:v>3.5998141012655263E-2</c:v>
                </c:pt>
                <c:pt idx="101">
                  <c:v>3.5961894583744748E-2</c:v>
                </c:pt>
                <c:pt idx="102">
                  <c:v>3.5925197448714148E-2</c:v>
                </c:pt>
                <c:pt idx="103">
                  <c:v>3.5888075991475893E-2</c:v>
                </c:pt>
                <c:pt idx="104">
                  <c:v>3.5850555438081889E-2</c:v>
                </c:pt>
                <c:pt idx="105">
                  <c:v>3.5812659910313023E-2</c:v>
                </c:pt>
                <c:pt idx="106">
                  <c:v>3.5774412476538814E-2</c:v>
                </c:pt>
                <c:pt idx="107">
                  <c:v>3.5735835200001509E-2</c:v>
                </c:pt>
                <c:pt idx="108">
                  <c:v>3.5696949184668189E-2</c:v>
                </c:pt>
                <c:pt idx="109">
                  <c:v>3.5657774618786789E-2</c:v>
                </c:pt>
                <c:pt idx="110">
                  <c:v>3.5618330816272713E-2</c:v>
                </c:pt>
                <c:pt idx="111">
                  <c:v>3.5578636256045397E-2</c:v>
                </c:pt>
                <c:pt idx="112">
                  <c:v>3.5538708619427158E-2</c:v>
                </c:pt>
                <c:pt idx="113">
                  <c:v>3.5498564825709393E-2</c:v>
                </c:pt>
                <c:pt idx="114">
                  <c:v>3.5458221065985208E-2</c:v>
                </c:pt>
                <c:pt idx="115">
                  <c:v>3.5417692835341977E-2</c:v>
                </c:pt>
                <c:pt idx="116">
                  <c:v>3.5376994963500816E-2</c:v>
                </c:pt>
                <c:pt idx="117">
                  <c:v>3.5336141643986421E-2</c:v>
                </c:pt>
                <c:pt idx="118">
                  <c:v>3.5295146461903924E-2</c:v>
                </c:pt>
                <c:pt idx="119">
                  <c:v>3.5254022420396817E-2</c:v>
                </c:pt>
                <c:pt idx="120">
                  <c:v>3.5212781965854402E-2</c:v>
                </c:pt>
                <c:pt idx="121">
                  <c:v>3.5171437011933926E-2</c:v>
                </c:pt>
                <c:pt idx="122">
                  <c:v>3.5129998962458497E-2</c:v>
                </c:pt>
                <c:pt idx="123">
                  <c:v>3.50884787332491E-2</c:v>
                </c:pt>
                <c:pt idx="124">
                  <c:v>3.5046886772944486E-2</c:v>
                </c:pt>
                <c:pt idx="125">
                  <c:v>3.5005233082861152E-2</c:v>
                </c:pt>
                <c:pt idx="126">
                  <c:v>3.4963527235941427E-2</c:v>
                </c:pt>
                <c:pt idx="127">
                  <c:v>3.4921778394836039E-2</c:v>
                </c:pt>
                <c:pt idx="128">
                  <c:v>3.4879995329164137E-2</c:v>
                </c:pt>
                <c:pt idx="129">
                  <c:v>3.4838186431992046E-2</c:v>
                </c:pt>
                <c:pt idx="130">
                  <c:v>3.4796359735569382E-2</c:v>
                </c:pt>
                <c:pt idx="131">
                  <c:v>3.4754522926358958E-2</c:v>
                </c:pt>
                <c:pt idx="132">
                  <c:v>3.4712683359395743E-2</c:v>
                </c:pt>
                <c:pt idx="133">
                  <c:v>3.4670848072006884E-2</c:v>
                </c:pt>
                <c:pt idx="134">
                  <c:v>3.4629023796924438E-2</c:v>
                </c:pt>
                <c:pt idx="135">
                  <c:v>3.4587216974819875E-2</c:v>
                </c:pt>
                <c:pt idx="136">
                  <c:v>3.4545433766288325E-2</c:v>
                </c:pt>
                <c:pt idx="137">
                  <c:v>3.4503680063308881E-2</c:v>
                </c:pt>
                <c:pt idx="138">
                  <c:v>3.4461961500205918E-2</c:v>
                </c:pt>
                <c:pt idx="139">
                  <c:v>3.4420283464135157E-2</c:v>
                </c:pt>
                <c:pt idx="140">
                  <c:v>3.4378651105116884E-2</c:v>
                </c:pt>
                <c:pt idx="141">
                  <c:v>3.4337069345637551E-2</c:v>
                </c:pt>
                <c:pt idx="142">
                  <c:v>3.4295542889840255E-2</c:v>
                </c:pt>
                <c:pt idx="143">
                  <c:v>3.4254076232322642E-2</c:v>
                </c:pt>
                <c:pt idx="144">
                  <c:v>3.4212673666561194E-2</c:v>
                </c:pt>
                <c:pt idx="145">
                  <c:v>3.4171339292978525E-2</c:v>
                </c:pt>
                <c:pt idx="146">
                  <c:v>3.4130077026670418E-2</c:v>
                </c:pt>
                <c:pt idx="147">
                  <c:v>3.4088890604807999E-2</c:v>
                </c:pt>
                <c:pt idx="148">
                  <c:v>3.4047783593730105E-2</c:v>
                </c:pt>
                <c:pt idx="149">
                  <c:v>3.4006759395739619E-2</c:v>
                </c:pt>
                <c:pt idx="150">
                  <c:v>3.3965821255617049E-2</c:v>
                </c:pt>
                <c:pt idx="151">
                  <c:v>3.3924972266864729E-2</c:v>
                </c:pt>
                <c:pt idx="152">
                  <c:v>3.3884215377692754E-2</c:v>
                </c:pt>
                <c:pt idx="153">
                  <c:v>3.3843553396758888E-2</c:v>
                </c:pt>
                <c:pt idx="154">
                  <c:v>3.3802988998673122E-2</c:v>
                </c:pt>
                <c:pt idx="155">
                  <c:v>3.3762524729277293E-2</c:v>
                </c:pt>
                <c:pt idx="156">
                  <c:v>3.3722163010709433E-2</c:v>
                </c:pt>
                <c:pt idx="157">
                  <c:v>3.3681906146262965E-2</c:v>
                </c:pt>
                <c:pt idx="158">
                  <c:v>3.3641756325048844E-2</c:v>
                </c:pt>
                <c:pt idx="159">
                  <c:v>3.3601715626469866E-2</c:v>
                </c:pt>
                <c:pt idx="160">
                  <c:v>3.3561786024515011E-2</c:v>
                </c:pt>
                <c:pt idx="161">
                  <c:v>3.3521969391881637E-2</c:v>
                </c:pt>
                <c:pt idx="162">
                  <c:v>3.3482267503932871E-2</c:v>
                </c:pt>
                <c:pt idx="163">
                  <c:v>3.3442682042497375E-2</c:v>
                </c:pt>
                <c:pt idx="164">
                  <c:v>3.3403214599518165E-2</c:v>
                </c:pt>
                <c:pt idx="165">
                  <c:v>3.3363866680556784E-2</c:v>
                </c:pt>
                <c:pt idx="166">
                  <c:v>3.3324639708159125E-2</c:v>
                </c:pt>
                <c:pt idx="167">
                  <c:v>3.3285535025088658E-2</c:v>
                </c:pt>
                <c:pt idx="168">
                  <c:v>3.3246553897432668E-2</c:v>
                </c:pt>
                <c:pt idx="169">
                  <c:v>3.3207697517586704E-2</c:v>
                </c:pt>
                <c:pt idx="170">
                  <c:v>3.3168967007122539E-2</c:v>
                </c:pt>
                <c:pt idx="171">
                  <c:v>3.3130363419544319E-2</c:v>
                </c:pt>
                <c:pt idx="172">
                  <c:v>3.3091887742937545E-2</c:v>
                </c:pt>
                <c:pt idx="173">
                  <c:v>3.305354090251536E-2</c:v>
                </c:pt>
                <c:pt idx="174">
                  <c:v>3.3015323763066401E-2</c:v>
                </c:pt>
                <c:pt idx="175">
                  <c:v>3.2977237131308172E-2</c:v>
                </c:pt>
                <c:pt idx="176">
                  <c:v>3.2939281758149787E-2</c:v>
                </c:pt>
                <c:pt idx="177">
                  <c:v>3.2901458340867912E-2</c:v>
                </c:pt>
                <c:pt idx="178">
                  <c:v>3.2863767525199275E-2</c:v>
                </c:pt>
                <c:pt idx="179">
                  <c:v>3.2826209907353195E-2</c:v>
                </c:pt>
                <c:pt idx="180">
                  <c:v>3.2788786035947357E-2</c:v>
                </c:pt>
                <c:pt idx="181">
                  <c:v>3.2751496413869874E-2</c:v>
                </c:pt>
                <c:pt idx="182">
                  <c:v>3.2714341500070666E-2</c:v>
                </c:pt>
                <c:pt idx="183">
                  <c:v>3.2677321711284874E-2</c:v>
                </c:pt>
                <c:pt idx="184">
                  <c:v>3.2640437423691153E-2</c:v>
                </c:pt>
                <c:pt idx="185">
                  <c:v>3.2603688974507293E-2</c:v>
                </c:pt>
                <c:pt idx="186">
                  <c:v>3.2567076663525686E-2</c:v>
                </c:pt>
                <c:pt idx="187">
                  <c:v>3.2530600754591098E-2</c:v>
                </c:pt>
                <c:pt idx="188">
                  <c:v>3.2494261477022925E-2</c:v>
                </c:pt>
                <c:pt idx="189">
                  <c:v>3.2458059026984093E-2</c:v>
                </c:pt>
                <c:pt idx="190">
                  <c:v>3.2421993568798817E-2</c:v>
                </c:pt>
                <c:pt idx="191">
                  <c:v>3.2386065236221034E-2</c:v>
                </c:pt>
                <c:pt idx="192">
                  <c:v>3.2350274133655599E-2</c:v>
                </c:pt>
                <c:pt idx="193">
                  <c:v>3.2314620337333906E-2</c:v>
                </c:pt>
                <c:pt idx="194">
                  <c:v>3.2279103896445914E-2</c:v>
                </c:pt>
                <c:pt idx="195">
                  <c:v>3.224372483423002E-2</c:v>
                </c:pt>
                <c:pt idx="196">
                  <c:v>3.2208483149022589E-2</c:v>
                </c:pt>
                <c:pt idx="197">
                  <c:v>3.2173378815268501E-2</c:v>
                </c:pt>
                <c:pt idx="198">
                  <c:v>3.2138411784494489E-2</c:v>
                </c:pt>
                <c:pt idx="199">
                  <c:v>3.2103581986246368E-2</c:v>
                </c:pt>
                <c:pt idx="200">
                  <c:v>3.2068889328991719E-2</c:v>
                </c:pt>
                <c:pt idx="201">
                  <c:v>3.2034333700989286E-2</c:v>
                </c:pt>
                <c:pt idx="202">
                  <c:v>3.1999914971126468E-2</c:v>
                </c:pt>
                <c:pt idx="203">
                  <c:v>3.1965632989725795E-2</c:v>
                </c:pt>
                <c:pt idx="204">
                  <c:v>3.1931487589321919E-2</c:v>
                </c:pt>
                <c:pt idx="205">
                  <c:v>3.1897478585410026E-2</c:v>
                </c:pt>
                <c:pt idx="206">
                  <c:v>3.1863605777166744E-2</c:v>
                </c:pt>
                <c:pt idx="207">
                  <c:v>3.1829868948144685E-2</c:v>
                </c:pt>
                <c:pt idx="208">
                  <c:v>3.1796267866941487E-2</c:v>
                </c:pt>
                <c:pt idx="209">
                  <c:v>3.1762802287844311E-2</c:v>
                </c:pt>
                <c:pt idx="210">
                  <c:v>3.1729471951450913E-2</c:v>
                </c:pt>
                <c:pt idx="211">
                  <c:v>3.1696276585267788E-2</c:v>
                </c:pt>
                <c:pt idx="212">
                  <c:v>3.1663215904286585E-2</c:v>
                </c:pt>
                <c:pt idx="213">
                  <c:v>3.1630289611539381E-2</c:v>
                </c:pt>
                <c:pt idx="214">
                  <c:v>3.1597497398633684E-2</c:v>
                </c:pt>
                <c:pt idx="215">
                  <c:v>3.1564838946267867E-2</c:v>
                </c:pt>
                <c:pt idx="216">
                  <c:v>3.1532313924727821E-2</c:v>
                </c:pt>
                <c:pt idx="217">
                  <c:v>3.1499921994365417E-2</c:v>
                </c:pt>
                <c:pt idx="218">
                  <c:v>3.1467662806059525E-2</c:v>
                </c:pt>
                <c:pt idx="219">
                  <c:v>3.143553600166011E-2</c:v>
                </c:pt>
                <c:pt idx="220">
                  <c:v>3.140354121441627E-2</c:v>
                </c:pt>
                <c:pt idx="221">
                  <c:v>3.1371678069388419E-2</c:v>
                </c:pt>
                <c:pt idx="222">
                  <c:v>3.1339946183845543E-2</c:v>
                </c:pt>
                <c:pt idx="223">
                  <c:v>3.1308345167647973E-2</c:v>
                </c:pt>
                <c:pt idx="224">
                  <c:v>3.1276874623615891E-2</c:v>
                </c:pt>
                <c:pt idx="225">
                  <c:v>3.1245534147884783E-2</c:v>
                </c:pt>
                <c:pt idx="226">
                  <c:v>3.1214323330247401E-2</c:v>
                </c:pt>
                <c:pt idx="227">
                  <c:v>3.1183241754483518E-2</c:v>
                </c:pt>
                <c:pt idx="228">
                  <c:v>3.115228899867746E-2</c:v>
                </c:pt>
                <c:pt idx="229">
                  <c:v>3.112146463552401E-2</c:v>
                </c:pt>
                <c:pt idx="230">
                  <c:v>3.1090768232623061E-2</c:v>
                </c:pt>
                <c:pt idx="231">
                  <c:v>3.1060199352763426E-2</c:v>
                </c:pt>
                <c:pt idx="232">
                  <c:v>3.1029757554196222E-2</c:v>
                </c:pt>
                <c:pt idx="233">
                  <c:v>3.0999442390898139E-2</c:v>
                </c:pt>
                <c:pt idx="234">
                  <c:v>3.0969253412824995E-2</c:v>
                </c:pt>
                <c:pt idx="235">
                  <c:v>3.093919016615598E-2</c:v>
                </c:pt>
                <c:pt idx="236">
                  <c:v>3.0909252193528733E-2</c:v>
                </c:pt>
                <c:pt idx="237">
                  <c:v>3.0879439034265814E-2</c:v>
                </c:pt>
                <c:pt idx="238">
                  <c:v>3.0849750224592774E-2</c:v>
                </c:pt>
                <c:pt idx="239">
                  <c:v>3.0820185297847909E-2</c:v>
                </c:pt>
                <c:pt idx="240">
                  <c:v>3.079074378468449E-2</c:v>
                </c:pt>
                <c:pt idx="241">
                  <c:v>3.0761425213265171E-2</c:v>
                </c:pt>
                <c:pt idx="242">
                  <c:v>3.073222910944929E-2</c:v>
                </c:pt>
                <c:pt idx="243">
                  <c:v>3.0703154996973066E-2</c:v>
                </c:pt>
                <c:pt idx="244">
                  <c:v>3.0674202397623029E-2</c:v>
                </c:pt>
                <c:pt idx="245">
                  <c:v>3.0645370831402913E-2</c:v>
                </c:pt>
                <c:pt idx="246">
                  <c:v>3.0616659816694154E-2</c:v>
                </c:pt>
                <c:pt idx="247">
                  <c:v>3.0588068870410524E-2</c:v>
                </c:pt>
                <c:pt idx="248">
                  <c:v>3.0559597508146609E-2</c:v>
                </c:pt>
                <c:pt idx="249">
                  <c:v>3.0531245244320753E-2</c:v>
                </c:pt>
                <c:pt idx="250">
                  <c:v>3.0503011592312643E-2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4B-4690-AE07-A44B75FF3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  <c:max val="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YPR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2799650043744"/>
          <c:y val="4.1666666666666664E-2"/>
          <c:w val="0.84096500437445332"/>
          <c:h val="0.7963888888888889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'SSB at SPRx'!$A$34:$A$284</c:f>
              <c:numCache>
                <c:formatCode>General</c:formatCode>
                <c:ptCount val="251"/>
                <c:pt idx="0">
                  <c:v>1E-4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</c:numCache>
            </c:numRef>
          </c:xVal>
          <c:yVal>
            <c:numRef>
              <c:f>'SSB at SPRx'!$C$34:$C$284</c:f>
              <c:numCache>
                <c:formatCode>General</c:formatCode>
                <c:ptCount val="251"/>
                <c:pt idx="0">
                  <c:v>2.6831243809218875E-5</c:v>
                </c:pt>
                <c:pt idx="1">
                  <c:v>2.5782733080532043E-3</c:v>
                </c:pt>
                <c:pt idx="2">
                  <c:v>4.9577543154900811E-3</c:v>
                </c:pt>
                <c:pt idx="3">
                  <c:v>7.1564693829870487E-3</c:v>
                </c:pt>
                <c:pt idx="4">
                  <c:v>9.1905063333097767E-3</c:v>
                </c:pt>
                <c:pt idx="5">
                  <c:v>1.107425715962243E-2</c:v>
                </c:pt>
                <c:pt idx="6">
                  <c:v>1.2820625972301701E-2</c:v>
                </c:pt>
                <c:pt idx="7">
                  <c:v>1.4441207792607399E-2</c:v>
                </c:pt>
                <c:pt idx="8">
                  <c:v>1.5946442796102703E-2</c:v>
                </c:pt>
                <c:pt idx="9">
                  <c:v>1.7345749801153023E-2</c:v>
                </c:pt>
                <c:pt idx="10">
                  <c:v>1.8647642145849699E-2</c:v>
                </c:pt>
                <c:pt idx="11">
                  <c:v>1.9859828567731084E-2</c:v>
                </c:pt>
                <c:pt idx="12">
                  <c:v>2.0989301269480565E-2</c:v>
                </c:pt>
                <c:pt idx="13">
                  <c:v>2.2042413000715765E-2</c:v>
                </c:pt>
                <c:pt idx="14">
                  <c:v>2.302494469564919E-2</c:v>
                </c:pt>
                <c:pt idx="15">
                  <c:v>2.3942164966673545E-2</c:v>
                </c:pt>
                <c:pt idx="16">
                  <c:v>2.4798882555206347E-2</c:v>
                </c:pt>
                <c:pt idx="17">
                  <c:v>2.5599492675784891E-2</c:v>
                </c:pt>
                <c:pt idx="18">
                  <c:v>2.6348018051333116E-2</c:v>
                </c:pt>
                <c:pt idx="19">
                  <c:v>2.7048145321829226E-2</c:v>
                </c:pt>
                <c:pt idx="20">
                  <c:v>2.7703257411339003E-2</c:v>
                </c:pt>
                <c:pt idx="21">
                  <c:v>2.831646235634885E-2</c:v>
                </c:pt>
                <c:pt idx="22">
                  <c:v>2.8890619028937085E-2</c:v>
                </c:pt>
                <c:pt idx="23">
                  <c:v>2.9428360129442985E-2</c:v>
                </c:pt>
                <c:pt idx="24">
                  <c:v>2.9932112773194745E-2</c:v>
                </c:pt>
                <c:pt idx="25">
                  <c:v>3.0404116953115356E-2</c:v>
                </c:pt>
                <c:pt idx="26">
                  <c:v>3.0846442123461156E-2</c:v>
                </c:pt>
                <c:pt idx="27">
                  <c:v>3.1261002118592375E-2</c:v>
                </c:pt>
                <c:pt idx="28">
                  <c:v>3.1649568593716891E-2</c:v>
                </c:pt>
                <c:pt idx="29">
                  <c:v>3.2013783151319856E-2</c:v>
                </c:pt>
                <c:pt idx="30">
                  <c:v>3.2355168296928388E-2</c:v>
                </c:pt>
                <c:pt idx="31">
                  <c:v>3.2675137350494272E-2</c:v>
                </c:pt>
                <c:pt idx="32">
                  <c:v>3.2975003424613757E-2</c:v>
                </c:pt>
                <c:pt idx="33">
                  <c:v>3.3255987567709033E-2</c:v>
                </c:pt>
                <c:pt idx="34">
                  <c:v>3.3519226158892031E-2</c:v>
                </c:pt>
                <c:pt idx="35">
                  <c:v>3.3765777631279394E-2</c:v>
                </c:pt>
                <c:pt idx="36">
                  <c:v>3.399662859182636E-2</c:v>
                </c:pt>
                <c:pt idx="37">
                  <c:v>3.4212699398127683E-2</c:v>
                </c:pt>
                <c:pt idx="38">
                  <c:v>3.4414849245946968E-2</c:v>
                </c:pt>
                <c:pt idx="39">
                  <c:v>3.4603880815359998E-2</c:v>
                </c:pt>
                <c:pt idx="40">
                  <c:v>3.4780544518223849E-2</c:v>
                </c:pt>
                <c:pt idx="41">
                  <c:v>3.4945542385122895E-2</c:v>
                </c:pt>
                <c:pt idx="42">
                  <c:v>3.509953162591363E-2</c:v>
                </c:pt>
                <c:pt idx="43">
                  <c:v>3.5243127894427746E-2</c:v>
                </c:pt>
                <c:pt idx="44">
                  <c:v>3.5376908284736761E-2</c:v>
                </c:pt>
                <c:pt idx="45">
                  <c:v>3.5501414083581637E-2</c:v>
                </c:pt>
                <c:pt idx="46">
                  <c:v>3.5617153301084704E-2</c:v>
                </c:pt>
                <c:pt idx="47">
                  <c:v>3.5724602999648344E-2</c:v>
                </c:pt>
                <c:pt idx="48">
                  <c:v>3.5824211438975503E-2</c:v>
                </c:pt>
                <c:pt idx="49">
                  <c:v>3.5916400053389773E-2</c:v>
                </c:pt>
                <c:pt idx="50">
                  <c:v>3.6001565276063602E-2</c:v>
                </c:pt>
                <c:pt idx="51">
                  <c:v>3.6080080223361281E-2</c:v>
                </c:pt>
                <c:pt idx="52">
                  <c:v>3.6152296251246906E-2</c:v>
                </c:pt>
                <c:pt idx="53">
                  <c:v>3.6218544394583239E-2</c:v>
                </c:pt>
                <c:pt idx="54">
                  <c:v>3.627913669913755E-2</c:v>
                </c:pt>
                <c:pt idx="55">
                  <c:v>3.6334367455203589E-2</c:v>
                </c:pt>
                <c:pt idx="56">
                  <c:v>3.6384514340934739E-2</c:v>
                </c:pt>
                <c:pt idx="57">
                  <c:v>3.6429839482748388E-2</c:v>
                </c:pt>
                <c:pt idx="58">
                  <c:v>3.6470590439501113E-2</c:v>
                </c:pt>
                <c:pt idx="59">
                  <c:v>3.6507001116538318E-2</c:v>
                </c:pt>
                <c:pt idx="60">
                  <c:v>3.6539292615182649E-2</c:v>
                </c:pt>
                <c:pt idx="61">
                  <c:v>3.65676740227402E-2</c:v>
                </c:pt>
                <c:pt idx="62">
                  <c:v>3.659234314766216E-2</c:v>
                </c:pt>
                <c:pt idx="63">
                  <c:v>3.6613487204102325E-2</c:v>
                </c:pt>
                <c:pt idx="64">
                  <c:v>3.6631283449749211E-2</c:v>
                </c:pt>
                <c:pt idx="65">
                  <c:v>3.6645899780483548E-2</c:v>
                </c:pt>
                <c:pt idx="66">
                  <c:v>3.6657495285115846E-2</c:v>
                </c:pt>
                <c:pt idx="67">
                  <c:v>3.6666220763187027E-2</c:v>
                </c:pt>
                <c:pt idx="68">
                  <c:v>3.6672219208570951E-2</c:v>
                </c:pt>
                <c:pt idx="69">
                  <c:v>3.6675626261392653E-2</c:v>
                </c:pt>
                <c:pt idx="70">
                  <c:v>3.6676570630573536E-2</c:v>
                </c:pt>
                <c:pt idx="71">
                  <c:v>3.6675174489128624E-2</c:v>
                </c:pt>
                <c:pt idx="72">
                  <c:v>3.6671553844171194E-2</c:v>
                </c:pt>
                <c:pt idx="73">
                  <c:v>3.6665818883426606E-2</c:v>
                </c:pt>
                <c:pt idx="74">
                  <c:v>3.6658074299914419E-2</c:v>
                </c:pt>
                <c:pt idx="75">
                  <c:v>3.6648419596329793E-2</c:v>
                </c:pt>
                <c:pt idx="76">
                  <c:v>3.6636949370536506E-2</c:v>
                </c:pt>
                <c:pt idx="77">
                  <c:v>3.6623753583475499E-2</c:v>
                </c:pt>
                <c:pt idx="78">
                  <c:v>3.6608917810693899E-2</c:v>
                </c:pt>
                <c:pt idx="79">
                  <c:v>3.6592523478608766E-2</c:v>
                </c:pt>
                <c:pt idx="80">
                  <c:v>3.6574648086535502E-2</c:v>
                </c:pt>
                <c:pt idx="81">
                  <c:v>3.6555365415435179E-2</c:v>
                </c:pt>
                <c:pt idx="82">
                  <c:v>3.6534745724263955E-2</c:v>
                </c:pt>
                <c:pt idx="83">
                  <c:v>3.6512855934743377E-2</c:v>
                </c:pt>
                <c:pt idx="84">
                  <c:v>3.6489759805310558E-2</c:v>
                </c:pt>
                <c:pt idx="85">
                  <c:v>3.6465518094952631E-2</c:v>
                </c:pt>
                <c:pt idx="86">
                  <c:v>3.6440188717579043E-2</c:v>
                </c:pt>
                <c:pt idx="87">
                  <c:v>3.641382688753917E-2</c:v>
                </c:pt>
                <c:pt idx="88">
                  <c:v>3.6386485256849233E-2</c:v>
                </c:pt>
                <c:pt idx="89">
                  <c:v>3.635821404465342E-2</c:v>
                </c:pt>
                <c:pt idx="90">
                  <c:v>3.6329061159407205E-2</c:v>
                </c:pt>
                <c:pt idx="91">
                  <c:v>3.6299072314236999E-2</c:v>
                </c:pt>
                <c:pt idx="92">
                  <c:v>3.6268291135899411E-2</c:v>
                </c:pt>
                <c:pt idx="93">
                  <c:v>3.6236759267734245E-2</c:v>
                </c:pt>
                <c:pt idx="94">
                  <c:v>3.620451646697833E-2</c:v>
                </c:pt>
                <c:pt idx="95">
                  <c:v>3.6171600696783351E-2</c:v>
                </c:pt>
                <c:pt idx="96">
                  <c:v>3.6138048213256793E-2</c:v>
                </c:pt>
                <c:pt idx="97">
                  <c:v>3.6103893647825139E-2</c:v>
                </c:pt>
                <c:pt idx="98">
                  <c:v>3.6069170085197381E-2</c:v>
                </c:pt>
                <c:pt idx="99">
                  <c:v>3.6033909137189797E-2</c:v>
                </c:pt>
                <c:pt idx="100">
                  <c:v>3.5998141012655263E-2</c:v>
                </c:pt>
                <c:pt idx="101">
                  <c:v>3.5961894583744748E-2</c:v>
                </c:pt>
                <c:pt idx="102">
                  <c:v>3.5925197448714148E-2</c:v>
                </c:pt>
                <c:pt idx="103">
                  <c:v>3.5888075991475893E-2</c:v>
                </c:pt>
                <c:pt idx="104">
                  <c:v>3.5850555438081889E-2</c:v>
                </c:pt>
                <c:pt idx="105">
                  <c:v>3.5812659910313023E-2</c:v>
                </c:pt>
                <c:pt idx="106">
                  <c:v>3.5774412476538814E-2</c:v>
                </c:pt>
                <c:pt idx="107">
                  <c:v>3.5735835200001509E-2</c:v>
                </c:pt>
                <c:pt idx="108">
                  <c:v>3.5696949184668189E-2</c:v>
                </c:pt>
                <c:pt idx="109">
                  <c:v>3.5657774618786789E-2</c:v>
                </c:pt>
                <c:pt idx="110">
                  <c:v>3.5618330816272713E-2</c:v>
                </c:pt>
                <c:pt idx="111">
                  <c:v>3.5578636256045397E-2</c:v>
                </c:pt>
                <c:pt idx="112">
                  <c:v>3.5538708619427158E-2</c:v>
                </c:pt>
                <c:pt idx="113">
                  <c:v>3.5498564825709393E-2</c:v>
                </c:pt>
                <c:pt idx="114">
                  <c:v>3.5458221065985208E-2</c:v>
                </c:pt>
                <c:pt idx="115">
                  <c:v>3.5417692835341977E-2</c:v>
                </c:pt>
                <c:pt idx="116">
                  <c:v>3.5376994963500816E-2</c:v>
                </c:pt>
                <c:pt idx="117">
                  <c:v>3.5336141643986421E-2</c:v>
                </c:pt>
                <c:pt idx="118">
                  <c:v>3.5295146461903924E-2</c:v>
                </c:pt>
                <c:pt idx="119">
                  <c:v>3.5254022420396817E-2</c:v>
                </c:pt>
                <c:pt idx="120">
                  <c:v>3.5212781965854402E-2</c:v>
                </c:pt>
                <c:pt idx="121">
                  <c:v>3.5171437011933926E-2</c:v>
                </c:pt>
                <c:pt idx="122">
                  <c:v>3.5129998962458497E-2</c:v>
                </c:pt>
                <c:pt idx="123">
                  <c:v>3.50884787332491E-2</c:v>
                </c:pt>
                <c:pt idx="124">
                  <c:v>3.5046886772944486E-2</c:v>
                </c:pt>
                <c:pt idx="125">
                  <c:v>3.5005233082861152E-2</c:v>
                </c:pt>
                <c:pt idx="126">
                  <c:v>3.4963527235941427E-2</c:v>
                </c:pt>
                <c:pt idx="127">
                  <c:v>3.4921778394836039E-2</c:v>
                </c:pt>
                <c:pt idx="128">
                  <c:v>3.4879995329164137E-2</c:v>
                </c:pt>
                <c:pt idx="129">
                  <c:v>3.4838186431992046E-2</c:v>
                </c:pt>
                <c:pt idx="130">
                  <c:v>3.4796359735569382E-2</c:v>
                </c:pt>
                <c:pt idx="131">
                  <c:v>3.4754522926358958E-2</c:v>
                </c:pt>
                <c:pt idx="132">
                  <c:v>3.4712683359395743E-2</c:v>
                </c:pt>
                <c:pt idx="133">
                  <c:v>3.4670848072006884E-2</c:v>
                </c:pt>
                <c:pt idx="134">
                  <c:v>3.4629023796924438E-2</c:v>
                </c:pt>
                <c:pt idx="135">
                  <c:v>3.4587216974819875E-2</c:v>
                </c:pt>
                <c:pt idx="136">
                  <c:v>3.4545433766288325E-2</c:v>
                </c:pt>
                <c:pt idx="137">
                  <c:v>3.4503680063308881E-2</c:v>
                </c:pt>
                <c:pt idx="138">
                  <c:v>3.4461961500205918E-2</c:v>
                </c:pt>
                <c:pt idx="139">
                  <c:v>3.4420283464135157E-2</c:v>
                </c:pt>
                <c:pt idx="140">
                  <c:v>3.4378651105116884E-2</c:v>
                </c:pt>
                <c:pt idx="141">
                  <c:v>3.4337069345637551E-2</c:v>
                </c:pt>
                <c:pt idx="142">
                  <c:v>3.4295542889840255E-2</c:v>
                </c:pt>
                <c:pt idx="143">
                  <c:v>3.4254076232322642E-2</c:v>
                </c:pt>
                <c:pt idx="144">
                  <c:v>3.4212673666561194E-2</c:v>
                </c:pt>
                <c:pt idx="145">
                  <c:v>3.4171339292978525E-2</c:v>
                </c:pt>
                <c:pt idx="146">
                  <c:v>3.4130077026670418E-2</c:v>
                </c:pt>
                <c:pt idx="147">
                  <c:v>3.4088890604807999E-2</c:v>
                </c:pt>
                <c:pt idx="148">
                  <c:v>3.4047783593730105E-2</c:v>
                </c:pt>
                <c:pt idx="149">
                  <c:v>3.4006759395739619E-2</c:v>
                </c:pt>
                <c:pt idx="150">
                  <c:v>3.3965821255617049E-2</c:v>
                </c:pt>
                <c:pt idx="151">
                  <c:v>3.3924972266864729E-2</c:v>
                </c:pt>
                <c:pt idx="152">
                  <c:v>3.3884215377692754E-2</c:v>
                </c:pt>
                <c:pt idx="153">
                  <c:v>3.3843553396758888E-2</c:v>
                </c:pt>
                <c:pt idx="154">
                  <c:v>3.3802988998673122E-2</c:v>
                </c:pt>
                <c:pt idx="155">
                  <c:v>3.3762524729277293E-2</c:v>
                </c:pt>
                <c:pt idx="156">
                  <c:v>3.3722163010709433E-2</c:v>
                </c:pt>
                <c:pt idx="157">
                  <c:v>3.3681906146262965E-2</c:v>
                </c:pt>
                <c:pt idx="158">
                  <c:v>3.3641756325048844E-2</c:v>
                </c:pt>
                <c:pt idx="159">
                  <c:v>3.3601715626469866E-2</c:v>
                </c:pt>
                <c:pt idx="160">
                  <c:v>3.3561786024515011E-2</c:v>
                </c:pt>
                <c:pt idx="161">
                  <c:v>3.3521969391881637E-2</c:v>
                </c:pt>
                <c:pt idx="162">
                  <c:v>3.3482267503932871E-2</c:v>
                </c:pt>
                <c:pt idx="163">
                  <c:v>3.3442682042497375E-2</c:v>
                </c:pt>
                <c:pt idx="164">
                  <c:v>3.3403214599518165E-2</c:v>
                </c:pt>
                <c:pt idx="165">
                  <c:v>3.3363866680556784E-2</c:v>
                </c:pt>
                <c:pt idx="166">
                  <c:v>3.3324639708159125E-2</c:v>
                </c:pt>
                <c:pt idx="167">
                  <c:v>3.3285535025088658E-2</c:v>
                </c:pt>
                <c:pt idx="168">
                  <c:v>3.3246553897432668E-2</c:v>
                </c:pt>
                <c:pt idx="169">
                  <c:v>3.3207697517586704E-2</c:v>
                </c:pt>
                <c:pt idx="170">
                  <c:v>3.3168967007122539E-2</c:v>
                </c:pt>
                <c:pt idx="171">
                  <c:v>3.3130363419544319E-2</c:v>
                </c:pt>
                <c:pt idx="172">
                  <c:v>3.3091887742937545E-2</c:v>
                </c:pt>
                <c:pt idx="173">
                  <c:v>3.305354090251536E-2</c:v>
                </c:pt>
                <c:pt idx="174">
                  <c:v>3.3015323763066401E-2</c:v>
                </c:pt>
                <c:pt idx="175">
                  <c:v>3.2977237131308172E-2</c:v>
                </c:pt>
                <c:pt idx="176">
                  <c:v>3.2939281758149787E-2</c:v>
                </c:pt>
                <c:pt idx="177">
                  <c:v>3.2901458340867912E-2</c:v>
                </c:pt>
                <c:pt idx="178">
                  <c:v>3.2863767525199275E-2</c:v>
                </c:pt>
                <c:pt idx="179">
                  <c:v>3.2826209907353195E-2</c:v>
                </c:pt>
                <c:pt idx="180">
                  <c:v>3.2788786035947357E-2</c:v>
                </c:pt>
                <c:pt idx="181">
                  <c:v>3.2751496413869874E-2</c:v>
                </c:pt>
                <c:pt idx="182">
                  <c:v>3.2714341500070666E-2</c:v>
                </c:pt>
                <c:pt idx="183">
                  <c:v>3.2677321711284874E-2</c:v>
                </c:pt>
                <c:pt idx="184">
                  <c:v>3.2640437423691153E-2</c:v>
                </c:pt>
                <c:pt idx="185">
                  <c:v>3.2603688974507293E-2</c:v>
                </c:pt>
                <c:pt idx="186">
                  <c:v>3.2567076663525686E-2</c:v>
                </c:pt>
                <c:pt idx="187">
                  <c:v>3.2530600754591098E-2</c:v>
                </c:pt>
                <c:pt idx="188">
                  <c:v>3.2494261477022925E-2</c:v>
                </c:pt>
                <c:pt idx="189">
                  <c:v>3.2458059026984093E-2</c:v>
                </c:pt>
                <c:pt idx="190">
                  <c:v>3.2421993568798817E-2</c:v>
                </c:pt>
                <c:pt idx="191">
                  <c:v>3.2386065236221034E-2</c:v>
                </c:pt>
                <c:pt idx="192">
                  <c:v>3.2350274133655599E-2</c:v>
                </c:pt>
                <c:pt idx="193">
                  <c:v>3.2314620337333906E-2</c:v>
                </c:pt>
                <c:pt idx="194">
                  <c:v>3.2279103896445914E-2</c:v>
                </c:pt>
                <c:pt idx="195">
                  <c:v>3.224372483423002E-2</c:v>
                </c:pt>
                <c:pt idx="196">
                  <c:v>3.2208483149022589E-2</c:v>
                </c:pt>
                <c:pt idx="197">
                  <c:v>3.2173378815268501E-2</c:v>
                </c:pt>
                <c:pt idx="198">
                  <c:v>3.2138411784494489E-2</c:v>
                </c:pt>
                <c:pt idx="199">
                  <c:v>3.2103581986246368E-2</c:v>
                </c:pt>
                <c:pt idx="200">
                  <c:v>3.2068889328991719E-2</c:v>
                </c:pt>
                <c:pt idx="201">
                  <c:v>3.2034333700989286E-2</c:v>
                </c:pt>
                <c:pt idx="202">
                  <c:v>3.1999914971126468E-2</c:v>
                </c:pt>
                <c:pt idx="203">
                  <c:v>3.1965632989725795E-2</c:v>
                </c:pt>
                <c:pt idx="204">
                  <c:v>3.1931487589321919E-2</c:v>
                </c:pt>
                <c:pt idx="205">
                  <c:v>3.1897478585410026E-2</c:v>
                </c:pt>
                <c:pt idx="206">
                  <c:v>3.1863605777166744E-2</c:v>
                </c:pt>
                <c:pt idx="207">
                  <c:v>3.1829868948144685E-2</c:v>
                </c:pt>
                <c:pt idx="208">
                  <c:v>3.1796267866941487E-2</c:v>
                </c:pt>
                <c:pt idx="209">
                  <c:v>3.1762802287844311E-2</c:v>
                </c:pt>
                <c:pt idx="210">
                  <c:v>3.1729471951450913E-2</c:v>
                </c:pt>
                <c:pt idx="211">
                  <c:v>3.1696276585267788E-2</c:v>
                </c:pt>
                <c:pt idx="212">
                  <c:v>3.1663215904286585E-2</c:v>
                </c:pt>
                <c:pt idx="213">
                  <c:v>3.1630289611539381E-2</c:v>
                </c:pt>
                <c:pt idx="214">
                  <c:v>3.1597497398633684E-2</c:v>
                </c:pt>
                <c:pt idx="215">
                  <c:v>3.1564838946267867E-2</c:v>
                </c:pt>
                <c:pt idx="216">
                  <c:v>3.1532313924727821E-2</c:v>
                </c:pt>
                <c:pt idx="217">
                  <c:v>3.1499921994365417E-2</c:v>
                </c:pt>
                <c:pt idx="218">
                  <c:v>3.1467662806059525E-2</c:v>
                </c:pt>
                <c:pt idx="219">
                  <c:v>3.143553600166011E-2</c:v>
                </c:pt>
                <c:pt idx="220">
                  <c:v>3.140354121441627E-2</c:v>
                </c:pt>
                <c:pt idx="221">
                  <c:v>3.1371678069388419E-2</c:v>
                </c:pt>
                <c:pt idx="222">
                  <c:v>3.1339946183845543E-2</c:v>
                </c:pt>
                <c:pt idx="223">
                  <c:v>3.1308345167647973E-2</c:v>
                </c:pt>
                <c:pt idx="224">
                  <c:v>3.1276874623615891E-2</c:v>
                </c:pt>
                <c:pt idx="225">
                  <c:v>3.1245534147884783E-2</c:v>
                </c:pt>
                <c:pt idx="226">
                  <c:v>3.1214323330247401E-2</c:v>
                </c:pt>
                <c:pt idx="227">
                  <c:v>3.1183241754483518E-2</c:v>
                </c:pt>
                <c:pt idx="228">
                  <c:v>3.115228899867746E-2</c:v>
                </c:pt>
                <c:pt idx="229">
                  <c:v>3.112146463552401E-2</c:v>
                </c:pt>
                <c:pt idx="230">
                  <c:v>3.1090768232623061E-2</c:v>
                </c:pt>
                <c:pt idx="231">
                  <c:v>3.1060199352763426E-2</c:v>
                </c:pt>
                <c:pt idx="232">
                  <c:v>3.1029757554196222E-2</c:v>
                </c:pt>
                <c:pt idx="233">
                  <c:v>3.0999442390898139E-2</c:v>
                </c:pt>
                <c:pt idx="234">
                  <c:v>3.0969253412824995E-2</c:v>
                </c:pt>
                <c:pt idx="235">
                  <c:v>3.093919016615598E-2</c:v>
                </c:pt>
                <c:pt idx="236">
                  <c:v>3.0909252193528733E-2</c:v>
                </c:pt>
                <c:pt idx="237">
                  <c:v>3.0879439034265814E-2</c:v>
                </c:pt>
                <c:pt idx="238">
                  <c:v>3.0849750224592774E-2</c:v>
                </c:pt>
                <c:pt idx="239">
                  <c:v>3.0820185297847909E-2</c:v>
                </c:pt>
                <c:pt idx="240">
                  <c:v>3.079074378468449E-2</c:v>
                </c:pt>
                <c:pt idx="241">
                  <c:v>3.0761425213265171E-2</c:v>
                </c:pt>
                <c:pt idx="242">
                  <c:v>3.073222910944929E-2</c:v>
                </c:pt>
                <c:pt idx="243">
                  <c:v>3.0703154996973066E-2</c:v>
                </c:pt>
                <c:pt idx="244">
                  <c:v>3.0674202397623029E-2</c:v>
                </c:pt>
                <c:pt idx="245">
                  <c:v>3.0645370831402913E-2</c:v>
                </c:pt>
                <c:pt idx="246">
                  <c:v>3.0616659816694154E-2</c:v>
                </c:pt>
                <c:pt idx="247">
                  <c:v>3.0588068870410524E-2</c:v>
                </c:pt>
                <c:pt idx="248">
                  <c:v>3.0559597508146609E-2</c:v>
                </c:pt>
                <c:pt idx="249">
                  <c:v>3.0531245244320753E-2</c:v>
                </c:pt>
                <c:pt idx="250">
                  <c:v>3.0503011592312643E-2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DF-47D8-BEF3-1ACAF3B1E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  <c:max val="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YPR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2799650043744"/>
          <c:y val="4.1666666666666664E-2"/>
          <c:w val="0.84096500437445332"/>
          <c:h val="0.7963888888888889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'SSB at SPRx'!$A$34:$A$284</c:f>
              <c:numCache>
                <c:formatCode>General</c:formatCode>
                <c:ptCount val="251"/>
                <c:pt idx="0">
                  <c:v>1E-4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</c:numCache>
            </c:numRef>
          </c:xVal>
          <c:yVal>
            <c:numRef>
              <c:f>'SSB at SPRx'!$B$34:$B$284</c:f>
              <c:numCache>
                <c:formatCode>General</c:formatCode>
                <c:ptCount val="251"/>
                <c:pt idx="0">
                  <c:v>0.99957921186715459</c:v>
                </c:pt>
                <c:pt idx="1">
                  <c:v>0.95923692764839574</c:v>
                </c:pt>
                <c:pt idx="2">
                  <c:v>0.92098392015969677</c:v>
                </c:pt>
                <c:pt idx="3">
                  <c:v>0.8850352768045644</c:v>
                </c:pt>
                <c:pt idx="4">
                  <c:v>0.85120627324999176</c:v>
                </c:pt>
                <c:pt idx="5">
                  <c:v>0.81933060785614542</c:v>
                </c:pt>
                <c:pt idx="6">
                  <c:v>0.78925820861960994</c:v>
                </c:pt>
                <c:pt idx="7">
                  <c:v>0.76085334295682439</c:v>
                </c:pt>
                <c:pt idx="8">
                  <c:v>0.7339929828557693</c:v>
                </c:pt>
                <c:pt idx="9">
                  <c:v>0.70856538622649956</c:v>
                </c:pt>
                <c:pt idx="10">
                  <c:v>0.68446886198619394</c:v>
                </c:pt>
                <c:pt idx="11">
                  <c:v>0.66161069185628396</c:v>
                </c:pt>
                <c:pt idx="12">
                  <c:v>0.63990618628682094</c:v>
                </c:pt>
                <c:pt idx="13">
                  <c:v>0.61927785555832326</c:v>
                </c:pt>
                <c:pt idx="14">
                  <c:v>0.59965468010187983</c:v>
                </c:pt>
                <c:pt idx="15">
                  <c:v>0.58097146654880893</c:v>
                </c:pt>
                <c:pt idx="16">
                  <c:v>0.56316827807014747</c:v>
                </c:pt>
                <c:pt idx="17">
                  <c:v>0.54618992927210608</c:v>
                </c:pt>
                <c:pt idx="18">
                  <c:v>0.529985537338996</c:v>
                </c:pt>
                <c:pt idx="19">
                  <c:v>0.51450812231029308</c:v>
                </c:pt>
                <c:pt idx="20">
                  <c:v>0.49971425038404899</c:v>
                </c:pt>
                <c:pt idx="21">
                  <c:v>0.48556371498754353</c:v>
                </c:pt>
                <c:pt idx="22">
                  <c:v>0.47201925107466908</c:v>
                </c:pt>
                <c:pt idx="23">
                  <c:v>0.45904627871976766</c:v>
                </c:pt>
                <c:pt idx="24">
                  <c:v>0.4466126725973425</c:v>
                </c:pt>
                <c:pt idx="25">
                  <c:v>0.43468855438093951</c:v>
                </c:pt>
                <c:pt idx="26">
                  <c:v>0.42324610547457209</c:v>
                </c:pt>
                <c:pt idx="27">
                  <c:v>0.41225939781640808</c:v>
                </c:pt>
                <c:pt idx="28">
                  <c:v>0.40170424077530392</c:v>
                </c:pt>
                <c:pt idx="29">
                  <c:v>0.39155804240312425</c:v>
                </c:pt>
                <c:pt idx="30">
                  <c:v>0.38179968351535931</c:v>
                </c:pt>
                <c:pt idx="31">
                  <c:v>0.37240940325421801</c:v>
                </c:pt>
                <c:pt idx="32">
                  <c:v>0.36336869494617685</c:v>
                </c:pt>
                <c:pt idx="33">
                  <c:v>0.35466021120334157</c:v>
                </c:pt>
                <c:pt idx="34">
                  <c:v>0.34626767733781055</c:v>
                </c:pt>
                <c:pt idx="35">
                  <c:v>0.33817581226297005</c:v>
                </c:pt>
                <c:pt idx="36">
                  <c:v>0.33037025614737897</c:v>
                </c:pt>
                <c:pt idx="37">
                  <c:v>0.32283750416738044</c:v>
                </c:pt>
                <c:pt idx="38">
                  <c:v>0.31556484577532051</c:v>
                </c:pt>
                <c:pt idx="39">
                  <c:v>0.30854030896254203</c:v>
                </c:pt>
                <c:pt idx="40">
                  <c:v>0.30175260905127022</c:v>
                </c:pt>
                <c:pt idx="41">
                  <c:v>0.29519110159804574</c:v>
                </c:pt>
                <c:pt idx="42">
                  <c:v>0.28884573903432609</c:v>
                </c:pt>
                <c:pt idx="43">
                  <c:v>0.28270703070795095</c:v>
                </c:pt>
                <c:pt idx="44">
                  <c:v>0.27676600602296936</c:v>
                </c:pt>
                <c:pt idx="45">
                  <c:v>0.2710141804053825</c:v>
                </c:pt>
                <c:pt idx="46">
                  <c:v>0.26544352384910719</c:v>
                </c:pt>
                <c:pt idx="47">
                  <c:v>0.26004643182032355</c:v>
                </c:pt>
                <c:pt idx="48">
                  <c:v>0.25481569831967105</c:v>
                </c:pt>
                <c:pt idx="49">
                  <c:v>0.24974449092079545</c:v>
                </c:pt>
                <c:pt idx="50">
                  <c:v>0.24482632762079964</c:v>
                </c:pt>
                <c:pt idx="51">
                  <c:v>0.2400550553534288</c:v>
                </c:pt>
                <c:pt idx="52">
                  <c:v>0.23542483002953274</c:v>
                </c:pt>
                <c:pt idx="53">
                  <c:v>0.23093009798167222</c:v>
                </c:pt>
                <c:pt idx="54">
                  <c:v>0.22656557870081895</c:v>
                </c:pt>
                <c:pt idx="55">
                  <c:v>0.22232624876308388</c:v>
                </c:pt>
                <c:pt idx="56">
                  <c:v>0.21820732685340971</c:v>
                </c:pt>
                <c:pt idx="57">
                  <c:v>0.2142042598012916</c:v>
                </c:pt>
                <c:pt idx="58">
                  <c:v>0.21031270955093084</c:v>
                </c:pt>
                <c:pt idx="59">
                  <c:v>0.20652854099487075</c:v>
                </c:pt>
                <c:pt idx="60">
                  <c:v>0.20284781060617973</c:v>
                </c:pt>
                <c:pt idx="61">
                  <c:v>0.19926675580969788</c:v>
                </c:pt>
                <c:pt idx="62">
                  <c:v>0.1957817850378121</c:v>
                </c:pt>
                <c:pt idx="63">
                  <c:v>0.19238946842071836</c:v>
                </c:pt>
                <c:pt idx="64">
                  <c:v>0.18908652906521431</c:v>
                </c:pt>
                <c:pt idx="65">
                  <c:v>0.18586983487978351</c:v>
                </c:pt>
                <c:pt idx="66">
                  <c:v>0.1827363909071173</c:v>
                </c:pt>
                <c:pt idx="67">
                  <c:v>0.17968333212830681</c:v>
                </c:pt>
                <c:pt idx="68">
                  <c:v>0.17670791670575484</c:v>
                </c:pt>
                <c:pt idx="69">
                  <c:v>0.17380751963442487</c:v>
                </c:pt>
                <c:pt idx="70">
                  <c:v>0.17097962677339942</c:v>
                </c:pt>
                <c:pt idx="71">
                  <c:v>0.16822182923186543</c:v>
                </c:pt>
                <c:pt idx="72">
                  <c:v>0.16553181808561276</c:v>
                </c:pt>
                <c:pt idx="73">
                  <c:v>0.16290737940193675</c:v>
                </c:pt>
                <c:pt idx="74">
                  <c:v>0.16034638955248445</c:v>
                </c:pt>
                <c:pt idx="75">
                  <c:v>0.15784681079510507</c:v>
                </c:pt>
                <c:pt idx="76">
                  <c:v>0.15540668710715308</c:v>
                </c:pt>
                <c:pt idx="77">
                  <c:v>0.15302414025397582</c:v>
                </c:pt>
                <c:pt idx="78">
                  <c:v>0.15069736607749068</c:v>
                </c:pt>
                <c:pt idx="79">
                  <c:v>0.14842463099084291</c:v>
                </c:pt>
                <c:pt idx="80">
                  <c:v>0.14620426866612815</c:v>
                </c:pt>
                <c:pt idx="81">
                  <c:v>0.14403467690308663</c:v>
                </c:pt>
                <c:pt idx="82">
                  <c:v>0.14191431466752027</c:v>
                </c:pt>
                <c:pt idx="83">
                  <c:v>0.13984169928896562</c:v>
                </c:pt>
                <c:pt idx="84">
                  <c:v>0.1378154038078801</c:v>
                </c:pt>
                <c:pt idx="85">
                  <c:v>0.13583405446326158</c:v>
                </c:pt>
                <c:pt idx="86">
                  <c:v>0.13389632831224157</c:v>
                </c:pt>
                <c:pt idx="87">
                  <c:v>0.13200095097376027</c:v>
                </c:pt>
                <c:pt idx="88">
                  <c:v>0.13014669448895982</c:v>
                </c:pt>
                <c:pt idx="89">
                  <c:v>0.12833237529142205</c:v>
                </c:pt>
                <c:pt idx="90">
                  <c:v>0.12655685228082902</c:v>
                </c:pt>
                <c:pt idx="91">
                  <c:v>0.12481902499404432</c:v>
                </c:pt>
                <c:pt idx="92">
                  <c:v>0.12311783186800448</c:v>
                </c:pt>
                <c:pt idx="93">
                  <c:v>0.12145224858916968</c:v>
                </c:pt>
                <c:pt idx="94">
                  <c:v>0.11982128652462072</c:v>
                </c:pt>
                <c:pt idx="95">
                  <c:v>0.11822399123019942</c:v>
                </c:pt>
                <c:pt idx="96">
                  <c:v>0.11665944103138232</c:v>
                </c:pt>
                <c:pt idx="97">
                  <c:v>0.1151267456728463</c:v>
                </c:pt>
                <c:pt idx="98">
                  <c:v>0.11362504503293572</c:v>
                </c:pt>
                <c:pt idx="99">
                  <c:v>0.11215350789947565</c:v>
                </c:pt>
                <c:pt idx="100">
                  <c:v>0.11071133080359519</c:v>
                </c:pt>
                <c:pt idx="101">
                  <c:v>0.10929773690842412</c:v>
                </c:pt>
                <c:pt idx="102">
                  <c:v>0.1079119749497213</c:v>
                </c:pt>
                <c:pt idx="103">
                  <c:v>0.1065533182256652</c:v>
                </c:pt>
                <c:pt idx="104">
                  <c:v>0.1052210636332062</c:v>
                </c:pt>
                <c:pt idx="105">
                  <c:v>0.10391453074853127</c:v>
                </c:pt>
                <c:pt idx="106">
                  <c:v>0.10263306094933849</c:v>
                </c:pt>
                <c:pt idx="107">
                  <c:v>0.1013760165767526</c:v>
                </c:pt>
                <c:pt idx="108">
                  <c:v>0.10014278013483779</c:v>
                </c:pt>
                <c:pt idx="109">
                  <c:v>9.8932753525784664E-2</c:v>
                </c:pt>
                <c:pt idx="110">
                  <c:v>9.7745357318956186E-2</c:v>
                </c:pt>
                <c:pt idx="111">
                  <c:v>9.6580030052081406E-2</c:v>
                </c:pt>
                <c:pt idx="112">
                  <c:v>9.5436227562984366E-2</c:v>
                </c:pt>
                <c:pt idx="113">
                  <c:v>9.4313422350324513E-2</c:v>
                </c:pt>
                <c:pt idx="114">
                  <c:v>9.3211102961910278E-2</c:v>
                </c:pt>
                <c:pt idx="115">
                  <c:v>9.2128773409229162E-2</c:v>
                </c:pt>
                <c:pt idx="116">
                  <c:v>9.106595260691018E-2</c:v>
                </c:pt>
                <c:pt idx="117">
                  <c:v>9.002217383590766E-2</c:v>
                </c:pt>
                <c:pt idx="118">
                  <c:v>8.8996984229258322E-2</c:v>
                </c:pt>
                <c:pt idx="119">
                  <c:v>8.7989944279329255E-2</c:v>
                </c:pt>
                <c:pt idx="120">
                  <c:v>8.7000627365529895E-2</c:v>
                </c:pt>
                <c:pt idx="121">
                  <c:v>8.6028619301517895E-2</c:v>
                </c:pt>
                <c:pt idx="122">
                  <c:v>8.5073517900979223E-2</c:v>
                </c:pt>
                <c:pt idx="123">
                  <c:v>8.4134932561112749E-2</c:v>
                </c:pt>
                <c:pt idx="124">
                  <c:v>8.3212483862993875E-2</c:v>
                </c:pt>
                <c:pt idx="125">
                  <c:v>8.2305803188036375E-2</c:v>
                </c:pt>
                <c:pt idx="126">
                  <c:v>8.1414532349811275E-2</c:v>
                </c:pt>
                <c:pt idx="127">
                  <c:v>8.0538323240519641E-2</c:v>
                </c:pt>
                <c:pt idx="128">
                  <c:v>7.9676837491453864E-2</c:v>
                </c:pt>
                <c:pt idx="129">
                  <c:v>7.8829746146813942E-2</c:v>
                </c:pt>
                <c:pt idx="130">
                  <c:v>7.7996729350278682E-2</c:v>
                </c:pt>
                <c:pt idx="131">
                  <c:v>7.7177476043762169E-2</c:v>
                </c:pt>
                <c:pt idx="132">
                  <c:v>7.6371683677813468E-2</c:v>
                </c:pt>
                <c:pt idx="133">
                  <c:v>7.5579057933145746E-2</c:v>
                </c:pt>
                <c:pt idx="134">
                  <c:v>7.4799312452805286E-2</c:v>
                </c:pt>
                <c:pt idx="135">
                  <c:v>7.4032168584516042E-2</c:v>
                </c:pt>
                <c:pt idx="136">
                  <c:v>7.3277355132758112E-2</c:v>
                </c:pt>
                <c:pt idx="137">
                  <c:v>7.2534608120158744E-2</c:v>
                </c:pt>
                <c:pt idx="138">
                  <c:v>7.1803670557796961E-2</c:v>
                </c:pt>
                <c:pt idx="139">
                  <c:v>7.1084292224040529E-2</c:v>
                </c:pt>
                <c:pt idx="140">
                  <c:v>7.0376229451553057E-2</c:v>
                </c:pt>
                <c:pt idx="141">
                  <c:v>6.9679244922125974E-2</c:v>
                </c:pt>
                <c:pt idx="142">
                  <c:v>6.8993107469006928E-2</c:v>
                </c:pt>
                <c:pt idx="143">
                  <c:v>6.8317591886411205E-2</c:v>
                </c:pt>
                <c:pt idx="144">
                  <c:v>6.7652478745917649E-2</c:v>
                </c:pt>
                <c:pt idx="145">
                  <c:v>6.6997554219464753E-2</c:v>
                </c:pt>
                <c:pt idx="146">
                  <c:v>6.6352609908675364E-2</c:v>
                </c:pt>
                <c:pt idx="147">
                  <c:v>6.5717442680251384E-2</c:v>
                </c:pt>
                <c:pt idx="148">
                  <c:v>6.5091854507191488E-2</c:v>
                </c:pt>
                <c:pt idx="149">
                  <c:v>6.4475652315596252E-2</c:v>
                </c:pt>
                <c:pt idx="150">
                  <c:v>6.3868647836835962E-2</c:v>
                </c:pt>
                <c:pt idx="151">
                  <c:v>6.327065746486614E-2</c:v>
                </c:pt>
                <c:pt idx="152">
                  <c:v>6.2681502118486027E-2</c:v>
                </c:pt>
                <c:pt idx="153">
                  <c:v>6.2101007108344021E-2</c:v>
                </c:pt>
                <c:pt idx="154">
                  <c:v>6.1529002008503031E-2</c:v>
                </c:pt>
                <c:pt idx="155">
                  <c:v>6.096532053238668E-2</c:v>
                </c:pt>
                <c:pt idx="156">
                  <c:v>6.0409800412935824E-2</c:v>
                </c:pt>
                <c:pt idx="157">
                  <c:v>5.9862283286811716E-2</c:v>
                </c:pt>
                <c:pt idx="158">
                  <c:v>5.9322614582489316E-2</c:v>
                </c:pt>
                <c:pt idx="159">
                  <c:v>5.8790643412091712E-2</c:v>
                </c:pt>
                <c:pt idx="160">
                  <c:v>5.8266222466822358E-2</c:v>
                </c:pt>
                <c:pt idx="161">
                  <c:v>5.7749207915857852E-2</c:v>
                </c:pt>
                <c:pt idx="162">
                  <c:v>5.7239459308571126E-2</c:v>
                </c:pt>
                <c:pt idx="163">
                  <c:v>5.6736839479958716E-2</c:v>
                </c:pt>
                <c:pt idx="164">
                  <c:v>5.6241214459152485E-2</c:v>
                </c:pt>
                <c:pt idx="165">
                  <c:v>5.5752453380900409E-2</c:v>
                </c:pt>
                <c:pt idx="166">
                  <c:v>5.5270428399906701E-2</c:v>
                </c:pt>
                <c:pt idx="167">
                  <c:v>5.4795014607924963E-2</c:v>
                </c:pt>
                <c:pt idx="168">
                  <c:v>5.4326089953503638E-2</c:v>
                </c:pt>
                <c:pt idx="169">
                  <c:v>5.3863535164286561E-2</c:v>
                </c:pt>
                <c:pt idx="170">
                  <c:v>5.3407233671775425E-2</c:v>
                </c:pt>
                <c:pt idx="171">
                  <c:v>5.2957071538465163E-2</c:v>
                </c:pt>
                <c:pt idx="172">
                  <c:v>5.2512937387266444E-2</c:v>
                </c:pt>
                <c:pt idx="173">
                  <c:v>5.2074722333133226E-2</c:v>
                </c:pt>
                <c:pt idx="174">
                  <c:v>5.1642319916816642E-2</c:v>
                </c:pt>
                <c:pt idx="175">
                  <c:v>5.121562604066935E-2</c:v>
                </c:pt>
                <c:pt idx="176">
                  <c:v>5.0794538906428197E-2</c:v>
                </c:pt>
                <c:pt idx="177">
                  <c:v>5.0378958954904823E-2</c:v>
                </c:pt>
                <c:pt idx="178">
                  <c:v>4.9968788807517824E-2</c:v>
                </c:pt>
                <c:pt idx="179">
                  <c:v>4.9563933209602028E-2</c:v>
                </c:pt>
                <c:pt idx="180">
                  <c:v>4.9164298975432764E-2</c:v>
                </c:pt>
                <c:pt idx="181">
                  <c:v>4.8769794934906421E-2</c:v>
                </c:pt>
                <c:pt idx="182">
                  <c:v>4.8380331881819477E-2</c:v>
                </c:pt>
                <c:pt idx="183">
                  <c:v>4.7995822523691833E-2</c:v>
                </c:pt>
                <c:pt idx="184">
                  <c:v>4.7616181433081432E-2</c:v>
                </c:pt>
                <c:pt idx="185">
                  <c:v>4.7241325000339292E-2</c:v>
                </c:pt>
                <c:pt idx="186">
                  <c:v>4.6871171387756684E-2</c:v>
                </c:pt>
                <c:pt idx="187">
                  <c:v>4.6505640485057023E-2</c:v>
                </c:pt>
                <c:pt idx="188">
                  <c:v>4.6144653866187844E-2</c:v>
                </c:pt>
                <c:pt idx="189">
                  <c:v>4.578813474736905E-2</c:v>
                </c:pt>
                <c:pt idx="190">
                  <c:v>4.5436007946355904E-2</c:v>
                </c:pt>
                <c:pt idx="191">
                  <c:v>4.5088199842876424E-2</c:v>
                </c:pt>
                <c:pt idx="192">
                  <c:v>4.4744638340204632E-2</c:v>
                </c:pt>
                <c:pt idx="193">
                  <c:v>4.440525282783199E-2</c:v>
                </c:pt>
                <c:pt idx="194">
                  <c:v>4.4069974145201765E-2</c:v>
                </c:pt>
                <c:pt idx="195">
                  <c:v>4.3738734546470925E-2</c:v>
                </c:pt>
                <c:pt idx="196">
                  <c:v>4.3411467666267106E-2</c:v>
                </c:pt>
                <c:pt idx="197">
                  <c:v>4.3088108486407831E-2</c:v>
                </c:pt>
                <c:pt idx="198">
                  <c:v>4.2768593303551469E-2</c:v>
                </c:pt>
                <c:pt idx="199">
                  <c:v>4.2452859697750076E-2</c:v>
                </c:pt>
                <c:pt idx="200">
                  <c:v>4.2140846501875169E-2</c:v>
                </c:pt>
                <c:pt idx="201">
                  <c:v>4.1832493771888878E-2</c:v>
                </c:pt>
                <c:pt idx="202">
                  <c:v>4.152774275793391E-2</c:v>
                </c:pt>
                <c:pt idx="203">
                  <c:v>4.1226535876216219E-2</c:v>
                </c:pt>
                <c:pt idx="204">
                  <c:v>4.0928816681655732E-2</c:v>
                </c:pt>
                <c:pt idx="205">
                  <c:v>4.0634529841281262E-2</c:v>
                </c:pt>
                <c:pt idx="206">
                  <c:v>4.0343621108346085E-2</c:v>
                </c:pt>
                <c:pt idx="207">
                  <c:v>4.005603729714239E-2</c:v>
                </c:pt>
                <c:pt idx="208">
                  <c:v>3.9771726258492561E-2</c:v>
                </c:pt>
                <c:pt idx="209">
                  <c:v>3.9490636855896863E-2</c:v>
                </c:pt>
                <c:pt idx="210">
                  <c:v>3.9212718942317176E-2</c:v>
                </c:pt>
                <c:pt idx="211">
                  <c:v>3.8937923337577646E-2</c:v>
                </c:pt>
                <c:pt idx="212">
                  <c:v>3.8666201806363279E-2</c:v>
                </c:pt>
                <c:pt idx="213">
                  <c:v>3.8397507036798582E-2</c:v>
                </c:pt>
                <c:pt idx="214">
                  <c:v>3.8131792619588781E-2</c:v>
                </c:pt>
                <c:pt idx="215">
                  <c:v>3.7869013027706518E-2</c:v>
                </c:pt>
                <c:pt idx="216">
                  <c:v>3.7609123596608111E-2</c:v>
                </c:pt>
                <c:pt idx="217">
                  <c:v>3.735208050496322E-2</c:v>
                </c:pt>
                <c:pt idx="218">
                  <c:v>3.709784075588303E-2</c:v>
                </c:pt>
                <c:pt idx="219">
                  <c:v>3.6846362158631872E-2</c:v>
                </c:pt>
                <c:pt idx="220">
                  <c:v>3.6597603310808496E-2</c:v>
                </c:pt>
                <c:pt idx="221">
                  <c:v>3.6351523580982863E-2</c:v>
                </c:pt>
                <c:pt idx="222">
                  <c:v>3.6108083091775274E-2</c:v>
                </c:pt>
                <c:pt idx="223">
                  <c:v>3.5867242703365089E-2</c:v>
                </c:pt>
                <c:pt idx="224">
                  <c:v>3.5628963997416399E-2</c:v>
                </c:pt>
                <c:pt idx="225">
                  <c:v>3.5393209261408744E-2</c:v>
                </c:pt>
                <c:pt idx="226">
                  <c:v>3.5159941473361225E-2</c:v>
                </c:pt>
                <c:pt idx="227">
                  <c:v>3.4929124286938527E-2</c:v>
                </c:pt>
                <c:pt idx="228">
                  <c:v>3.4700722016928434E-2</c:v>
                </c:pt>
                <c:pt idx="229">
                  <c:v>3.4474699625079583E-2</c:v>
                </c:pt>
                <c:pt idx="230">
                  <c:v>3.4251022706290039E-2</c:v>
                </c:pt>
                <c:pt idx="231">
                  <c:v>3.4029657475135963E-2</c:v>
                </c:pt>
                <c:pt idx="232">
                  <c:v>3.3810570752731611E-2</c:v>
                </c:pt>
                <c:pt idx="233">
                  <c:v>3.3593729953910641E-2</c:v>
                </c:pt>
                <c:pt idx="234">
                  <c:v>3.3379103074720397E-2</c:v>
                </c:pt>
                <c:pt idx="235">
                  <c:v>3.316665868021991E-2</c:v>
                </c:pt>
                <c:pt idx="236">
                  <c:v>3.2956365892573766E-2</c:v>
                </c:pt>
                <c:pt idx="237">
                  <c:v>3.2748194379432959E-2</c:v>
                </c:pt>
                <c:pt idx="238">
                  <c:v>3.2542114342595657E-2</c:v>
                </c:pt>
                <c:pt idx="239">
                  <c:v>3.233809650693939E-2</c:v>
                </c:pt>
                <c:pt idx="240">
                  <c:v>3.213611210961799E-2</c:v>
                </c:pt>
                <c:pt idx="241">
                  <c:v>3.1936132889515322E-2</c:v>
                </c:pt>
                <c:pt idx="242">
                  <c:v>3.1738131076949644E-2</c:v>
                </c:pt>
                <c:pt idx="243">
                  <c:v>3.1542079383621038E-2</c:v>
                </c:pt>
                <c:pt idx="244">
                  <c:v>3.1347950992796005E-2</c:v>
                </c:pt>
                <c:pt idx="245">
                  <c:v>3.1155719549722433E-2</c:v>
                </c:pt>
                <c:pt idx="246">
                  <c:v>3.0965359152268872E-2</c:v>
                </c:pt>
                <c:pt idx="247">
                  <c:v>3.0776844341782381E-2</c:v>
                </c:pt>
                <c:pt idx="248">
                  <c:v>3.0590150094158771E-2</c:v>
                </c:pt>
                <c:pt idx="249">
                  <c:v>3.0405251811119725E-2</c:v>
                </c:pt>
                <c:pt idx="250">
                  <c:v>3.0222125311691803E-2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B3-4134-BE83-B85CEAA19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  <c:max val="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SPR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2799650043744"/>
          <c:y val="4.1666666666666664E-2"/>
          <c:w val="0.84096500437445332"/>
          <c:h val="0.7963888888888889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'SRR and Yield'!$AE$2:$AE$294</c:f>
              <c:numCache>
                <c:formatCode>General</c:formatCode>
                <c:ptCount val="293"/>
                <c:pt idx="0">
                  <c:v>0.1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</c:numCache>
            </c:numRef>
          </c:xVal>
          <c:yVal>
            <c:numRef>
              <c:f>'SRR and Yield'!$AD$2:$AD$294</c:f>
              <c:numCache>
                <c:formatCode>General</c:formatCode>
                <c:ptCount val="293"/>
                <c:pt idx="0">
                  <c:v>4.3044948733892578</c:v>
                </c:pt>
                <c:pt idx="1">
                  <c:v>387.28680492788874</c:v>
                </c:pt>
                <c:pt idx="2">
                  <c:v>703.33532308587075</c:v>
                </c:pt>
                <c:pt idx="3">
                  <c:v>966.14563293875904</c:v>
                </c:pt>
                <c:pt idx="4">
                  <c:v>1188.1246850079892</c:v>
                </c:pt>
                <c:pt idx="5">
                  <c:v>1378.1021346188363</c:v>
                </c:pt>
                <c:pt idx="6">
                  <c:v>1542.5329560834762</c:v>
                </c:pt>
                <c:pt idx="7">
                  <c:v>1686.2454681548129</c:v>
                </c:pt>
                <c:pt idx="8">
                  <c:v>1812.9233632865871</c:v>
                </c:pt>
                <c:pt idx="9">
                  <c:v>1925.4259187207306</c:v>
                </c:pt>
                <c:pt idx="10">
                  <c:v>2026.0064078117005</c:v>
                </c:pt>
                <c:pt idx="11">
                  <c:v>2116.4645692078534</c:v>
                </c:pt>
                <c:pt idx="12">
                  <c:v>2198.2552483481509</c:v>
                </c:pt>
                <c:pt idx="13">
                  <c:v>2272.5672374182418</c:v>
                </c:pt>
                <c:pt idx="14">
                  <c:v>2340.381434162025</c:v>
                </c:pt>
                <c:pt idx="15">
                  <c:v>2402.5143836393368</c:v>
                </c:pt>
                <c:pt idx="16">
                  <c:v>2459.6513166029531</c:v>
                </c:pt>
                <c:pt idx="17">
                  <c:v>2512.3715262092851</c:v>
                </c:pt>
                <c:pt idx="18">
                  <c:v>2561.1680788083872</c:v>
                </c:pt>
                <c:pt idx="19">
                  <c:v>2606.4632817476763</c:v>
                </c:pt>
                <c:pt idx="20">
                  <c:v>2648.6209368634891</c:v>
                </c:pt>
                <c:pt idx="21">
                  <c:v>2687.9561328552736</c:v>
                </c:pt>
                <c:pt idx="22">
                  <c:v>2724.7431345647515</c:v>
                </c:pt>
                <c:pt idx="23">
                  <c:v>2759.2217871209359</c:v>
                </c:pt>
                <c:pt idx="24">
                  <c:v>2791.6027511965476</c:v>
                </c:pt>
                <c:pt idx="25">
                  <c:v>2822.0718109316886</c:v>
                </c:pt>
                <c:pt idx="26">
                  <c:v>2850.7934406667632</c:v>
                </c:pt>
                <c:pt idx="27">
                  <c:v>2877.9137751153189</c:v>
                </c:pt>
                <c:pt idx="28">
                  <c:v>2903.5630962282589</c:v>
                </c:pt>
                <c:pt idx="29">
                  <c:v>2927.8579260785209</c:v>
                </c:pt>
                <c:pt idx="30">
                  <c:v>2950.9027967115389</c:v>
                </c:pt>
                <c:pt idx="31">
                  <c:v>2972.7917536725258</c:v>
                </c:pt>
                <c:pt idx="32">
                  <c:v>2993.6096388216856</c:v>
                </c:pt>
                <c:pt idx="33">
                  <c:v>3013.4331893342751</c:v>
                </c:pt>
                <c:pt idx="34">
                  <c:v>3032.33198289754</c:v>
                </c:pt>
                <c:pt idx="35">
                  <c:v>3050.3692536440558</c:v>
                </c:pt>
                <c:pt idx="36">
                  <c:v>3067.6025989860386</c:v>
                </c:pt>
                <c:pt idx="37">
                  <c:v>3084.0845939986289</c:v>
                </c:pt>
                <c:pt idx="38">
                  <c:v>3099.8633271587451</c:v>
                </c:pt>
                <c:pt idx="39">
                  <c:v>3114.9828689389301</c:v>
                </c:pt>
                <c:pt idx="40">
                  <c:v>3129.4836828732423</c:v>
                </c:pt>
                <c:pt idx="41">
                  <c:v>3143.4029871696321</c:v>
                </c:pt>
                <c:pt idx="42">
                  <c:v>3156.7750736734706</c:v>
                </c:pt>
                <c:pt idx="43">
                  <c:v>3169.6315899374931</c:v>
                </c:pt>
                <c:pt idx="44">
                  <c:v>3182.0017892825872</c:v>
                </c:pt>
                <c:pt idx="45">
                  <c:v>3193.912753008553</c:v>
                </c:pt>
                <c:pt idx="46">
                  <c:v>3205.3895883075757</c:v>
                </c:pt>
                <c:pt idx="47">
                  <c:v>3216.4556049244907</c:v>
                </c:pt>
                <c:pt idx="48">
                  <c:v>3227.1324731796985</c:v>
                </c:pt>
                <c:pt idx="49">
                  <c:v>3237.4403656090117</c:v>
                </c:pt>
                <c:pt idx="50">
                  <c:v>3247.3980841683715</c:v>
                </c:pt>
                <c:pt idx="51">
                  <c:v>3257.0231746911154</c:v>
                </c:pt>
                <c:pt idx="52">
                  <c:v>3266.3320300636574</c:v>
                </c:pt>
                <c:pt idx="53">
                  <c:v>3275.3399833959397</c:v>
                </c:pt>
                <c:pt idx="54">
                  <c:v>3284.0613923005712</c:v>
                </c:pt>
                <c:pt idx="55">
                  <c:v>3292.5097152550989</c:v>
                </c:pt>
                <c:pt idx="56">
                  <c:v>3300.6975809016435</c:v>
                </c:pt>
                <c:pt idx="57">
                  <c:v>3308.6368510344287</c:v>
                </c:pt>
                <c:pt idx="58">
                  <c:v>3316.3386779359225</c:v>
                </c:pt>
                <c:pt idx="59">
                  <c:v>3323.8135566444384</c:v>
                </c:pt>
                <c:pt idx="60">
                  <c:v>3331.0713726683484</c:v>
                </c:pt>
                <c:pt idx="61">
                  <c:v>3338.1214456030716</c:v>
                </c:pt>
                <c:pt idx="62">
                  <c:v>3344.9725690555165</c:v>
                </c:pt>
                <c:pt idx="63">
                  <c:v>3351.633047235604</c:v>
                </c:pt>
                <c:pt idx="64">
                  <c:v>3358.1107285350331</c:v>
                </c:pt>
                <c:pt idx="65">
                  <c:v>3364.4130363787526</c:v>
                </c:pt>
                <c:pt idx="66">
                  <c:v>3370.5469976041422</c:v>
                </c:pt>
                <c:pt idx="67">
                  <c:v>3376.5192685959664</c:v>
                </c:pt>
                <c:pt idx="68">
                  <c:v>3382.3361593814871</c:v>
                </c:pt>
                <c:pt idx="69">
                  <c:v>3388.0036558690763</c:v>
                </c:pt>
                <c:pt idx="70">
                  <c:v>3393.5274403951016</c:v>
                </c:pt>
                <c:pt idx="71">
                  <c:v>3398.9129107273443</c:v>
                </c:pt>
                <c:pt idx="72">
                  <c:v>3404.1651976585504</c:v>
                </c:pt>
                <c:pt idx="73">
                  <c:v>3409.2891813106453</c:v>
                </c:pt>
                <c:pt idx="74">
                  <c:v>3414.2895062585299</c:v>
                </c:pt>
                <c:pt idx="75">
                  <c:v>3419.1705955719658</c:v>
                </c:pt>
                <c:pt idx="76">
                  <c:v>3423.9366638647889</c:v>
                </c:pt>
                <c:pt idx="77">
                  <c:v>3428.5917294323622</c:v>
                </c:pt>
                <c:pt idx="78">
                  <c:v>3433.1396255507439</c:v>
                </c:pt>
                <c:pt idx="79">
                  <c:v>3437.5840110043378</c:v>
                </c:pt>
                <c:pt idx="80">
                  <c:v>3441.9283799028099</c:v>
                </c:pt>
                <c:pt idx="81">
                  <c:v>3446.1760708426082</c:v>
                </c:pt>
                <c:pt idx="82">
                  <c:v>3450.3302754635893</c:v>
                </c:pt>
                <c:pt idx="83">
                  <c:v>3454.3940464468287</c:v>
                </c:pt>
                <c:pt idx="84">
                  <c:v>3458.3703049957426</c:v>
                </c:pt>
                <c:pt idx="85">
                  <c:v>3462.2618478390386</c:v>
                </c:pt>
                <c:pt idx="86">
                  <c:v>3466.07135379079</c:v>
                </c:pt>
                <c:pt idx="87">
                  <c:v>3469.8013898999543</c:v>
                </c:pt>
                <c:pt idx="88">
                  <c:v>3473.454417219019</c:v>
                </c:pt>
                <c:pt idx="89">
                  <c:v>3477.0327962189981</c:v>
                </c:pt>
                <c:pt idx="90">
                  <c:v>3480.5387918758333</c:v>
                </c:pt>
                <c:pt idx="91">
                  <c:v>3483.9745784512165</c:v>
                </c:pt>
                <c:pt idx="92">
                  <c:v>3487.3422439890528</c:v>
                </c:pt>
                <c:pt idx="93">
                  <c:v>3490.6437945470843</c:v>
                </c:pt>
                <c:pt idx="94">
                  <c:v>3493.8811581817217</c:v>
                </c:pt>
                <c:pt idx="95">
                  <c:v>3497.0561887026897</c:v>
                </c:pt>
                <c:pt idx="96">
                  <c:v>3500.1706692128651</c:v>
                </c:pt>
                <c:pt idx="97">
                  <c:v>3503.2263154475086</c:v>
                </c:pt>
                <c:pt idx="98">
                  <c:v>3506.2247789260232</c:v>
                </c:pt>
                <c:pt idx="99">
                  <c:v>3509.1676499284108</c:v>
                </c:pt>
                <c:pt idx="100">
                  <c:v>3512.0564603076964</c:v>
                </c:pt>
                <c:pt idx="101">
                  <c:v>3514.8926861487712</c:v>
                </c:pt>
                <c:pt idx="102">
                  <c:v>3517.6777502833465</c:v>
                </c:pt>
                <c:pt idx="103">
                  <c:v>3520.4130246700252</c:v>
                </c:pt>
                <c:pt idx="104">
                  <c:v>3523.0998326478598</c:v>
                </c:pt>
                <c:pt idx="105">
                  <c:v>3525.7394510711688</c:v>
                </c:pt>
                <c:pt idx="106">
                  <c:v>3528.3331123328412</c:v>
                </c:pt>
                <c:pt idx="107">
                  <c:v>3530.8820062828822</c:v>
                </c:pt>
                <c:pt idx="108">
                  <c:v>3533.3872820484585</c:v>
                </c:pt>
                <c:pt idx="109">
                  <c:v>3535.8500497613045</c:v>
                </c:pt>
                <c:pt idx="110">
                  <c:v>3538.2713821979328</c:v>
                </c:pt>
                <c:pt idx="111">
                  <c:v>3540.6523163377533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80-4B30-AED8-718BCDFBAC72}"/>
            </c:ext>
          </c:extLst>
        </c:ser>
        <c:ser>
          <c:idx val="1"/>
          <c:order val="1"/>
          <c:tx>
            <c:v>hor</c:v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('SRR and Yield'!$F$19,'SRR and Yield'!$E$19)</c:f>
              <c:numCache>
                <c:formatCode>General</c:formatCode>
                <c:ptCount val="2"/>
                <c:pt idx="0">
                  <c:v>0</c:v>
                </c:pt>
                <c:pt idx="1">
                  <c:v>976.02956426133596</c:v>
                </c:pt>
              </c:numCache>
            </c:numRef>
          </c:xVal>
          <c:yVal>
            <c:numRef>
              <c:f>('SRR and Yield'!$E$15,'SRR and Yield'!$E$15)</c:f>
              <c:numCache>
                <c:formatCode>General</c:formatCode>
                <c:ptCount val="2"/>
                <c:pt idx="0">
                  <c:v>3505.0409999999997</c:v>
                </c:pt>
                <c:pt idx="1">
                  <c:v>3505.0409999999997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80-4B30-AED8-718BCDFBAC72}"/>
            </c:ext>
          </c:extLst>
        </c:ser>
        <c:ser>
          <c:idx val="2"/>
          <c:order val="2"/>
          <c:tx>
            <c:v>vert</c:v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('SRR and Yield'!$E$19,'SRR and Yield'!$E$19)</c:f>
              <c:numCache>
                <c:formatCode>General</c:formatCode>
                <c:ptCount val="2"/>
                <c:pt idx="0">
                  <c:v>976.02956426133596</c:v>
                </c:pt>
                <c:pt idx="1">
                  <c:v>976.02956426133596</c:v>
                </c:pt>
              </c:numCache>
            </c:numRef>
          </c:xVal>
          <c:yVal>
            <c:numRef>
              <c:f>('SRR and Yield'!$Z$44,'SRR and Yield'!$AA$44)</c:f>
              <c:numCache>
                <c:formatCode>General</c:formatCode>
                <c:ptCount val="2"/>
                <c:pt idx="0">
                  <c:v>0</c:v>
                </c:pt>
                <c:pt idx="1">
                  <c:v>3505.0409999999997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80-4B30-AED8-718BCDFBAC72}"/>
            </c:ext>
          </c:extLst>
        </c:ser>
        <c:ser>
          <c:idx val="3"/>
          <c:order val="3"/>
          <c:tx>
            <c:v>point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'SRR and Yield'!$E$19</c:f>
              <c:numCache>
                <c:formatCode>General</c:formatCode>
                <c:ptCount val="1"/>
                <c:pt idx="0">
                  <c:v>976.02956426133596</c:v>
                </c:pt>
              </c:numCache>
            </c:numRef>
          </c:xVal>
          <c:yVal>
            <c:numRef>
              <c:f>'SRR and Yield'!$E$15</c:f>
              <c:numCache>
                <c:formatCode>General</c:formatCode>
                <c:ptCount val="1"/>
                <c:pt idx="0">
                  <c:v>3505.0409999999997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80-4B30-AED8-718BCDFBAC72}"/>
            </c:ext>
          </c:extLst>
        </c:ser>
        <c:ser>
          <c:idx val="4"/>
          <c:order val="4"/>
          <c:tx>
            <c:v>hor2</c:v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('SRR and Yield'!$Z$44,'SRR and Yield'!$Y$45)</c:f>
              <c:numCache>
                <c:formatCode>General</c:formatCode>
                <c:ptCount val="2"/>
                <c:pt idx="0">
                  <c:v>0</c:v>
                </c:pt>
                <c:pt idx="1">
                  <c:v>640.06477973788242</c:v>
                </c:pt>
              </c:numCache>
            </c:numRef>
          </c:xVal>
          <c:yVal>
            <c:numRef>
              <c:f>('SRR and Yield'!$Y$44,'SRR and Yield'!$Y$44)</c:f>
              <c:numCache>
                <c:formatCode>General</c:formatCode>
                <c:ptCount val="2"/>
                <c:pt idx="0">
                  <c:v>3358.1521112788701</c:v>
                </c:pt>
                <c:pt idx="1">
                  <c:v>3358.1521112788701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980-4B30-AED8-718BCDFBAC72}"/>
            </c:ext>
          </c:extLst>
        </c:ser>
        <c:ser>
          <c:idx val="5"/>
          <c:order val="5"/>
          <c:tx>
            <c:v>vert2</c:v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BCFB-4348-91DE-4EC82D27C4D7}"/>
              </c:ext>
            </c:extLst>
          </c:dPt>
          <c:xVal>
            <c:numRef>
              <c:f>('SRR and Yield'!$Y$45,'SRR and Yield'!$Y$45)</c:f>
              <c:numCache>
                <c:formatCode>General</c:formatCode>
                <c:ptCount val="2"/>
                <c:pt idx="0">
                  <c:v>640.06477973788242</c:v>
                </c:pt>
                <c:pt idx="1">
                  <c:v>640.06477973788242</c:v>
                </c:pt>
              </c:numCache>
            </c:numRef>
          </c:xVal>
          <c:yVal>
            <c:numRef>
              <c:f>('SRR and Yield'!$Z$44,'SRR and Yield'!$Y$44)</c:f>
              <c:numCache>
                <c:formatCode>General</c:formatCode>
                <c:ptCount val="2"/>
                <c:pt idx="0">
                  <c:v>0</c:v>
                </c:pt>
                <c:pt idx="1">
                  <c:v>3358.1521112788701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980-4B30-AED8-718BCDFBAC72}"/>
            </c:ext>
          </c:extLst>
        </c:ser>
        <c:ser>
          <c:idx val="6"/>
          <c:order val="6"/>
          <c:tx>
            <c:v>point2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('SRR and Yield'!$Y$45,'SRR and Yield'!$Y$45)</c:f>
              <c:numCache>
                <c:formatCode>General</c:formatCode>
                <c:ptCount val="2"/>
                <c:pt idx="0">
                  <c:v>640.06477973788242</c:v>
                </c:pt>
                <c:pt idx="1">
                  <c:v>640.06477973788242</c:v>
                </c:pt>
              </c:numCache>
            </c:numRef>
          </c:xVal>
          <c:yVal>
            <c:numRef>
              <c:f>('SRR and Yield'!$Y$44,'SRR and Yield'!$Y$44)</c:f>
              <c:numCache>
                <c:formatCode>General</c:formatCode>
                <c:ptCount val="2"/>
                <c:pt idx="0">
                  <c:v>3358.1521112788701</c:v>
                </c:pt>
                <c:pt idx="1">
                  <c:v>3358.1521112788701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980-4B30-AED8-718BCDFBA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</c:scaling>
        <c:delete val="0"/>
        <c:axPos val="b"/>
        <c:title>
          <c:tx>
            <c:strRef>
              <c:f>'SRR and Yield'!$AE$1</c:f>
              <c:strCache>
                <c:ptCount val="1"/>
                <c:pt idx="0">
                  <c:v>SSB (kt)</c:v>
                </c:pt>
              </c:strCache>
            </c:strRef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</c:scaling>
        <c:delete val="0"/>
        <c:axPos val="l"/>
        <c:title>
          <c:tx>
            <c:strRef>
              <c:f>'SRR and Yield'!$AD$1</c:f>
              <c:strCache>
                <c:ptCount val="1"/>
                <c:pt idx="0">
                  <c:v>Recruitment (10^9)</c:v>
                </c:pt>
              </c:strCache>
            </c:strRef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2799650043744"/>
          <c:y val="4.1666666666666664E-2"/>
          <c:w val="0.84096500437445332"/>
          <c:h val="0.7963888888888889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MSY!$A$44:$A$294</c:f>
              <c:numCache>
                <c:formatCode>General</c:formatCode>
                <c:ptCount val="251"/>
                <c:pt idx="0">
                  <c:v>1E-4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0.630000000000001</c:v>
                </c:pt>
                <c:pt idx="64">
                  <c:v>0.64000000000000101</c:v>
                </c:pt>
                <c:pt idx="65">
                  <c:v>0.65000000000000102</c:v>
                </c:pt>
                <c:pt idx="66">
                  <c:v>0.66000000000000103</c:v>
                </c:pt>
                <c:pt idx="67">
                  <c:v>0.67000000000000104</c:v>
                </c:pt>
                <c:pt idx="68">
                  <c:v>0.68000000000000105</c:v>
                </c:pt>
                <c:pt idx="69">
                  <c:v>0.69000000000000095</c:v>
                </c:pt>
                <c:pt idx="70">
                  <c:v>0.70000000000000095</c:v>
                </c:pt>
                <c:pt idx="71">
                  <c:v>0.71000000000000096</c:v>
                </c:pt>
                <c:pt idx="72">
                  <c:v>0.72000000000000097</c:v>
                </c:pt>
                <c:pt idx="73">
                  <c:v>0.73000000000000098</c:v>
                </c:pt>
                <c:pt idx="74">
                  <c:v>0.74000000000000099</c:v>
                </c:pt>
                <c:pt idx="75">
                  <c:v>0.750000000000001</c:v>
                </c:pt>
                <c:pt idx="76">
                  <c:v>0.76000000000000101</c:v>
                </c:pt>
                <c:pt idx="77">
                  <c:v>0.77000000000000102</c:v>
                </c:pt>
                <c:pt idx="78">
                  <c:v>0.78000000000000103</c:v>
                </c:pt>
                <c:pt idx="79">
                  <c:v>0.79000000000000103</c:v>
                </c:pt>
                <c:pt idx="80">
                  <c:v>0.80000000000000104</c:v>
                </c:pt>
                <c:pt idx="81">
                  <c:v>0.81000000000000105</c:v>
                </c:pt>
                <c:pt idx="82">
                  <c:v>0.82000000000000095</c:v>
                </c:pt>
                <c:pt idx="83">
                  <c:v>0.83000000000000096</c:v>
                </c:pt>
                <c:pt idx="84">
                  <c:v>0.84000000000000097</c:v>
                </c:pt>
                <c:pt idx="85">
                  <c:v>0.85000000000000098</c:v>
                </c:pt>
                <c:pt idx="86">
                  <c:v>0.86000000000000099</c:v>
                </c:pt>
                <c:pt idx="87">
                  <c:v>0.87000000000000099</c:v>
                </c:pt>
                <c:pt idx="88">
                  <c:v>0.880000000000001</c:v>
                </c:pt>
                <c:pt idx="89">
                  <c:v>0.89000000000000101</c:v>
                </c:pt>
                <c:pt idx="90">
                  <c:v>0.90000000000000102</c:v>
                </c:pt>
                <c:pt idx="91">
                  <c:v>0.91000000000000103</c:v>
                </c:pt>
                <c:pt idx="92">
                  <c:v>0.92000000000000104</c:v>
                </c:pt>
                <c:pt idx="93">
                  <c:v>0.93000000000000105</c:v>
                </c:pt>
                <c:pt idx="94">
                  <c:v>0.94000000000000095</c:v>
                </c:pt>
                <c:pt idx="95">
                  <c:v>0.95000000000000095</c:v>
                </c:pt>
                <c:pt idx="96">
                  <c:v>0.96000000000000096</c:v>
                </c:pt>
                <c:pt idx="97">
                  <c:v>0.97000000000000097</c:v>
                </c:pt>
                <c:pt idx="98">
                  <c:v>0.98000000000000098</c:v>
                </c:pt>
                <c:pt idx="99">
                  <c:v>0.99000000000000099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</c:numCache>
            </c:numRef>
          </c:xVal>
          <c:yVal>
            <c:numRef>
              <c:f>MSY!$C$44:$C$294</c:f>
              <c:numCache>
                <c:formatCode>General</c:formatCode>
                <c:ptCount val="251"/>
                <c:pt idx="0">
                  <c:v>2.6831243809218875E-5</c:v>
                </c:pt>
                <c:pt idx="1">
                  <c:v>2.5782733080532043E-3</c:v>
                </c:pt>
                <c:pt idx="2">
                  <c:v>4.9577543154900811E-3</c:v>
                </c:pt>
                <c:pt idx="3">
                  <c:v>7.1564693829870487E-3</c:v>
                </c:pt>
                <c:pt idx="4">
                  <c:v>9.1905063333097767E-3</c:v>
                </c:pt>
                <c:pt idx="5">
                  <c:v>1.107425715962243E-2</c:v>
                </c:pt>
                <c:pt idx="6">
                  <c:v>1.2820625972301701E-2</c:v>
                </c:pt>
                <c:pt idx="7">
                  <c:v>1.4441207792607399E-2</c:v>
                </c:pt>
                <c:pt idx="8">
                  <c:v>1.5946442796102703E-2</c:v>
                </c:pt>
                <c:pt idx="9">
                  <c:v>1.7345749801153023E-2</c:v>
                </c:pt>
                <c:pt idx="10">
                  <c:v>1.8647642145849699E-2</c:v>
                </c:pt>
                <c:pt idx="11">
                  <c:v>1.9859828567731084E-2</c:v>
                </c:pt>
                <c:pt idx="12">
                  <c:v>2.0989301269480565E-2</c:v>
                </c:pt>
                <c:pt idx="13">
                  <c:v>2.2042413000715765E-2</c:v>
                </c:pt>
                <c:pt idx="14">
                  <c:v>2.302494469564919E-2</c:v>
                </c:pt>
                <c:pt idx="15">
                  <c:v>2.3942164966673545E-2</c:v>
                </c:pt>
                <c:pt idx="16">
                  <c:v>2.4798882555206347E-2</c:v>
                </c:pt>
                <c:pt idx="17">
                  <c:v>2.5599492675784891E-2</c:v>
                </c:pt>
                <c:pt idx="18">
                  <c:v>2.6348018051333116E-2</c:v>
                </c:pt>
                <c:pt idx="19">
                  <c:v>2.7048145321829226E-2</c:v>
                </c:pt>
                <c:pt idx="20">
                  <c:v>2.7703257411339003E-2</c:v>
                </c:pt>
                <c:pt idx="21">
                  <c:v>2.831646235634885E-2</c:v>
                </c:pt>
                <c:pt idx="22">
                  <c:v>2.8890619028937085E-2</c:v>
                </c:pt>
                <c:pt idx="23">
                  <c:v>2.9428360129442985E-2</c:v>
                </c:pt>
                <c:pt idx="24">
                  <c:v>2.9932112773194745E-2</c:v>
                </c:pt>
                <c:pt idx="25">
                  <c:v>3.0404116953115356E-2</c:v>
                </c:pt>
                <c:pt idx="26">
                  <c:v>3.0846442123461156E-2</c:v>
                </c:pt>
                <c:pt idx="27">
                  <c:v>3.1261002118592375E-2</c:v>
                </c:pt>
                <c:pt idx="28">
                  <c:v>3.1649568593716891E-2</c:v>
                </c:pt>
                <c:pt idx="29">
                  <c:v>3.2013783151319856E-2</c:v>
                </c:pt>
                <c:pt idx="30">
                  <c:v>3.2355168296928388E-2</c:v>
                </c:pt>
                <c:pt idx="31">
                  <c:v>3.2675137350494272E-2</c:v>
                </c:pt>
                <c:pt idx="32">
                  <c:v>3.2975003424613757E-2</c:v>
                </c:pt>
                <c:pt idx="33">
                  <c:v>3.3255987567709033E-2</c:v>
                </c:pt>
                <c:pt idx="34">
                  <c:v>3.3519226158892031E-2</c:v>
                </c:pt>
                <c:pt idx="35">
                  <c:v>3.3765777631279394E-2</c:v>
                </c:pt>
                <c:pt idx="36">
                  <c:v>3.399662859182636E-2</c:v>
                </c:pt>
                <c:pt idx="37">
                  <c:v>3.4212699398127683E-2</c:v>
                </c:pt>
                <c:pt idx="38">
                  <c:v>3.4414849245946968E-2</c:v>
                </c:pt>
                <c:pt idx="39">
                  <c:v>3.4603880815359998E-2</c:v>
                </c:pt>
                <c:pt idx="40">
                  <c:v>3.4780544518223849E-2</c:v>
                </c:pt>
                <c:pt idx="41">
                  <c:v>3.4945542385122895E-2</c:v>
                </c:pt>
                <c:pt idx="42">
                  <c:v>3.509953162591363E-2</c:v>
                </c:pt>
                <c:pt idx="43">
                  <c:v>3.5243127894427746E-2</c:v>
                </c:pt>
                <c:pt idx="44">
                  <c:v>3.5376908284736761E-2</c:v>
                </c:pt>
                <c:pt idx="45">
                  <c:v>3.5501414083581637E-2</c:v>
                </c:pt>
                <c:pt idx="46">
                  <c:v>3.5617153301084704E-2</c:v>
                </c:pt>
                <c:pt idx="47">
                  <c:v>3.5724602999648344E-2</c:v>
                </c:pt>
                <c:pt idx="48">
                  <c:v>3.5824211438975503E-2</c:v>
                </c:pt>
                <c:pt idx="49">
                  <c:v>3.5916400053389773E-2</c:v>
                </c:pt>
                <c:pt idx="50">
                  <c:v>3.6001565276063602E-2</c:v>
                </c:pt>
                <c:pt idx="51">
                  <c:v>3.6080080223361281E-2</c:v>
                </c:pt>
                <c:pt idx="52">
                  <c:v>3.6152296251246906E-2</c:v>
                </c:pt>
                <c:pt idx="53">
                  <c:v>3.6218544394583239E-2</c:v>
                </c:pt>
                <c:pt idx="54">
                  <c:v>3.627913669913755E-2</c:v>
                </c:pt>
                <c:pt idx="55">
                  <c:v>3.6334367455203589E-2</c:v>
                </c:pt>
                <c:pt idx="56">
                  <c:v>3.6384514340934739E-2</c:v>
                </c:pt>
                <c:pt idx="57">
                  <c:v>3.6429839482748388E-2</c:v>
                </c:pt>
                <c:pt idx="58">
                  <c:v>3.6470590439501113E-2</c:v>
                </c:pt>
                <c:pt idx="59">
                  <c:v>3.6507001116538318E-2</c:v>
                </c:pt>
                <c:pt idx="60">
                  <c:v>3.6539292615182649E-2</c:v>
                </c:pt>
                <c:pt idx="61">
                  <c:v>3.65676740227402E-2</c:v>
                </c:pt>
                <c:pt idx="62">
                  <c:v>3.659234314766216E-2</c:v>
                </c:pt>
                <c:pt idx="63">
                  <c:v>3.6613487204102339E-2</c:v>
                </c:pt>
                <c:pt idx="64">
                  <c:v>3.6631283449749204E-2</c:v>
                </c:pt>
                <c:pt idx="65">
                  <c:v>3.6645899780483562E-2</c:v>
                </c:pt>
                <c:pt idx="66">
                  <c:v>3.6657495285115839E-2</c:v>
                </c:pt>
                <c:pt idx="67">
                  <c:v>3.6666220763187027E-2</c:v>
                </c:pt>
                <c:pt idx="68">
                  <c:v>3.6672219208570937E-2</c:v>
                </c:pt>
                <c:pt idx="69">
                  <c:v>3.667562626139264E-2</c:v>
                </c:pt>
                <c:pt idx="70">
                  <c:v>3.6676570630573543E-2</c:v>
                </c:pt>
                <c:pt idx="71">
                  <c:v>3.6675174489128617E-2</c:v>
                </c:pt>
                <c:pt idx="72">
                  <c:v>3.6671553844171201E-2</c:v>
                </c:pt>
                <c:pt idx="73">
                  <c:v>3.6665818883426619E-2</c:v>
                </c:pt>
                <c:pt idx="74">
                  <c:v>3.6658074299914405E-2</c:v>
                </c:pt>
                <c:pt idx="75">
                  <c:v>3.66484195963298E-2</c:v>
                </c:pt>
                <c:pt idx="76">
                  <c:v>3.6636949370536506E-2</c:v>
                </c:pt>
                <c:pt idx="77">
                  <c:v>3.6623753583475499E-2</c:v>
                </c:pt>
                <c:pt idx="78">
                  <c:v>3.6608917810693892E-2</c:v>
                </c:pt>
                <c:pt idx="79">
                  <c:v>3.6592523478608759E-2</c:v>
                </c:pt>
                <c:pt idx="80">
                  <c:v>3.6574648086535502E-2</c:v>
                </c:pt>
                <c:pt idx="81">
                  <c:v>3.6555365415435179E-2</c:v>
                </c:pt>
                <c:pt idx="82">
                  <c:v>3.6534745724263955E-2</c:v>
                </c:pt>
                <c:pt idx="83">
                  <c:v>3.6512855934743377E-2</c:v>
                </c:pt>
                <c:pt idx="84">
                  <c:v>3.6489759805310544E-2</c:v>
                </c:pt>
                <c:pt idx="85">
                  <c:v>3.6465518094952618E-2</c:v>
                </c:pt>
                <c:pt idx="86">
                  <c:v>3.6440188717579036E-2</c:v>
                </c:pt>
                <c:pt idx="87">
                  <c:v>3.6413826887539157E-2</c:v>
                </c:pt>
                <c:pt idx="88">
                  <c:v>3.6386485256849219E-2</c:v>
                </c:pt>
                <c:pt idx="89">
                  <c:v>3.6358214044653413E-2</c:v>
                </c:pt>
                <c:pt idx="90">
                  <c:v>3.6329061159407212E-2</c:v>
                </c:pt>
                <c:pt idx="91">
                  <c:v>3.6299072314236992E-2</c:v>
                </c:pt>
                <c:pt idx="92">
                  <c:v>3.6268291135899411E-2</c:v>
                </c:pt>
                <c:pt idx="93">
                  <c:v>3.6236759267734252E-2</c:v>
                </c:pt>
                <c:pt idx="94">
                  <c:v>3.6204516466978323E-2</c:v>
                </c:pt>
                <c:pt idx="95">
                  <c:v>3.6171600696783338E-2</c:v>
                </c:pt>
                <c:pt idx="96">
                  <c:v>3.6138048213256779E-2</c:v>
                </c:pt>
                <c:pt idx="97">
                  <c:v>3.6103893647825125E-2</c:v>
                </c:pt>
                <c:pt idx="98">
                  <c:v>3.6069170085197381E-2</c:v>
                </c:pt>
                <c:pt idx="99">
                  <c:v>3.6033909137189804E-2</c:v>
                </c:pt>
                <c:pt idx="100">
                  <c:v>3.5998141012655263E-2</c:v>
                </c:pt>
                <c:pt idx="101">
                  <c:v>3.5961894583744748E-2</c:v>
                </c:pt>
                <c:pt idx="102">
                  <c:v>3.5925197448714148E-2</c:v>
                </c:pt>
                <c:pt idx="103">
                  <c:v>3.5888075991475893E-2</c:v>
                </c:pt>
                <c:pt idx="104">
                  <c:v>3.5850555438081889E-2</c:v>
                </c:pt>
                <c:pt idx="105">
                  <c:v>3.5812659910313023E-2</c:v>
                </c:pt>
                <c:pt idx="106">
                  <c:v>3.5774412476538814E-2</c:v>
                </c:pt>
                <c:pt idx="107">
                  <c:v>3.5735835200001509E-2</c:v>
                </c:pt>
                <c:pt idx="108">
                  <c:v>3.5696949184668189E-2</c:v>
                </c:pt>
                <c:pt idx="109">
                  <c:v>3.5657774618786789E-2</c:v>
                </c:pt>
                <c:pt idx="110">
                  <c:v>3.5618330816272713E-2</c:v>
                </c:pt>
                <c:pt idx="111">
                  <c:v>3.5578636256045397E-2</c:v>
                </c:pt>
                <c:pt idx="112">
                  <c:v>3.5538708619427158E-2</c:v>
                </c:pt>
                <c:pt idx="113">
                  <c:v>3.5498564825709393E-2</c:v>
                </c:pt>
                <c:pt idx="114">
                  <c:v>3.5458221065985208E-2</c:v>
                </c:pt>
                <c:pt idx="115">
                  <c:v>3.5417692835341977E-2</c:v>
                </c:pt>
                <c:pt idx="116">
                  <c:v>3.5376994963500816E-2</c:v>
                </c:pt>
                <c:pt idx="117">
                  <c:v>3.5336141643986421E-2</c:v>
                </c:pt>
                <c:pt idx="118">
                  <c:v>3.5295146461903924E-2</c:v>
                </c:pt>
                <c:pt idx="119">
                  <c:v>3.5254022420396817E-2</c:v>
                </c:pt>
                <c:pt idx="120">
                  <c:v>3.5212781965854402E-2</c:v>
                </c:pt>
                <c:pt idx="121">
                  <c:v>3.5171437011933926E-2</c:v>
                </c:pt>
                <c:pt idx="122">
                  <c:v>3.5129998962458497E-2</c:v>
                </c:pt>
                <c:pt idx="123">
                  <c:v>3.50884787332491E-2</c:v>
                </c:pt>
                <c:pt idx="124">
                  <c:v>3.5046886772944486E-2</c:v>
                </c:pt>
                <c:pt idx="125">
                  <c:v>3.5005233082861152E-2</c:v>
                </c:pt>
                <c:pt idx="126">
                  <c:v>3.4963527235941427E-2</c:v>
                </c:pt>
                <c:pt idx="127">
                  <c:v>3.4921778394836039E-2</c:v>
                </c:pt>
                <c:pt idx="128">
                  <c:v>3.4879995329164137E-2</c:v>
                </c:pt>
                <c:pt idx="129">
                  <c:v>3.4838186431992046E-2</c:v>
                </c:pt>
                <c:pt idx="130">
                  <c:v>3.4796359735569382E-2</c:v>
                </c:pt>
                <c:pt idx="131">
                  <c:v>3.4754522926358958E-2</c:v>
                </c:pt>
                <c:pt idx="132">
                  <c:v>3.4712683359395743E-2</c:v>
                </c:pt>
                <c:pt idx="133">
                  <c:v>3.4670848072006884E-2</c:v>
                </c:pt>
                <c:pt idx="134">
                  <c:v>3.4629023796924438E-2</c:v>
                </c:pt>
                <c:pt idx="135">
                  <c:v>3.4587216974819875E-2</c:v>
                </c:pt>
                <c:pt idx="136">
                  <c:v>3.4545433766288325E-2</c:v>
                </c:pt>
                <c:pt idx="137">
                  <c:v>3.4503680063308881E-2</c:v>
                </c:pt>
                <c:pt idx="138">
                  <c:v>3.4461961500205918E-2</c:v>
                </c:pt>
                <c:pt idx="139">
                  <c:v>3.4420283464135157E-2</c:v>
                </c:pt>
                <c:pt idx="140">
                  <c:v>3.4378651105116884E-2</c:v>
                </c:pt>
                <c:pt idx="141">
                  <c:v>3.4337069345637551E-2</c:v>
                </c:pt>
                <c:pt idx="142">
                  <c:v>3.4295542889840255E-2</c:v>
                </c:pt>
                <c:pt idx="143">
                  <c:v>3.4254076232322642E-2</c:v>
                </c:pt>
                <c:pt idx="144">
                  <c:v>3.4212673666561194E-2</c:v>
                </c:pt>
                <c:pt idx="145">
                  <c:v>3.4171339292978525E-2</c:v>
                </c:pt>
                <c:pt idx="146">
                  <c:v>3.4130077026670418E-2</c:v>
                </c:pt>
                <c:pt idx="147">
                  <c:v>3.4088890604807999E-2</c:v>
                </c:pt>
                <c:pt idx="148">
                  <c:v>3.4047783593730105E-2</c:v>
                </c:pt>
                <c:pt idx="149">
                  <c:v>3.4006759395739619E-2</c:v>
                </c:pt>
                <c:pt idx="150">
                  <c:v>3.3965821255617049E-2</c:v>
                </c:pt>
                <c:pt idx="151">
                  <c:v>3.3924972266864729E-2</c:v>
                </c:pt>
                <c:pt idx="152">
                  <c:v>3.3884215377692754E-2</c:v>
                </c:pt>
                <c:pt idx="153">
                  <c:v>3.3843553396758888E-2</c:v>
                </c:pt>
                <c:pt idx="154">
                  <c:v>3.3802988998673122E-2</c:v>
                </c:pt>
                <c:pt idx="155">
                  <c:v>3.3762524729277293E-2</c:v>
                </c:pt>
                <c:pt idx="156">
                  <c:v>3.3722163010709433E-2</c:v>
                </c:pt>
                <c:pt idx="157">
                  <c:v>3.3681906146262965E-2</c:v>
                </c:pt>
                <c:pt idx="158">
                  <c:v>3.3641756325048844E-2</c:v>
                </c:pt>
                <c:pt idx="159">
                  <c:v>3.3601715626469866E-2</c:v>
                </c:pt>
                <c:pt idx="160">
                  <c:v>3.3561786024515011E-2</c:v>
                </c:pt>
                <c:pt idx="161">
                  <c:v>3.3521969391881637E-2</c:v>
                </c:pt>
                <c:pt idx="162">
                  <c:v>3.3482267503932871E-2</c:v>
                </c:pt>
                <c:pt idx="163">
                  <c:v>3.3442682042497375E-2</c:v>
                </c:pt>
                <c:pt idx="164">
                  <c:v>3.3403214599518165E-2</c:v>
                </c:pt>
                <c:pt idx="165">
                  <c:v>3.3363866680556784E-2</c:v>
                </c:pt>
                <c:pt idx="166">
                  <c:v>3.3324639708159125E-2</c:v>
                </c:pt>
                <c:pt idx="167">
                  <c:v>3.3285535025088658E-2</c:v>
                </c:pt>
                <c:pt idx="168">
                  <c:v>3.3246553897432668E-2</c:v>
                </c:pt>
                <c:pt idx="169">
                  <c:v>3.3207697517586704E-2</c:v>
                </c:pt>
                <c:pt idx="170">
                  <c:v>3.3168967007122539E-2</c:v>
                </c:pt>
                <c:pt idx="171">
                  <c:v>3.3130363419544319E-2</c:v>
                </c:pt>
                <c:pt idx="172">
                  <c:v>3.3091887742937545E-2</c:v>
                </c:pt>
                <c:pt idx="173">
                  <c:v>3.305354090251536E-2</c:v>
                </c:pt>
                <c:pt idx="174">
                  <c:v>3.3015323763066401E-2</c:v>
                </c:pt>
                <c:pt idx="175">
                  <c:v>3.2977237131308172E-2</c:v>
                </c:pt>
                <c:pt idx="176">
                  <c:v>3.2939281758149787E-2</c:v>
                </c:pt>
                <c:pt idx="177">
                  <c:v>3.2901458340867912E-2</c:v>
                </c:pt>
                <c:pt idx="178">
                  <c:v>3.2863767525199275E-2</c:v>
                </c:pt>
                <c:pt idx="179">
                  <c:v>3.2826209907353195E-2</c:v>
                </c:pt>
                <c:pt idx="180">
                  <c:v>3.2788786035947357E-2</c:v>
                </c:pt>
                <c:pt idx="181">
                  <c:v>3.2751496413869874E-2</c:v>
                </c:pt>
                <c:pt idx="182">
                  <c:v>3.2714341500070666E-2</c:v>
                </c:pt>
                <c:pt idx="183">
                  <c:v>3.2677321711284874E-2</c:v>
                </c:pt>
                <c:pt idx="184">
                  <c:v>3.2640437423691153E-2</c:v>
                </c:pt>
                <c:pt idx="185">
                  <c:v>3.2603688974507293E-2</c:v>
                </c:pt>
                <c:pt idx="186">
                  <c:v>3.2567076663525686E-2</c:v>
                </c:pt>
                <c:pt idx="187">
                  <c:v>3.2530600754591098E-2</c:v>
                </c:pt>
                <c:pt idx="188">
                  <c:v>3.2494261477022925E-2</c:v>
                </c:pt>
                <c:pt idx="189">
                  <c:v>3.2458059026984093E-2</c:v>
                </c:pt>
                <c:pt idx="190">
                  <c:v>3.2421993568798817E-2</c:v>
                </c:pt>
                <c:pt idx="191">
                  <c:v>3.2386065236221034E-2</c:v>
                </c:pt>
                <c:pt idx="192">
                  <c:v>3.2350274133655599E-2</c:v>
                </c:pt>
                <c:pt idx="193">
                  <c:v>3.2314620337333906E-2</c:v>
                </c:pt>
                <c:pt idx="194">
                  <c:v>3.2279103896445914E-2</c:v>
                </c:pt>
                <c:pt idx="195">
                  <c:v>3.224372483423002E-2</c:v>
                </c:pt>
                <c:pt idx="196">
                  <c:v>3.2208483149022589E-2</c:v>
                </c:pt>
                <c:pt idx="197">
                  <c:v>3.2173378815268501E-2</c:v>
                </c:pt>
                <c:pt idx="198">
                  <c:v>3.2138411784494489E-2</c:v>
                </c:pt>
                <c:pt idx="199">
                  <c:v>3.2103581986246368E-2</c:v>
                </c:pt>
                <c:pt idx="200">
                  <c:v>3.2068889328991719E-2</c:v>
                </c:pt>
                <c:pt idx="201">
                  <c:v>3.2034333700989286E-2</c:v>
                </c:pt>
                <c:pt idx="202">
                  <c:v>3.1999914971126468E-2</c:v>
                </c:pt>
                <c:pt idx="203">
                  <c:v>3.1965632989725795E-2</c:v>
                </c:pt>
                <c:pt idx="204">
                  <c:v>3.1931487589321919E-2</c:v>
                </c:pt>
                <c:pt idx="205">
                  <c:v>3.1897478585410026E-2</c:v>
                </c:pt>
                <c:pt idx="206">
                  <c:v>3.1863605777166744E-2</c:v>
                </c:pt>
                <c:pt idx="207">
                  <c:v>3.1829868948144685E-2</c:v>
                </c:pt>
                <c:pt idx="208">
                  <c:v>3.1796267866941487E-2</c:v>
                </c:pt>
                <c:pt idx="209">
                  <c:v>3.1762802287844311E-2</c:v>
                </c:pt>
                <c:pt idx="210">
                  <c:v>3.1729471951450913E-2</c:v>
                </c:pt>
                <c:pt idx="211">
                  <c:v>3.1696276585267788E-2</c:v>
                </c:pt>
                <c:pt idx="212">
                  <c:v>3.1663215904286585E-2</c:v>
                </c:pt>
                <c:pt idx="213">
                  <c:v>3.1630289611539381E-2</c:v>
                </c:pt>
                <c:pt idx="214">
                  <c:v>3.1597497398633684E-2</c:v>
                </c:pt>
                <c:pt idx="215">
                  <c:v>3.1564838946267867E-2</c:v>
                </c:pt>
                <c:pt idx="216">
                  <c:v>3.1532313924727821E-2</c:v>
                </c:pt>
                <c:pt idx="217">
                  <c:v>3.1499921994365417E-2</c:v>
                </c:pt>
                <c:pt idx="218">
                  <c:v>3.1467662806059525E-2</c:v>
                </c:pt>
                <c:pt idx="219">
                  <c:v>3.143553600166011E-2</c:v>
                </c:pt>
                <c:pt idx="220">
                  <c:v>3.140354121441627E-2</c:v>
                </c:pt>
                <c:pt idx="221">
                  <c:v>3.1371678069388419E-2</c:v>
                </c:pt>
                <c:pt idx="222">
                  <c:v>3.1339946183845543E-2</c:v>
                </c:pt>
                <c:pt idx="223">
                  <c:v>3.1308345167647973E-2</c:v>
                </c:pt>
                <c:pt idx="224">
                  <c:v>3.1276874623615891E-2</c:v>
                </c:pt>
                <c:pt idx="225">
                  <c:v>3.1245534147884783E-2</c:v>
                </c:pt>
                <c:pt idx="226">
                  <c:v>3.1214323330247401E-2</c:v>
                </c:pt>
                <c:pt idx="227">
                  <c:v>3.1183241754483518E-2</c:v>
                </c:pt>
                <c:pt idx="228">
                  <c:v>3.115228899867746E-2</c:v>
                </c:pt>
                <c:pt idx="229">
                  <c:v>3.112146463552401E-2</c:v>
                </c:pt>
                <c:pt idx="230">
                  <c:v>3.1090768232623061E-2</c:v>
                </c:pt>
                <c:pt idx="231">
                  <c:v>3.1060199352763426E-2</c:v>
                </c:pt>
                <c:pt idx="232">
                  <c:v>3.1029757554196222E-2</c:v>
                </c:pt>
                <c:pt idx="233">
                  <c:v>3.0999442390898139E-2</c:v>
                </c:pt>
                <c:pt idx="234">
                  <c:v>3.0969253412824995E-2</c:v>
                </c:pt>
                <c:pt idx="235">
                  <c:v>3.093919016615598E-2</c:v>
                </c:pt>
                <c:pt idx="236">
                  <c:v>3.0909252193528733E-2</c:v>
                </c:pt>
                <c:pt idx="237">
                  <c:v>3.0879439034265814E-2</c:v>
                </c:pt>
                <c:pt idx="238">
                  <c:v>3.0849750224592774E-2</c:v>
                </c:pt>
                <c:pt idx="239">
                  <c:v>3.0820185297847909E-2</c:v>
                </c:pt>
                <c:pt idx="240">
                  <c:v>3.079074378468449E-2</c:v>
                </c:pt>
                <c:pt idx="241">
                  <c:v>3.0761425213265171E-2</c:v>
                </c:pt>
                <c:pt idx="242">
                  <c:v>3.073222910944929E-2</c:v>
                </c:pt>
                <c:pt idx="243">
                  <c:v>3.0703154996973066E-2</c:v>
                </c:pt>
                <c:pt idx="244">
                  <c:v>3.0674202397623029E-2</c:v>
                </c:pt>
                <c:pt idx="245">
                  <c:v>3.0645370831402913E-2</c:v>
                </c:pt>
                <c:pt idx="246">
                  <c:v>3.0616659816694154E-2</c:v>
                </c:pt>
                <c:pt idx="247">
                  <c:v>3.0588068870410524E-2</c:v>
                </c:pt>
                <c:pt idx="248">
                  <c:v>3.0559597508146609E-2</c:v>
                </c:pt>
                <c:pt idx="249">
                  <c:v>3.0531245244320753E-2</c:v>
                </c:pt>
                <c:pt idx="250">
                  <c:v>3.0503011592312643E-2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D0-4EF5-B30C-F902C163C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  <c:max val="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YPR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2799650043744"/>
          <c:y val="4.1666666666666664E-2"/>
          <c:w val="0.84096500437445332"/>
          <c:h val="0.7963888888888889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MSY!$AE$2:$AE$294</c:f>
              <c:numCache>
                <c:formatCode>General</c:formatCode>
                <c:ptCount val="293"/>
                <c:pt idx="0">
                  <c:v>0.1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</c:numCache>
            </c:numRef>
          </c:xVal>
          <c:yVal>
            <c:numRef>
              <c:f>MSY!$AD$2:$AD$294</c:f>
              <c:numCache>
                <c:formatCode>General</c:formatCode>
                <c:ptCount val="293"/>
                <c:pt idx="0">
                  <c:v>4.3044948733892578</c:v>
                </c:pt>
                <c:pt idx="1">
                  <c:v>387.28680492788874</c:v>
                </c:pt>
                <c:pt idx="2">
                  <c:v>703.33532308587075</c:v>
                </c:pt>
                <c:pt idx="3">
                  <c:v>966.14563293875904</c:v>
                </c:pt>
                <c:pt idx="4">
                  <c:v>1188.1246850079892</c:v>
                </c:pt>
                <c:pt idx="5">
                  <c:v>1378.1021346188363</c:v>
                </c:pt>
                <c:pt idx="6">
                  <c:v>1542.5329560834762</c:v>
                </c:pt>
                <c:pt idx="7">
                  <c:v>1686.2454681548129</c:v>
                </c:pt>
                <c:pt idx="8">
                  <c:v>1812.9233632865871</c:v>
                </c:pt>
                <c:pt idx="9">
                  <c:v>1925.4259187207306</c:v>
                </c:pt>
                <c:pt idx="10">
                  <c:v>2026.0064078117005</c:v>
                </c:pt>
                <c:pt idx="11">
                  <c:v>2116.4645692078534</c:v>
                </c:pt>
                <c:pt idx="12">
                  <c:v>2198.2552483481509</c:v>
                </c:pt>
                <c:pt idx="13">
                  <c:v>2272.5672374182418</c:v>
                </c:pt>
                <c:pt idx="14">
                  <c:v>2340.381434162025</c:v>
                </c:pt>
                <c:pt idx="15">
                  <c:v>2402.5143836393368</c:v>
                </c:pt>
                <c:pt idx="16">
                  <c:v>2459.6513166029531</c:v>
                </c:pt>
                <c:pt idx="17">
                  <c:v>2512.3715262092851</c:v>
                </c:pt>
                <c:pt idx="18">
                  <c:v>2561.1680788083872</c:v>
                </c:pt>
                <c:pt idx="19">
                  <c:v>2606.4632817476763</c:v>
                </c:pt>
                <c:pt idx="20">
                  <c:v>2648.6209368634891</c:v>
                </c:pt>
                <c:pt idx="21">
                  <c:v>2687.9561328552736</c:v>
                </c:pt>
                <c:pt idx="22">
                  <c:v>2724.7431345647515</c:v>
                </c:pt>
                <c:pt idx="23">
                  <c:v>2759.2217871209359</c:v>
                </c:pt>
                <c:pt idx="24">
                  <c:v>2791.6027511965476</c:v>
                </c:pt>
                <c:pt idx="25">
                  <c:v>2822.0718109316886</c:v>
                </c:pt>
                <c:pt idx="26">
                  <c:v>2850.7934406667632</c:v>
                </c:pt>
                <c:pt idx="27">
                  <c:v>2877.9137751153189</c:v>
                </c:pt>
                <c:pt idx="28">
                  <c:v>2903.5630962282589</c:v>
                </c:pt>
                <c:pt idx="29">
                  <c:v>2927.8579260785209</c:v>
                </c:pt>
                <c:pt idx="30">
                  <c:v>2950.9027967115389</c:v>
                </c:pt>
                <c:pt idx="31">
                  <c:v>2972.7917536725258</c:v>
                </c:pt>
                <c:pt idx="32">
                  <c:v>2993.6096388216856</c:v>
                </c:pt>
                <c:pt idx="33">
                  <c:v>3013.4331893342751</c:v>
                </c:pt>
                <c:pt idx="34">
                  <c:v>3032.33198289754</c:v>
                </c:pt>
                <c:pt idx="35">
                  <c:v>3050.3692536440558</c:v>
                </c:pt>
                <c:pt idx="36">
                  <c:v>3067.6025989860386</c:v>
                </c:pt>
                <c:pt idx="37">
                  <c:v>3084.0845939986289</c:v>
                </c:pt>
                <c:pt idx="38">
                  <c:v>3099.8633271587451</c:v>
                </c:pt>
                <c:pt idx="39">
                  <c:v>3114.9828689389301</c:v>
                </c:pt>
                <c:pt idx="40">
                  <c:v>3129.4836828732423</c:v>
                </c:pt>
                <c:pt idx="41">
                  <c:v>3143.4029871696321</c:v>
                </c:pt>
                <c:pt idx="42">
                  <c:v>3156.7750736734706</c:v>
                </c:pt>
                <c:pt idx="43">
                  <c:v>3169.6315899374931</c:v>
                </c:pt>
                <c:pt idx="44">
                  <c:v>3182.0017892825872</c:v>
                </c:pt>
                <c:pt idx="45">
                  <c:v>3193.912753008553</c:v>
                </c:pt>
                <c:pt idx="46">
                  <c:v>3205.3895883075757</c:v>
                </c:pt>
                <c:pt idx="47">
                  <c:v>3216.4556049244907</c:v>
                </c:pt>
                <c:pt idx="48">
                  <c:v>3227.1324731796985</c:v>
                </c:pt>
                <c:pt idx="49">
                  <c:v>3237.4403656090117</c:v>
                </c:pt>
                <c:pt idx="50">
                  <c:v>3247.3980841683715</c:v>
                </c:pt>
                <c:pt idx="51">
                  <c:v>3257.0231746911154</c:v>
                </c:pt>
                <c:pt idx="52">
                  <c:v>3266.3320300636574</c:v>
                </c:pt>
                <c:pt idx="53">
                  <c:v>3275.3399833959397</c:v>
                </c:pt>
                <c:pt idx="54">
                  <c:v>3284.0613923005712</c:v>
                </c:pt>
                <c:pt idx="55">
                  <c:v>3292.5097152550989</c:v>
                </c:pt>
                <c:pt idx="56">
                  <c:v>3300.6975809016435</c:v>
                </c:pt>
                <c:pt idx="57">
                  <c:v>3308.6368510344287</c:v>
                </c:pt>
                <c:pt idx="58">
                  <c:v>3316.3386779359225</c:v>
                </c:pt>
                <c:pt idx="59">
                  <c:v>3323.8135566444384</c:v>
                </c:pt>
                <c:pt idx="60">
                  <c:v>3331.0713726683484</c:v>
                </c:pt>
                <c:pt idx="61">
                  <c:v>3338.1214456030716</c:v>
                </c:pt>
                <c:pt idx="62">
                  <c:v>3344.9725690555165</c:v>
                </c:pt>
                <c:pt idx="63">
                  <c:v>3351.633047235604</c:v>
                </c:pt>
                <c:pt idx="64">
                  <c:v>3358.1107285350331</c:v>
                </c:pt>
                <c:pt idx="65">
                  <c:v>3364.4130363787526</c:v>
                </c:pt>
                <c:pt idx="66">
                  <c:v>3370.5469976041422</c:v>
                </c:pt>
                <c:pt idx="67">
                  <c:v>3376.5192685959664</c:v>
                </c:pt>
                <c:pt idx="68">
                  <c:v>3382.3361593814871</c:v>
                </c:pt>
                <c:pt idx="69">
                  <c:v>3388.0036558690763</c:v>
                </c:pt>
                <c:pt idx="70">
                  <c:v>3393.5274403951016</c:v>
                </c:pt>
                <c:pt idx="71">
                  <c:v>3398.9129107273443</c:v>
                </c:pt>
                <c:pt idx="72">
                  <c:v>3404.1651976585504</c:v>
                </c:pt>
                <c:pt idx="73">
                  <c:v>3409.2891813106453</c:v>
                </c:pt>
                <c:pt idx="74">
                  <c:v>3414.2895062585299</c:v>
                </c:pt>
                <c:pt idx="75">
                  <c:v>3419.1705955719658</c:v>
                </c:pt>
                <c:pt idx="76">
                  <c:v>3423.9366638647889</c:v>
                </c:pt>
                <c:pt idx="77">
                  <c:v>3428.5917294323622</c:v>
                </c:pt>
                <c:pt idx="78">
                  <c:v>3433.1396255507439</c:v>
                </c:pt>
                <c:pt idx="79">
                  <c:v>3437.5840110043378</c:v>
                </c:pt>
                <c:pt idx="80">
                  <c:v>3441.9283799028099</c:v>
                </c:pt>
                <c:pt idx="81">
                  <c:v>3446.1760708426082</c:v>
                </c:pt>
                <c:pt idx="82">
                  <c:v>3450.3302754635893</c:v>
                </c:pt>
                <c:pt idx="83">
                  <c:v>3454.3940464468287</c:v>
                </c:pt>
                <c:pt idx="84">
                  <c:v>3458.3703049957426</c:v>
                </c:pt>
                <c:pt idx="85">
                  <c:v>3462.2618478390386</c:v>
                </c:pt>
                <c:pt idx="86">
                  <c:v>3466.07135379079</c:v>
                </c:pt>
                <c:pt idx="87">
                  <c:v>3469.8013898999543</c:v>
                </c:pt>
                <c:pt idx="88">
                  <c:v>3473.454417219019</c:v>
                </c:pt>
                <c:pt idx="89">
                  <c:v>3477.0327962189981</c:v>
                </c:pt>
                <c:pt idx="90">
                  <c:v>3480.5387918758333</c:v>
                </c:pt>
                <c:pt idx="91">
                  <c:v>3483.9745784512165</c:v>
                </c:pt>
                <c:pt idx="92">
                  <c:v>3487.3422439890528</c:v>
                </c:pt>
                <c:pt idx="93">
                  <c:v>3490.6437945470843</c:v>
                </c:pt>
                <c:pt idx="94">
                  <c:v>3493.8811581817217</c:v>
                </c:pt>
                <c:pt idx="95">
                  <c:v>3497.0561887026897</c:v>
                </c:pt>
                <c:pt idx="96">
                  <c:v>3500.1706692128651</c:v>
                </c:pt>
                <c:pt idx="97">
                  <c:v>3503.2263154475086</c:v>
                </c:pt>
                <c:pt idx="98">
                  <c:v>3506.2247789260232</c:v>
                </c:pt>
                <c:pt idx="99">
                  <c:v>3509.1676499284108</c:v>
                </c:pt>
                <c:pt idx="100">
                  <c:v>3512.0564603076964</c:v>
                </c:pt>
                <c:pt idx="101">
                  <c:v>3514.8926861487712</c:v>
                </c:pt>
                <c:pt idx="102">
                  <c:v>3517.6777502833465</c:v>
                </c:pt>
                <c:pt idx="103">
                  <c:v>3520.4130246700252</c:v>
                </c:pt>
                <c:pt idx="104">
                  <c:v>3523.0998326478598</c:v>
                </c:pt>
                <c:pt idx="105">
                  <c:v>3525.7394510711688</c:v>
                </c:pt>
                <c:pt idx="106">
                  <c:v>3528.3331123328412</c:v>
                </c:pt>
                <c:pt idx="107">
                  <c:v>3530.8820062828822</c:v>
                </c:pt>
                <c:pt idx="108">
                  <c:v>3533.3872820484585</c:v>
                </c:pt>
                <c:pt idx="109">
                  <c:v>3535.8500497613045</c:v>
                </c:pt>
                <c:pt idx="110">
                  <c:v>3538.2713821979328</c:v>
                </c:pt>
                <c:pt idx="111">
                  <c:v>3540.6523163377533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AD-456B-BA4F-77DAE66FFB1A}"/>
            </c:ext>
          </c:extLst>
        </c:ser>
        <c:ser>
          <c:idx val="1"/>
          <c:order val="1"/>
          <c:tx>
            <c:v>hor</c:v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(MSY!$F$19,MSY!$E$19)</c:f>
              <c:numCache>
                <c:formatCode>General</c:formatCode>
                <c:ptCount val="2"/>
                <c:pt idx="0">
                  <c:v>0</c:v>
                </c:pt>
                <c:pt idx="1">
                  <c:v>976.02956426133596</c:v>
                </c:pt>
              </c:numCache>
            </c:numRef>
          </c:xVal>
          <c:yVal>
            <c:numRef>
              <c:f>(MSY!$E$15,MSY!$E$15)</c:f>
              <c:numCache>
                <c:formatCode>General</c:formatCode>
                <c:ptCount val="2"/>
                <c:pt idx="0">
                  <c:v>3505.0409999999997</c:v>
                </c:pt>
                <c:pt idx="1">
                  <c:v>3505.0409999999997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AD-456B-BA4F-77DAE66FFB1A}"/>
            </c:ext>
          </c:extLst>
        </c:ser>
        <c:ser>
          <c:idx val="2"/>
          <c:order val="2"/>
          <c:tx>
            <c:v>vert</c:v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(MSY!$E$19,MSY!$E$19)</c:f>
              <c:numCache>
                <c:formatCode>General</c:formatCode>
                <c:ptCount val="2"/>
                <c:pt idx="0">
                  <c:v>976.02956426133596</c:v>
                </c:pt>
                <c:pt idx="1">
                  <c:v>976.02956426133596</c:v>
                </c:pt>
              </c:numCache>
            </c:numRef>
          </c:xVal>
          <c:yVal>
            <c:numRef>
              <c:f>MSY!$Z$44:$AA$44</c:f>
              <c:numCache>
                <c:formatCode>General</c:formatCode>
                <c:ptCount val="2"/>
                <c:pt idx="0">
                  <c:v>0</c:v>
                </c:pt>
                <c:pt idx="1">
                  <c:v>3505.0409999999997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AD-456B-BA4F-77DAE66FFB1A}"/>
            </c:ext>
          </c:extLst>
        </c:ser>
        <c:ser>
          <c:idx val="3"/>
          <c:order val="3"/>
          <c:tx>
            <c:v>point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MSY!$E$19</c:f>
              <c:numCache>
                <c:formatCode>General</c:formatCode>
                <c:ptCount val="1"/>
                <c:pt idx="0">
                  <c:v>976.02956426133596</c:v>
                </c:pt>
              </c:numCache>
            </c:numRef>
          </c:xVal>
          <c:yVal>
            <c:numRef>
              <c:f>MSY!$E$15</c:f>
              <c:numCache>
                <c:formatCode>General</c:formatCode>
                <c:ptCount val="1"/>
                <c:pt idx="0">
                  <c:v>3505.0409999999997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AD-456B-BA4F-77DAE66FFB1A}"/>
            </c:ext>
          </c:extLst>
        </c:ser>
        <c:ser>
          <c:idx val="4"/>
          <c:order val="4"/>
          <c:tx>
            <c:v>hor2</c:v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(MSY!$Z$44,MSY!$Y$45)</c:f>
              <c:numCache>
                <c:formatCode>General</c:formatCode>
                <c:ptCount val="2"/>
                <c:pt idx="0">
                  <c:v>0</c:v>
                </c:pt>
                <c:pt idx="1">
                  <c:v>279.96184713603287</c:v>
                </c:pt>
              </c:numCache>
            </c:numRef>
          </c:xVal>
          <c:yVal>
            <c:numRef>
              <c:f>(MSY!$Y$44,MSY!$Y$44)</c:f>
              <c:numCache>
                <c:formatCode>General</c:formatCode>
                <c:ptCount val="2"/>
                <c:pt idx="0">
                  <c:v>2903.4678808316362</c:v>
                </c:pt>
                <c:pt idx="1">
                  <c:v>2903.4678808316362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AD-456B-BA4F-77DAE66FFB1A}"/>
            </c:ext>
          </c:extLst>
        </c:ser>
        <c:ser>
          <c:idx val="5"/>
          <c:order val="5"/>
          <c:tx>
            <c:v>vert2</c:v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31AD-456B-BA4F-77DAE66FFB1A}"/>
              </c:ext>
            </c:extLst>
          </c:dPt>
          <c:xVal>
            <c:numRef>
              <c:f>(MSY!$Y$45,MSY!$Y$45)</c:f>
              <c:numCache>
                <c:formatCode>General</c:formatCode>
                <c:ptCount val="2"/>
                <c:pt idx="0">
                  <c:v>279.96184713603287</c:v>
                </c:pt>
                <c:pt idx="1">
                  <c:v>279.96184713603287</c:v>
                </c:pt>
              </c:numCache>
            </c:numRef>
          </c:xVal>
          <c:yVal>
            <c:numRef>
              <c:f>(MSY!$Z$44,MSY!$Y$44)</c:f>
              <c:numCache>
                <c:formatCode>General</c:formatCode>
                <c:ptCount val="2"/>
                <c:pt idx="0">
                  <c:v>0</c:v>
                </c:pt>
                <c:pt idx="1">
                  <c:v>2903.4678808316362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1AD-456B-BA4F-77DAE66FFB1A}"/>
            </c:ext>
          </c:extLst>
        </c:ser>
        <c:ser>
          <c:idx val="6"/>
          <c:order val="6"/>
          <c:tx>
            <c:v>point2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(MSY!$Y$45,MSY!$Y$45)</c:f>
              <c:numCache>
                <c:formatCode>General</c:formatCode>
                <c:ptCount val="2"/>
                <c:pt idx="0">
                  <c:v>279.96184713603287</c:v>
                </c:pt>
                <c:pt idx="1">
                  <c:v>279.96184713603287</c:v>
                </c:pt>
              </c:numCache>
            </c:numRef>
          </c:xVal>
          <c:yVal>
            <c:numRef>
              <c:f>(MSY!$Y$44,MSY!$Y$44)</c:f>
              <c:numCache>
                <c:formatCode>General</c:formatCode>
                <c:ptCount val="2"/>
                <c:pt idx="0">
                  <c:v>2903.4678808316362</c:v>
                </c:pt>
                <c:pt idx="1">
                  <c:v>2903.4678808316362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1AD-456B-BA4F-77DAE66FF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</c:scaling>
        <c:delete val="0"/>
        <c:axPos val="b"/>
        <c:title>
          <c:tx>
            <c:strRef>
              <c:f>'SRR and Yield'!$AE$1</c:f>
              <c:strCache>
                <c:ptCount val="1"/>
                <c:pt idx="0">
                  <c:v>SSB (kt)</c:v>
                </c:pt>
              </c:strCache>
            </c:strRef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</c:scaling>
        <c:delete val="0"/>
        <c:axPos val="l"/>
        <c:title>
          <c:tx>
            <c:strRef>
              <c:f>'SRR and Yield'!$AD$1</c:f>
              <c:strCache>
                <c:ptCount val="1"/>
                <c:pt idx="0">
                  <c:v>Recruitment (10^9)</c:v>
                </c:pt>
              </c:strCache>
            </c:strRef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2799650043744"/>
          <c:y val="4.1666666666666664E-2"/>
          <c:w val="0.84096500437445332"/>
          <c:h val="0.7963888888888889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MSY!$A$44:$A$294</c:f>
              <c:numCache>
                <c:formatCode>General</c:formatCode>
                <c:ptCount val="251"/>
                <c:pt idx="0">
                  <c:v>1E-4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0.630000000000001</c:v>
                </c:pt>
                <c:pt idx="64">
                  <c:v>0.64000000000000101</c:v>
                </c:pt>
                <c:pt idx="65">
                  <c:v>0.65000000000000102</c:v>
                </c:pt>
                <c:pt idx="66">
                  <c:v>0.66000000000000103</c:v>
                </c:pt>
                <c:pt idx="67">
                  <c:v>0.67000000000000104</c:v>
                </c:pt>
                <c:pt idx="68">
                  <c:v>0.68000000000000105</c:v>
                </c:pt>
                <c:pt idx="69">
                  <c:v>0.69000000000000095</c:v>
                </c:pt>
                <c:pt idx="70">
                  <c:v>0.70000000000000095</c:v>
                </c:pt>
                <c:pt idx="71">
                  <c:v>0.71000000000000096</c:v>
                </c:pt>
                <c:pt idx="72">
                  <c:v>0.72000000000000097</c:v>
                </c:pt>
                <c:pt idx="73">
                  <c:v>0.73000000000000098</c:v>
                </c:pt>
                <c:pt idx="74">
                  <c:v>0.74000000000000099</c:v>
                </c:pt>
                <c:pt idx="75">
                  <c:v>0.750000000000001</c:v>
                </c:pt>
                <c:pt idx="76">
                  <c:v>0.76000000000000101</c:v>
                </c:pt>
                <c:pt idx="77">
                  <c:v>0.77000000000000102</c:v>
                </c:pt>
                <c:pt idx="78">
                  <c:v>0.78000000000000103</c:v>
                </c:pt>
                <c:pt idx="79">
                  <c:v>0.79000000000000103</c:v>
                </c:pt>
                <c:pt idx="80">
                  <c:v>0.80000000000000104</c:v>
                </c:pt>
                <c:pt idx="81">
                  <c:v>0.81000000000000105</c:v>
                </c:pt>
                <c:pt idx="82">
                  <c:v>0.82000000000000095</c:v>
                </c:pt>
                <c:pt idx="83">
                  <c:v>0.83000000000000096</c:v>
                </c:pt>
                <c:pt idx="84">
                  <c:v>0.84000000000000097</c:v>
                </c:pt>
                <c:pt idx="85">
                  <c:v>0.85000000000000098</c:v>
                </c:pt>
                <c:pt idx="86">
                  <c:v>0.86000000000000099</c:v>
                </c:pt>
                <c:pt idx="87">
                  <c:v>0.87000000000000099</c:v>
                </c:pt>
                <c:pt idx="88">
                  <c:v>0.880000000000001</c:v>
                </c:pt>
                <c:pt idx="89">
                  <c:v>0.89000000000000101</c:v>
                </c:pt>
                <c:pt idx="90">
                  <c:v>0.90000000000000102</c:v>
                </c:pt>
                <c:pt idx="91">
                  <c:v>0.91000000000000103</c:v>
                </c:pt>
                <c:pt idx="92">
                  <c:v>0.92000000000000104</c:v>
                </c:pt>
                <c:pt idx="93">
                  <c:v>0.93000000000000105</c:v>
                </c:pt>
                <c:pt idx="94">
                  <c:v>0.94000000000000095</c:v>
                </c:pt>
                <c:pt idx="95">
                  <c:v>0.95000000000000095</c:v>
                </c:pt>
                <c:pt idx="96">
                  <c:v>0.96000000000000096</c:v>
                </c:pt>
                <c:pt idx="97">
                  <c:v>0.97000000000000097</c:v>
                </c:pt>
                <c:pt idx="98">
                  <c:v>0.98000000000000098</c:v>
                </c:pt>
                <c:pt idx="99">
                  <c:v>0.99000000000000099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</c:numCache>
            </c:numRef>
          </c:xVal>
          <c:yVal>
            <c:numRef>
              <c:f>MSY!$B$44:$B$294</c:f>
              <c:numCache>
                <c:formatCode>General</c:formatCode>
                <c:ptCount val="251"/>
                <c:pt idx="0">
                  <c:v>0.99957921186715459</c:v>
                </c:pt>
                <c:pt idx="1">
                  <c:v>0.95923692764839574</c:v>
                </c:pt>
                <c:pt idx="2">
                  <c:v>0.92098392015969677</c:v>
                </c:pt>
                <c:pt idx="3">
                  <c:v>0.8850352768045644</c:v>
                </c:pt>
                <c:pt idx="4">
                  <c:v>0.85120627324999176</c:v>
                </c:pt>
                <c:pt idx="5">
                  <c:v>0.81933060785614542</c:v>
                </c:pt>
                <c:pt idx="6">
                  <c:v>0.78925820861960994</c:v>
                </c:pt>
                <c:pt idx="7">
                  <c:v>0.76085334295682439</c:v>
                </c:pt>
                <c:pt idx="8">
                  <c:v>0.7339929828557693</c:v>
                </c:pt>
                <c:pt idx="9">
                  <c:v>0.70856538622649956</c:v>
                </c:pt>
                <c:pt idx="10">
                  <c:v>0.68446886198619394</c:v>
                </c:pt>
                <c:pt idx="11">
                  <c:v>0.66161069185628396</c:v>
                </c:pt>
                <c:pt idx="12">
                  <c:v>0.63990618628682094</c:v>
                </c:pt>
                <c:pt idx="13">
                  <c:v>0.61927785555832326</c:v>
                </c:pt>
                <c:pt idx="14">
                  <c:v>0.59965468010187983</c:v>
                </c:pt>
                <c:pt idx="15">
                  <c:v>0.58097146654880893</c:v>
                </c:pt>
                <c:pt idx="16">
                  <c:v>0.56316827807014747</c:v>
                </c:pt>
                <c:pt idx="17">
                  <c:v>0.54618992927210608</c:v>
                </c:pt>
                <c:pt idx="18">
                  <c:v>0.529985537338996</c:v>
                </c:pt>
                <c:pt idx="19">
                  <c:v>0.51450812231029308</c:v>
                </c:pt>
                <c:pt idx="20">
                  <c:v>0.49971425038404899</c:v>
                </c:pt>
                <c:pt idx="21">
                  <c:v>0.48556371498754353</c:v>
                </c:pt>
                <c:pt idx="22">
                  <c:v>0.47201925107466908</c:v>
                </c:pt>
                <c:pt idx="23">
                  <c:v>0.45904627871976766</c:v>
                </c:pt>
                <c:pt idx="24">
                  <c:v>0.4466126725973425</c:v>
                </c:pt>
                <c:pt idx="25">
                  <c:v>0.43468855438093951</c:v>
                </c:pt>
                <c:pt idx="26">
                  <c:v>0.42324610547457209</c:v>
                </c:pt>
                <c:pt idx="27">
                  <c:v>0.41225939781640808</c:v>
                </c:pt>
                <c:pt idx="28">
                  <c:v>0.40170424077530392</c:v>
                </c:pt>
                <c:pt idx="29">
                  <c:v>0.39155804240312425</c:v>
                </c:pt>
                <c:pt idx="30">
                  <c:v>0.38179968351535931</c:v>
                </c:pt>
                <c:pt idx="31">
                  <c:v>0.37240940325421801</c:v>
                </c:pt>
                <c:pt idx="32">
                  <c:v>0.36336869494617685</c:v>
                </c:pt>
                <c:pt idx="33">
                  <c:v>0.35466021120334157</c:v>
                </c:pt>
                <c:pt idx="34">
                  <c:v>0.34626767733781055</c:v>
                </c:pt>
                <c:pt idx="35">
                  <c:v>0.33817581226297005</c:v>
                </c:pt>
                <c:pt idx="36">
                  <c:v>0.33037025614737897</c:v>
                </c:pt>
                <c:pt idx="37">
                  <c:v>0.32283750416738044</c:v>
                </c:pt>
                <c:pt idx="38">
                  <c:v>0.31556484577532051</c:v>
                </c:pt>
                <c:pt idx="39">
                  <c:v>0.30854030896254203</c:v>
                </c:pt>
                <c:pt idx="40">
                  <c:v>0.30175260905127022</c:v>
                </c:pt>
                <c:pt idx="41">
                  <c:v>0.29519110159804574</c:v>
                </c:pt>
                <c:pt idx="42">
                  <c:v>0.28884573903432609</c:v>
                </c:pt>
                <c:pt idx="43">
                  <c:v>0.28270703070795095</c:v>
                </c:pt>
                <c:pt idx="44">
                  <c:v>0.27676600602296936</c:v>
                </c:pt>
                <c:pt idx="45">
                  <c:v>0.2710141804053825</c:v>
                </c:pt>
                <c:pt idx="46">
                  <c:v>0.26544352384910719</c:v>
                </c:pt>
                <c:pt idx="47">
                  <c:v>0.26004643182032355</c:v>
                </c:pt>
                <c:pt idx="48">
                  <c:v>0.25481569831967105</c:v>
                </c:pt>
                <c:pt idx="49">
                  <c:v>0.24974449092079545</c:v>
                </c:pt>
                <c:pt idx="50">
                  <c:v>0.24482632762079964</c:v>
                </c:pt>
                <c:pt idx="51">
                  <c:v>0.2400550553534288</c:v>
                </c:pt>
                <c:pt idx="52">
                  <c:v>0.23542483002953274</c:v>
                </c:pt>
                <c:pt idx="53">
                  <c:v>0.23093009798167222</c:v>
                </c:pt>
                <c:pt idx="54">
                  <c:v>0.22656557870081895</c:v>
                </c:pt>
                <c:pt idx="55">
                  <c:v>0.22232624876308388</c:v>
                </c:pt>
                <c:pt idx="56">
                  <c:v>0.21820732685340971</c:v>
                </c:pt>
                <c:pt idx="57">
                  <c:v>0.2142042598012916</c:v>
                </c:pt>
                <c:pt idx="58">
                  <c:v>0.21031270955093084</c:v>
                </c:pt>
                <c:pt idx="59">
                  <c:v>0.20652854099487075</c:v>
                </c:pt>
                <c:pt idx="60">
                  <c:v>0.20284781060617973</c:v>
                </c:pt>
                <c:pt idx="61">
                  <c:v>0.19926675580969788</c:v>
                </c:pt>
                <c:pt idx="62">
                  <c:v>0.1957817850378121</c:v>
                </c:pt>
                <c:pt idx="63">
                  <c:v>0.192389468420718</c:v>
                </c:pt>
                <c:pt idx="64">
                  <c:v>0.18908652906521395</c:v>
                </c:pt>
                <c:pt idx="65">
                  <c:v>0.18586983487978326</c:v>
                </c:pt>
                <c:pt idx="66">
                  <c:v>0.18273639090711699</c:v>
                </c:pt>
                <c:pt idx="67">
                  <c:v>0.17968333212830656</c:v>
                </c:pt>
                <c:pt idx="68">
                  <c:v>0.17670791670575453</c:v>
                </c:pt>
                <c:pt idx="69">
                  <c:v>0.17380751963442465</c:v>
                </c:pt>
                <c:pt idx="70">
                  <c:v>0.1709796267733992</c:v>
                </c:pt>
                <c:pt idx="71">
                  <c:v>0.16822182923186518</c:v>
                </c:pt>
                <c:pt idx="72">
                  <c:v>0.1655318180856126</c:v>
                </c:pt>
                <c:pt idx="73">
                  <c:v>0.1629073794019365</c:v>
                </c:pt>
                <c:pt idx="74">
                  <c:v>0.1603463895524842</c:v>
                </c:pt>
                <c:pt idx="75">
                  <c:v>0.15784681079510487</c:v>
                </c:pt>
                <c:pt idx="76">
                  <c:v>0.15540668710715289</c:v>
                </c:pt>
                <c:pt idx="77">
                  <c:v>0.15302414025397557</c:v>
                </c:pt>
                <c:pt idx="78">
                  <c:v>0.15069736607749043</c:v>
                </c:pt>
                <c:pt idx="79">
                  <c:v>0.14842463099084269</c:v>
                </c:pt>
                <c:pt idx="80">
                  <c:v>0.1462042686661279</c:v>
                </c:pt>
                <c:pt idx="81">
                  <c:v>0.14403467690308647</c:v>
                </c:pt>
                <c:pt idx="82">
                  <c:v>0.14191431466752008</c:v>
                </c:pt>
                <c:pt idx="83">
                  <c:v>0.13984169928896542</c:v>
                </c:pt>
                <c:pt idx="84">
                  <c:v>0.13781540380787985</c:v>
                </c:pt>
                <c:pt idx="85">
                  <c:v>0.13583405446326136</c:v>
                </c:pt>
                <c:pt idx="86">
                  <c:v>0.13389632831224135</c:v>
                </c:pt>
                <c:pt idx="87">
                  <c:v>0.13200095097376005</c:v>
                </c:pt>
                <c:pt idx="88">
                  <c:v>0.1301466944889596</c:v>
                </c:pt>
                <c:pt idx="89">
                  <c:v>0.12833237529142189</c:v>
                </c:pt>
                <c:pt idx="90">
                  <c:v>0.12655685228082889</c:v>
                </c:pt>
                <c:pt idx="91">
                  <c:v>0.12481902499404413</c:v>
                </c:pt>
                <c:pt idx="92">
                  <c:v>0.12311783186800436</c:v>
                </c:pt>
                <c:pt idx="93">
                  <c:v>0.12145224858916953</c:v>
                </c:pt>
                <c:pt idx="94">
                  <c:v>0.1198212865246206</c:v>
                </c:pt>
                <c:pt idx="95">
                  <c:v>0.11822399123019922</c:v>
                </c:pt>
                <c:pt idx="96">
                  <c:v>0.11665944103138211</c:v>
                </c:pt>
                <c:pt idx="97">
                  <c:v>0.11512674567284613</c:v>
                </c:pt>
                <c:pt idx="98">
                  <c:v>0.11362504503293556</c:v>
                </c:pt>
                <c:pt idx="99">
                  <c:v>0.11215350789947551</c:v>
                </c:pt>
                <c:pt idx="100">
                  <c:v>0.11071133080359519</c:v>
                </c:pt>
                <c:pt idx="101">
                  <c:v>0.10929773690842412</c:v>
                </c:pt>
                <c:pt idx="102">
                  <c:v>0.1079119749497213</c:v>
                </c:pt>
                <c:pt idx="103">
                  <c:v>0.1065533182256652</c:v>
                </c:pt>
                <c:pt idx="104">
                  <c:v>0.1052210636332062</c:v>
                </c:pt>
                <c:pt idx="105">
                  <c:v>0.10391453074853127</c:v>
                </c:pt>
                <c:pt idx="106">
                  <c:v>0.10263306094933849</c:v>
                </c:pt>
                <c:pt idx="107">
                  <c:v>0.1013760165767526</c:v>
                </c:pt>
                <c:pt idx="108">
                  <c:v>0.10014278013483779</c:v>
                </c:pt>
                <c:pt idx="109">
                  <c:v>9.8932753525784664E-2</c:v>
                </c:pt>
                <c:pt idx="110">
                  <c:v>9.7745357318956186E-2</c:v>
                </c:pt>
                <c:pt idx="111">
                  <c:v>9.6580030052081406E-2</c:v>
                </c:pt>
                <c:pt idx="112">
                  <c:v>9.5436227562984366E-2</c:v>
                </c:pt>
                <c:pt idx="113">
                  <c:v>9.4313422350324513E-2</c:v>
                </c:pt>
                <c:pt idx="114">
                  <c:v>9.3211102961910278E-2</c:v>
                </c:pt>
                <c:pt idx="115">
                  <c:v>9.2128773409229162E-2</c:v>
                </c:pt>
                <c:pt idx="116">
                  <c:v>9.106595260691018E-2</c:v>
                </c:pt>
                <c:pt idx="117">
                  <c:v>9.002217383590766E-2</c:v>
                </c:pt>
                <c:pt idx="118">
                  <c:v>8.8996984229258322E-2</c:v>
                </c:pt>
                <c:pt idx="119">
                  <c:v>8.7989944279329255E-2</c:v>
                </c:pt>
                <c:pt idx="120">
                  <c:v>8.7000627365529895E-2</c:v>
                </c:pt>
                <c:pt idx="121">
                  <c:v>8.6028619301517895E-2</c:v>
                </c:pt>
                <c:pt idx="122">
                  <c:v>8.5073517900979223E-2</c:v>
                </c:pt>
                <c:pt idx="123">
                  <c:v>8.4134932561112749E-2</c:v>
                </c:pt>
                <c:pt idx="124">
                  <c:v>8.3212483862993875E-2</c:v>
                </c:pt>
                <c:pt idx="125">
                  <c:v>8.2305803188036375E-2</c:v>
                </c:pt>
                <c:pt idx="126">
                  <c:v>8.1414532349811275E-2</c:v>
                </c:pt>
                <c:pt idx="127">
                  <c:v>8.0538323240519641E-2</c:v>
                </c:pt>
                <c:pt idx="128">
                  <c:v>7.9676837491453864E-2</c:v>
                </c:pt>
                <c:pt idx="129">
                  <c:v>7.8829746146813942E-2</c:v>
                </c:pt>
                <c:pt idx="130">
                  <c:v>7.7996729350278682E-2</c:v>
                </c:pt>
                <c:pt idx="131">
                  <c:v>7.7177476043762169E-2</c:v>
                </c:pt>
                <c:pt idx="132">
                  <c:v>7.6371683677813468E-2</c:v>
                </c:pt>
                <c:pt idx="133">
                  <c:v>7.5579057933145746E-2</c:v>
                </c:pt>
                <c:pt idx="134">
                  <c:v>7.4799312452805286E-2</c:v>
                </c:pt>
                <c:pt idx="135">
                  <c:v>7.4032168584516042E-2</c:v>
                </c:pt>
                <c:pt idx="136">
                  <c:v>7.3277355132758112E-2</c:v>
                </c:pt>
                <c:pt idx="137">
                  <c:v>7.2534608120158744E-2</c:v>
                </c:pt>
                <c:pt idx="138">
                  <c:v>7.1803670557796961E-2</c:v>
                </c:pt>
                <c:pt idx="139">
                  <c:v>7.1084292224040529E-2</c:v>
                </c:pt>
                <c:pt idx="140">
                  <c:v>7.0376229451553057E-2</c:v>
                </c:pt>
                <c:pt idx="141">
                  <c:v>6.9679244922125974E-2</c:v>
                </c:pt>
                <c:pt idx="142">
                  <c:v>6.8993107469006928E-2</c:v>
                </c:pt>
                <c:pt idx="143">
                  <c:v>6.8317591886411205E-2</c:v>
                </c:pt>
                <c:pt idx="144">
                  <c:v>6.7652478745917649E-2</c:v>
                </c:pt>
                <c:pt idx="145">
                  <c:v>6.6997554219464753E-2</c:v>
                </c:pt>
                <c:pt idx="146">
                  <c:v>6.6352609908675364E-2</c:v>
                </c:pt>
                <c:pt idx="147">
                  <c:v>6.5717442680251384E-2</c:v>
                </c:pt>
                <c:pt idx="148">
                  <c:v>6.5091854507191488E-2</c:v>
                </c:pt>
                <c:pt idx="149">
                  <c:v>6.4475652315596252E-2</c:v>
                </c:pt>
                <c:pt idx="150">
                  <c:v>6.3868647836835962E-2</c:v>
                </c:pt>
                <c:pt idx="151">
                  <c:v>6.327065746486614E-2</c:v>
                </c:pt>
                <c:pt idx="152">
                  <c:v>6.2681502118486027E-2</c:v>
                </c:pt>
                <c:pt idx="153">
                  <c:v>6.2101007108344021E-2</c:v>
                </c:pt>
                <c:pt idx="154">
                  <c:v>6.1529002008503031E-2</c:v>
                </c:pt>
                <c:pt idx="155">
                  <c:v>6.096532053238668E-2</c:v>
                </c:pt>
                <c:pt idx="156">
                  <c:v>6.0409800412935824E-2</c:v>
                </c:pt>
                <c:pt idx="157">
                  <c:v>5.9862283286811716E-2</c:v>
                </c:pt>
                <c:pt idx="158">
                  <c:v>5.9322614582489316E-2</c:v>
                </c:pt>
                <c:pt idx="159">
                  <c:v>5.8790643412091712E-2</c:v>
                </c:pt>
                <c:pt idx="160">
                  <c:v>5.8266222466822358E-2</c:v>
                </c:pt>
                <c:pt idx="161">
                  <c:v>5.7749207915857852E-2</c:v>
                </c:pt>
                <c:pt idx="162">
                  <c:v>5.7239459308571126E-2</c:v>
                </c:pt>
                <c:pt idx="163">
                  <c:v>5.6736839479958716E-2</c:v>
                </c:pt>
                <c:pt idx="164">
                  <c:v>5.6241214459152485E-2</c:v>
                </c:pt>
                <c:pt idx="165">
                  <c:v>5.5752453380900409E-2</c:v>
                </c:pt>
                <c:pt idx="166">
                  <c:v>5.5270428399906701E-2</c:v>
                </c:pt>
                <c:pt idx="167">
                  <c:v>5.4795014607924963E-2</c:v>
                </c:pt>
                <c:pt idx="168">
                  <c:v>5.4326089953503638E-2</c:v>
                </c:pt>
                <c:pt idx="169">
                  <c:v>5.3863535164286561E-2</c:v>
                </c:pt>
                <c:pt idx="170">
                  <c:v>5.3407233671775425E-2</c:v>
                </c:pt>
                <c:pt idx="171">
                  <c:v>5.2957071538465163E-2</c:v>
                </c:pt>
                <c:pt idx="172">
                  <c:v>5.2512937387266444E-2</c:v>
                </c:pt>
                <c:pt idx="173">
                  <c:v>5.2074722333133226E-2</c:v>
                </c:pt>
                <c:pt idx="174">
                  <c:v>5.1642319916816642E-2</c:v>
                </c:pt>
                <c:pt idx="175">
                  <c:v>5.121562604066935E-2</c:v>
                </c:pt>
                <c:pt idx="176">
                  <c:v>5.0794538906428197E-2</c:v>
                </c:pt>
                <c:pt idx="177">
                  <c:v>5.0378958954904823E-2</c:v>
                </c:pt>
                <c:pt idx="178">
                  <c:v>4.9968788807517824E-2</c:v>
                </c:pt>
                <c:pt idx="179">
                  <c:v>4.9563933209602028E-2</c:v>
                </c:pt>
                <c:pt idx="180">
                  <c:v>4.9164298975432764E-2</c:v>
                </c:pt>
                <c:pt idx="181">
                  <c:v>4.8769794934906421E-2</c:v>
                </c:pt>
                <c:pt idx="182">
                  <c:v>4.8380331881819477E-2</c:v>
                </c:pt>
                <c:pt idx="183">
                  <c:v>4.7995822523691833E-2</c:v>
                </c:pt>
                <c:pt idx="184">
                  <c:v>4.7616181433081432E-2</c:v>
                </c:pt>
                <c:pt idx="185">
                  <c:v>4.7241325000339292E-2</c:v>
                </c:pt>
                <c:pt idx="186">
                  <c:v>4.6871171387756684E-2</c:v>
                </c:pt>
                <c:pt idx="187">
                  <c:v>4.6505640485057023E-2</c:v>
                </c:pt>
                <c:pt idx="188">
                  <c:v>4.6144653866187844E-2</c:v>
                </c:pt>
                <c:pt idx="189">
                  <c:v>4.578813474736905E-2</c:v>
                </c:pt>
                <c:pt idx="190">
                  <c:v>4.5436007946355904E-2</c:v>
                </c:pt>
                <c:pt idx="191">
                  <c:v>4.5088199842876424E-2</c:v>
                </c:pt>
                <c:pt idx="192">
                  <c:v>4.4744638340204632E-2</c:v>
                </c:pt>
                <c:pt idx="193">
                  <c:v>4.440525282783199E-2</c:v>
                </c:pt>
                <c:pt idx="194">
                  <c:v>4.4069974145201765E-2</c:v>
                </c:pt>
                <c:pt idx="195">
                  <c:v>4.3738734546470925E-2</c:v>
                </c:pt>
                <c:pt idx="196">
                  <c:v>4.3411467666267106E-2</c:v>
                </c:pt>
                <c:pt idx="197">
                  <c:v>4.3088108486407831E-2</c:v>
                </c:pt>
                <c:pt idx="198">
                  <c:v>4.2768593303551469E-2</c:v>
                </c:pt>
                <c:pt idx="199">
                  <c:v>4.2452859697750076E-2</c:v>
                </c:pt>
                <c:pt idx="200">
                  <c:v>4.2140846501875169E-2</c:v>
                </c:pt>
                <c:pt idx="201">
                  <c:v>4.1832493771888878E-2</c:v>
                </c:pt>
                <c:pt idx="202">
                  <c:v>4.152774275793391E-2</c:v>
                </c:pt>
                <c:pt idx="203">
                  <c:v>4.1226535876216219E-2</c:v>
                </c:pt>
                <c:pt idx="204">
                  <c:v>4.0928816681655732E-2</c:v>
                </c:pt>
                <c:pt idx="205">
                  <c:v>4.0634529841281262E-2</c:v>
                </c:pt>
                <c:pt idx="206">
                  <c:v>4.0343621108346085E-2</c:v>
                </c:pt>
                <c:pt idx="207">
                  <c:v>4.005603729714239E-2</c:v>
                </c:pt>
                <c:pt idx="208">
                  <c:v>3.9771726258492561E-2</c:v>
                </c:pt>
                <c:pt idx="209">
                  <c:v>3.9490636855896863E-2</c:v>
                </c:pt>
                <c:pt idx="210">
                  <c:v>3.9212718942317176E-2</c:v>
                </c:pt>
                <c:pt idx="211">
                  <c:v>3.8937923337577646E-2</c:v>
                </c:pt>
                <c:pt idx="212">
                  <c:v>3.8666201806363279E-2</c:v>
                </c:pt>
                <c:pt idx="213">
                  <c:v>3.8397507036798582E-2</c:v>
                </c:pt>
                <c:pt idx="214">
                  <c:v>3.8131792619588781E-2</c:v>
                </c:pt>
                <c:pt idx="215">
                  <c:v>3.7869013027706518E-2</c:v>
                </c:pt>
                <c:pt idx="216">
                  <c:v>3.7609123596608111E-2</c:v>
                </c:pt>
                <c:pt idx="217">
                  <c:v>3.735208050496322E-2</c:v>
                </c:pt>
                <c:pt idx="218">
                  <c:v>3.709784075588303E-2</c:v>
                </c:pt>
                <c:pt idx="219">
                  <c:v>3.6846362158631872E-2</c:v>
                </c:pt>
                <c:pt idx="220">
                  <c:v>3.6597603310808496E-2</c:v>
                </c:pt>
                <c:pt idx="221">
                  <c:v>3.6351523580982863E-2</c:v>
                </c:pt>
                <c:pt idx="222">
                  <c:v>3.6108083091775274E-2</c:v>
                </c:pt>
                <c:pt idx="223">
                  <c:v>3.5867242703365089E-2</c:v>
                </c:pt>
                <c:pt idx="224">
                  <c:v>3.5628963997416399E-2</c:v>
                </c:pt>
                <c:pt idx="225">
                  <c:v>3.5393209261408744E-2</c:v>
                </c:pt>
                <c:pt idx="226">
                  <c:v>3.5159941473361225E-2</c:v>
                </c:pt>
                <c:pt idx="227">
                  <c:v>3.4929124286938527E-2</c:v>
                </c:pt>
                <c:pt idx="228">
                  <c:v>3.4700722016928434E-2</c:v>
                </c:pt>
                <c:pt idx="229">
                  <c:v>3.4474699625079583E-2</c:v>
                </c:pt>
                <c:pt idx="230">
                  <c:v>3.4251022706290039E-2</c:v>
                </c:pt>
                <c:pt idx="231">
                  <c:v>3.4029657475135963E-2</c:v>
                </c:pt>
                <c:pt idx="232">
                  <c:v>3.3810570752731611E-2</c:v>
                </c:pt>
                <c:pt idx="233">
                  <c:v>3.3593729953910641E-2</c:v>
                </c:pt>
                <c:pt idx="234">
                  <c:v>3.3379103074720397E-2</c:v>
                </c:pt>
                <c:pt idx="235">
                  <c:v>3.316665868021991E-2</c:v>
                </c:pt>
                <c:pt idx="236">
                  <c:v>3.2956365892573766E-2</c:v>
                </c:pt>
                <c:pt idx="237">
                  <c:v>3.2748194379432959E-2</c:v>
                </c:pt>
                <c:pt idx="238">
                  <c:v>3.2542114342595657E-2</c:v>
                </c:pt>
                <c:pt idx="239">
                  <c:v>3.233809650693939E-2</c:v>
                </c:pt>
                <c:pt idx="240">
                  <c:v>3.213611210961799E-2</c:v>
                </c:pt>
                <c:pt idx="241">
                  <c:v>3.1936132889515322E-2</c:v>
                </c:pt>
                <c:pt idx="242">
                  <c:v>3.1738131076949644E-2</c:v>
                </c:pt>
                <c:pt idx="243">
                  <c:v>3.1542079383621038E-2</c:v>
                </c:pt>
                <c:pt idx="244">
                  <c:v>3.1347950992796005E-2</c:v>
                </c:pt>
                <c:pt idx="245">
                  <c:v>3.1155719549722433E-2</c:v>
                </c:pt>
                <c:pt idx="246">
                  <c:v>3.0965359152268872E-2</c:v>
                </c:pt>
                <c:pt idx="247">
                  <c:v>3.0776844341782381E-2</c:v>
                </c:pt>
                <c:pt idx="248">
                  <c:v>3.0590150094158771E-2</c:v>
                </c:pt>
                <c:pt idx="249">
                  <c:v>3.0405251811119725E-2</c:v>
                </c:pt>
                <c:pt idx="250">
                  <c:v>3.0222125311691803E-2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3D-482B-A79A-7717DB7E1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  <c:max val="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SPR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2799650043744"/>
          <c:y val="4.1666666666666664E-2"/>
          <c:w val="0.84096500437445332"/>
          <c:h val="0.7963888888888889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MSY!$F$44:$F$531</c:f>
              <c:numCache>
                <c:formatCode>General</c:formatCode>
                <c:ptCount val="488"/>
                <c:pt idx="0">
                  <c:v>975.58152608902992</c:v>
                </c:pt>
                <c:pt idx="1">
                  <c:v>932.62669472101891</c:v>
                </c:pt>
                <c:pt idx="2">
                  <c:v>891.89644065096843</c:v>
                </c:pt>
                <c:pt idx="3">
                  <c:v>853.61978024039092</c:v>
                </c:pt>
                <c:pt idx="4">
                  <c:v>817.60002649628382</c:v>
                </c:pt>
                <c:pt idx="5">
                  <c:v>783.66010816367066</c:v>
                </c:pt>
                <c:pt idx="6">
                  <c:v>751.64023464752984</c:v>
                </c:pt>
                <c:pt idx="7">
                  <c:v>721.39588338671103</c:v>
                </c:pt>
                <c:pt idx="8">
                  <c:v>692.79605913361843</c:v>
                </c:pt>
                <c:pt idx="9">
                  <c:v>665.72178343367727</c:v>
                </c:pt>
                <c:pt idx="10">
                  <c:v>640.06477973788242</c:v>
                </c:pt>
                <c:pt idx="11">
                  <c:v>615.72632537601999</c:v>
                </c:pt>
                <c:pt idx="12">
                  <c:v>592.61624634314319</c:v>
                </c:pt>
                <c:pt idx="13">
                  <c:v>570.65203472237124</c:v>
                </c:pt>
                <c:pt idx="14">
                  <c:v>549.75807175126999</c:v>
                </c:pt>
                <c:pt idx="15">
                  <c:v>529.86494216959125</c:v>
                </c:pt>
                <c:pt idx="16">
                  <c:v>510.90882766781993</c:v>
                </c:pt>
                <c:pt idx="17">
                  <c:v>492.83096907229685</c:v>
                </c:pt>
                <c:pt idx="18">
                  <c:v>475.57718842037684</c:v>
                </c:pt>
                <c:pt idx="19">
                  <c:v>459.09746335162379</c:v>
                </c:pt>
                <c:pt idx="20">
                  <c:v>443.34554731172233</c:v>
                </c:pt>
                <c:pt idx="21">
                  <c:v>428.27862996941383</c:v>
                </c:pt>
                <c:pt idx="22">
                  <c:v>413.85703301191978</c:v>
                </c:pt>
                <c:pt idx="23">
                  <c:v>400.0439371340338</c:v>
                </c:pt>
                <c:pt idx="24">
                  <c:v>386.80513658945091</c:v>
                </c:pt>
                <c:pt idx="25">
                  <c:v>374.1088181454985</c:v>
                </c:pt>
                <c:pt idx="26">
                  <c:v>361.92536168713724</c:v>
                </c:pt>
                <c:pt idx="27">
                  <c:v>350.22716006357592</c:v>
                </c:pt>
                <c:pt idx="28">
                  <c:v>338.98845606989738</c:v>
                </c:pt>
                <c:pt idx="29">
                  <c:v>328.18519471414351</c:v>
                </c:pt>
                <c:pt idx="30">
                  <c:v>317.79488914345546</c:v>
                </c:pt>
                <c:pt idx="31">
                  <c:v>307.79649879628425</c:v>
                </c:pt>
                <c:pt idx="32">
                  <c:v>298.17031851572636</c:v>
                </c:pt>
                <c:pt idx="33">
                  <c:v>288.89787750529393</c:v>
                </c:pt>
                <c:pt idx="34">
                  <c:v>279.96184713603287</c:v>
                </c:pt>
                <c:pt idx="35">
                  <c:v>271.34595672542406</c:v>
                </c:pt>
                <c:pt idx="36">
                  <c:v>263.0349165061682</c:v>
                </c:pt>
                <c:pt idx="37">
                  <c:v>255.01434708864818</c:v>
                </c:pt>
                <c:pt idx="38">
                  <c:v>247.27071479618584</c:v>
                </c:pt>
                <c:pt idx="39">
                  <c:v>239.79127231853428</c:v>
                </c:pt>
                <c:pt idx="40">
                  <c:v>232.56400418755044</c:v>
                </c:pt>
                <c:pt idx="41">
                  <c:v>225.57757663067594</c:v>
                </c:pt>
                <c:pt idx="42">
                  <c:v>218.82129140360601</c:v>
                </c:pt>
                <c:pt idx="43">
                  <c:v>212.28504324405765</c:v>
                </c:pt>
                <c:pt idx="44">
                  <c:v>205.95928062455016</c:v>
                </c:pt>
                <c:pt idx="45">
                  <c:v>199.83496951410606</c:v>
                </c:pt>
                <c:pt idx="46">
                  <c:v>193.90355988726509</c:v>
                </c:pt>
                <c:pt idx="47">
                  <c:v>188.15695474421184</c:v>
                </c:pt>
                <c:pt idx="48">
                  <c:v>182.58748142849294</c:v>
                </c:pt>
                <c:pt idx="49">
                  <c:v>177.18786504907109</c:v>
                </c:pt>
                <c:pt idx="50">
                  <c:v>171.95120383162276</c:v>
                </c:pt>
                <c:pt idx="51">
                  <c:v>166.87094624024726</c:v>
                </c:pt>
                <c:pt idx="52">
                  <c:v>161.94086972535919</c:v>
                </c:pt>
                <c:pt idx="53">
                  <c:v>157.15506096665578</c:v>
                </c:pt>
                <c:pt idx="54">
                  <c:v>152.50789749185432</c:v>
                </c:pt>
                <c:pt idx="55">
                  <c:v>147.99403056252237</c:v>
                </c:pt>
                <c:pt idx="56">
                  <c:v>143.60836922791239</c:v>
                </c:pt>
                <c:pt idx="57">
                  <c:v>139.3460654563622</c:v>
                </c:pt>
                <c:pt idx="58">
                  <c:v>135.2025002616414</c:v>
                </c:pt>
                <c:pt idx="59">
                  <c:v>131.17327074870016</c:v>
                </c:pt>
                <c:pt idx="60">
                  <c:v>127.25417800967739</c:v>
                </c:pt>
                <c:pt idx="61">
                  <c:v>123.44121580683428</c:v>
                </c:pt>
                <c:pt idx="62">
                  <c:v>119.73055998434647</c:v>
                </c:pt>
                <c:pt idx="63">
                  <c:v>116.11855855567137</c:v>
                </c:pt>
                <c:pt idx="64">
                  <c:v>112.60172241756128</c:v>
                </c:pt>
                <c:pt idx="65">
                  <c:v>109.17671664574176</c:v>
                </c:pt>
                <c:pt idx="66">
                  <c:v>105.84035233089224</c:v>
                </c:pt>
                <c:pt idx="67">
                  <c:v>102.5895789168414</c:v>
                </c:pt>
                <c:pt idx="68">
                  <c:v>99.421477005892385</c:v>
                </c:pt>
                <c:pt idx="69">
                  <c:v>96.333251598930616</c:v>
                </c:pt>
                <c:pt idx="70">
                  <c:v>93.322225740467601</c:v>
                </c:pt>
                <c:pt idx="71">
                  <c:v>90.385834541066416</c:v>
                </c:pt>
                <c:pt idx="72">
                  <c:v>87.521619551682733</c:v>
                </c:pt>
                <c:pt idx="73">
                  <c:v>84.727223466382043</c:v>
                </c:pt>
                <c:pt idx="74">
                  <c:v>82.000385131648997</c:v>
                </c:pt>
                <c:pt idx="75">
                  <c:v>79.338934842119713</c:v>
                </c:pt>
                <c:pt idx="76">
                  <c:v>76.74078990405188</c:v>
                </c:pt>
                <c:pt idx="77">
                  <c:v>74.203950449209444</c:v>
                </c:pt>
                <c:pt idx="78">
                  <c:v>71.72649548309019</c:v>
                </c:pt>
                <c:pt idx="79">
                  <c:v>69.306579152578649</c:v>
                </c:pt>
                <c:pt idx="80">
                  <c:v>66.942427219167371</c:v>
                </c:pt>
                <c:pt idx="81">
                  <c:v>64.632333724869596</c:v>
                </c:pt>
                <c:pt idx="82">
                  <c:v>62.374657838844783</c:v>
                </c:pt>
                <c:pt idx="83">
                  <c:v>60.167820873595282</c:v>
                </c:pt>
                <c:pt idx="84">
                  <c:v>58.010303460356738</c:v>
                </c:pt>
                <c:pt idx="85">
                  <c:v>55.900642874017677</c:v>
                </c:pt>
                <c:pt idx="86">
                  <c:v>53.837430498558213</c:v>
                </c:pt>
                <c:pt idx="87">
                  <c:v>51.819309424606899</c:v>
                </c:pt>
                <c:pt idx="88">
                  <c:v>49.844972171273952</c:v>
                </c:pt>
                <c:pt idx="89">
                  <c:v>47.913158524942617</c:v>
                </c:pt>
                <c:pt idx="90">
                  <c:v>46.02265348818073</c:v>
                </c:pt>
                <c:pt idx="91">
                  <c:v>44.172285332382202</c:v>
                </c:pt>
                <c:pt idx="92">
                  <c:v>42.360923748164424</c:v>
                </c:pt>
                <c:pt idx="93">
                  <c:v>40.587478087929377</c:v>
                </c:pt>
                <c:pt idx="94">
                  <c:v>38.85089569536013</c:v>
                </c:pt>
                <c:pt idx="95">
                  <c:v>37.150160316948373</c:v>
                </c:pt>
                <c:pt idx="96">
                  <c:v>35.4842905909668</c:v>
                </c:pt>
                <c:pt idx="97">
                  <c:v>33.852338609580698</c:v>
                </c:pt>
                <c:pt idx="98">
                  <c:v>32.253388550064848</c:v>
                </c:pt>
                <c:pt idx="99">
                  <c:v>30.686555371338972</c:v>
                </c:pt>
                <c:pt idx="100">
                  <c:v>29.150983572270146</c:v>
                </c:pt>
                <c:pt idx="101">
                  <c:v>27.645846008401449</c:v>
                </c:pt>
                <c:pt idx="102">
                  <c:v>26.170342763976738</c:v>
                </c:pt>
                <c:pt idx="103">
                  <c:v>24.723700076309978</c:v>
                </c:pt>
                <c:pt idx="104">
                  <c:v>23.305169309732236</c:v>
                </c:pt>
                <c:pt idx="105">
                  <c:v>21.914025976507816</c:v>
                </c:pt>
                <c:pt idx="106">
                  <c:v>20.549568802267618</c:v>
                </c:pt>
                <c:pt idx="107">
                  <c:v>19.211118833650708</c:v>
                </c:pt>
                <c:pt idx="108">
                  <c:v>17.898018585978015</c:v>
                </c:pt>
                <c:pt idx="109">
                  <c:v>16.609631228910274</c:v>
                </c:pt>
                <c:pt idx="110">
                  <c:v>15.345339808157879</c:v>
                </c:pt>
                <c:pt idx="111">
                  <c:v>14.104546501420078</c:v>
                </c:pt>
                <c:pt idx="112">
                  <c:v>12.886671906837099</c:v>
                </c:pt>
                <c:pt idx="113">
                  <c:v>11.691154362332263</c:v>
                </c:pt>
                <c:pt idx="114">
                  <c:v>10.517449294313257</c:v>
                </c:pt>
                <c:pt idx="115">
                  <c:v>9.3650285942872351</c:v>
                </c:pt>
                <c:pt idx="116">
                  <c:v>8.2333800220232938</c:v>
                </c:pt>
                <c:pt idx="117">
                  <c:v>7.1220066339722186</c:v>
                </c:pt>
                <c:pt idx="118">
                  <c:v>6.0304262357214329</c:v>
                </c:pt>
                <c:pt idx="119">
                  <c:v>4.9581708573326999</c:v>
                </c:pt>
                <c:pt idx="120">
                  <c:v>3.9047862504687285</c:v>
                </c:pt>
                <c:pt idx="121">
                  <c:v>2.8698314062765808</c:v>
                </c:pt>
                <c:pt idx="122">
                  <c:v>1.8528780930476898</c:v>
                </c:pt>
                <c:pt idx="123">
                  <c:v>0.85351041272920136</c:v>
                </c:pt>
                <c:pt idx="124">
                  <c:v>-0.12867562459269458</c:v>
                </c:pt>
                <c:pt idx="125">
                  <c:v>-1.0940725090686236</c:v>
                </c:pt>
                <c:pt idx="126">
                  <c:v>-2.0430616231104639</c:v>
                </c:pt>
                <c:pt idx="127">
                  <c:v>-2.9760136178127135</c:v>
                </c:pt>
                <c:pt idx="128">
                  <c:v>-3.8932887744796316</c:v>
                </c:pt>
                <c:pt idx="129">
                  <c:v>-4.7952373519324887</c:v>
                </c:pt>
                <c:pt idx="130">
                  <c:v>-5.6821999202357878</c:v>
                </c:pt>
                <c:pt idx="131">
                  <c:v>-6.554507681449218</c:v>
                </c:pt>
                <c:pt idx="132">
                  <c:v>-7.412482777982329</c:v>
                </c:pt>
                <c:pt idx="133">
                  <c:v>-8.2564385890990675</c:v>
                </c:pt>
                <c:pt idx="134">
                  <c:v>-9.0866800160933803</c:v>
                </c:pt>
                <c:pt idx="135">
                  <c:v>-9.9035037566302115</c:v>
                </c:pt>
                <c:pt idx="136">
                  <c:v>-10.707198568722466</c:v>
                </c:pt>
                <c:pt idx="137">
                  <c:v>-11.498045524792026</c:v>
                </c:pt>
                <c:pt idx="138">
                  <c:v>-12.276318256240259</c:v>
                </c:pt>
                <c:pt idx="139">
                  <c:v>-13.042283188933355</c:v>
                </c:pt>
                <c:pt idx="140">
                  <c:v>-13.796199769988577</c:v>
                </c:pt>
                <c:pt idx="141">
                  <c:v>-14.538320686228881</c:v>
                </c:pt>
                <c:pt idx="142">
                  <c:v>-15.268892074655607</c:v>
                </c:pt>
                <c:pt idx="143">
                  <c:v>-15.988153725273033</c:v>
                </c:pt>
                <c:pt idx="144">
                  <c:v>-16.696339276582581</c:v>
                </c:pt>
                <c:pt idx="145">
                  <c:v>-17.393676404049369</c:v>
                </c:pt>
                <c:pt idx="146">
                  <c:v>-18.080387001830378</c:v>
                </c:pt>
                <c:pt idx="147">
                  <c:v>-18.756687358039535</c:v>
                </c:pt>
                <c:pt idx="148">
                  <c:v>-19.422788323812654</c:v>
                </c:pt>
                <c:pt idx="149">
                  <c:v>-20.078895476423103</c:v>
                </c:pt>
                <c:pt idx="150">
                  <c:v>-20.725209276687568</c:v>
                </c:pt>
                <c:pt idx="151">
                  <c:v>-21.361925220890679</c:v>
                </c:pt>
                <c:pt idx="152">
                  <c:v>-21.989233987446628</c:v>
                </c:pt>
                <c:pt idx="153">
                  <c:v>-22.607321578506376</c:v>
                </c:pt>
                <c:pt idx="154">
                  <c:v>-23.216369456709717</c:v>
                </c:pt>
                <c:pt idx="155">
                  <c:v>-23.816554677272663</c:v>
                </c:pt>
                <c:pt idx="156">
                  <c:v>-24.408050015591964</c:v>
                </c:pt>
                <c:pt idx="157">
                  <c:v>-24.991024090540904</c:v>
                </c:pt>
                <c:pt idx="158">
                  <c:v>-25.565641483623022</c:v>
                </c:pt>
                <c:pt idx="159">
                  <c:v>-26.132062854142404</c:v>
                </c:pt>
                <c:pt idx="160">
                  <c:v>-26.690445050543236</c:v>
                </c:pt>
                <c:pt idx="161">
                  <c:v>-27.240941218064684</c:v>
                </c:pt>
                <c:pt idx="162">
                  <c:v>-27.783700902849649</c:v>
                </c:pt>
                <c:pt idx="163">
                  <c:v>-28.318870152642017</c:v>
                </c:pt>
                <c:pt idx="164">
                  <c:v>-28.846591614199678</c:v>
                </c:pt>
                <c:pt idx="165">
                  <c:v>-29.367004627546159</c:v>
                </c:pt>
                <c:pt idx="166">
                  <c:v>-29.880245317177838</c:v>
                </c:pt>
                <c:pt idx="167">
                  <c:v>-30.386446680339763</c:v>
                </c:pt>
                <c:pt idx="168">
                  <c:v>-30.88573867247749</c:v>
                </c:pt>
                <c:pt idx="169">
                  <c:v>-31.378248289968255</c:v>
                </c:pt>
                <c:pt idx="170">
                  <c:v>-31.864099650230909</c:v>
                </c:pt>
                <c:pt idx="171">
                  <c:v>-32.343414069309205</c:v>
                </c:pt>
                <c:pt idx="172">
                  <c:v>-32.816310137019819</c:v>
                </c:pt>
                <c:pt idx="173">
                  <c:v>-33.282903789752623</c:v>
                </c:pt>
                <c:pt idx="174">
                  <c:v>-33.743308381006841</c:v>
                </c:pt>
                <c:pt idx="175">
                  <c:v>-34.197634749743941</c:v>
                </c:pt>
                <c:pt idx="176">
                  <c:v>-34.645991286634256</c:v>
                </c:pt>
                <c:pt idx="177">
                  <c:v>-35.088483998271826</c:v>
                </c:pt>
                <c:pt idx="178">
                  <c:v>-35.5252165694287</c:v>
                </c:pt>
                <c:pt idx="179">
                  <c:v>-35.956290423416903</c:v>
                </c:pt>
                <c:pt idx="180">
                  <c:v>-36.381804780624321</c:v>
                </c:pt>
                <c:pt idx="181">
                  <c:v>-36.801856715287165</c:v>
                </c:pt>
                <c:pt idx="182">
                  <c:v>-37.216541210560258</c:v>
                </c:pt>
                <c:pt idx="183">
                  <c:v>-37.625951211943232</c:v>
                </c:pt>
                <c:pt idx="184">
                  <c:v>-38.030177679118687</c:v>
                </c:pt>
                <c:pt idx="185">
                  <c:v>-38.429309636256733</c:v>
                </c:pt>
                <c:pt idx="186">
                  <c:v>-38.823434220837207</c:v>
                </c:pt>
                <c:pt idx="187">
                  <c:v>-39.212636731040114</c:v>
                </c:pt>
                <c:pt idx="188">
                  <c:v>-39.597000671751815</c:v>
                </c:pt>
                <c:pt idx="189">
                  <c:v>-39.976607799233498</c:v>
                </c:pt>
                <c:pt idx="190">
                  <c:v>-40.351538164496333</c:v>
                </c:pt>
                <c:pt idx="191">
                  <c:v>-40.721870155426124</c:v>
                </c:pt>
                <c:pt idx="192">
                  <c:v>-41.087680537698539</c:v>
                </c:pt>
                <c:pt idx="193">
                  <c:v>-41.449044494525104</c:v>
                </c:pt>
                <c:pt idx="194">
                  <c:v>-41.806035665267316</c:v>
                </c:pt>
                <c:pt idx="195">
                  <c:v>-42.158726182956798</c:v>
                </c:pt>
                <c:pt idx="196">
                  <c:v>-42.507186710755889</c:v>
                </c:pt>
                <c:pt idx="197">
                  <c:v>-42.851486477393657</c:v>
                </c:pt>
                <c:pt idx="198">
                  <c:v>-43.191693311609846</c:v>
                </c:pt>
                <c:pt idx="199">
                  <c:v>-43.527873675638567</c:v>
                </c:pt>
                <c:pt idx="200">
                  <c:v>-43.860092697762461</c:v>
                </c:pt>
                <c:pt idx="201">
                  <c:v>-44.188414203966801</c:v>
                </c:pt>
                <c:pt idx="202">
                  <c:v>-44.512900748721712</c:v>
                </c:pt>
                <c:pt idx="203">
                  <c:v>-44.833613644920369</c:v>
                </c:pt>
                <c:pt idx="204">
                  <c:v>-45.150612992999392</c:v>
                </c:pt>
                <c:pt idx="205">
                  <c:v>-45.463957709266886</c:v>
                </c:pt>
                <c:pt idx="206">
                  <c:v>-45.77370555346311</c:v>
                </c:pt>
                <c:pt idx="207">
                  <c:v>-46.079913155577024</c:v>
                </c:pt>
                <c:pt idx="208">
                  <c:v>-46.382636041942206</c:v>
                </c:pt>
                <c:pt idx="209">
                  <c:v>-46.681928660633801</c:v>
                </c:pt>
                <c:pt idx="210">
                  <c:v>-46.977844406188268</c:v>
                </c:pt>
                <c:pt idx="211">
                  <c:v>-47.270435643666296</c:v>
                </c:pt>
                <c:pt idx="212">
                  <c:v>-47.559753732078931</c:v>
                </c:pt>
                <c:pt idx="213">
                  <c:v>-47.845849047196239</c:v>
                </c:pt>
                <c:pt idx="214">
                  <c:v>-48.128771003756867</c:v>
                </c:pt>
                <c:pt idx="215">
                  <c:v>-48.408568077096803</c:v>
                </c:pt>
                <c:pt idx="216">
                  <c:v>-48.685287824214377</c:v>
                </c:pt>
                <c:pt idx="217">
                  <c:v>-48.958976904288427</c:v>
                </c:pt>
                <c:pt idx="218">
                  <c:v>-49.229681098665871</c:v>
                </c:pt>
                <c:pt idx="219">
                  <c:v>-49.497445330334337</c:v>
                </c:pt>
                <c:pt idx="220">
                  <c:v>-49.76231368289492</c:v>
                </c:pt>
                <c:pt idx="221">
                  <c:v>-50.024329419049749</c:v>
                </c:pt>
                <c:pt idx="222">
                  <c:v>-50.283534998618677</c:v>
                </c:pt>
                <c:pt idx="223">
                  <c:v>-50.539972096098516</c:v>
                </c:pt>
                <c:pt idx="224">
                  <c:v>-50.793681617778361</c:v>
                </c:pt>
                <c:pt idx="225">
                  <c:v>-51.044703718423548</c:v>
                </c:pt>
                <c:pt idx="226">
                  <c:v>-51.29307781754089</c:v>
                </c:pt>
                <c:pt idx="227">
                  <c:v>-51.53884261523708</c:v>
                </c:pt>
                <c:pt idx="228">
                  <c:v>-51.782036107681719</c:v>
                </c:pt>
                <c:pt idx="229">
                  <c:v>-52.02269560218668</c:v>
                </c:pt>
                <c:pt idx="230">
                  <c:v>-52.260857731911919</c:v>
                </c:pt>
                <c:pt idx="231">
                  <c:v>-52.496558470209287</c:v>
                </c:pt>
                <c:pt idx="232">
                  <c:v>-52.729833144613394</c:v>
                </c:pt>
                <c:pt idx="233">
                  <c:v>-52.960716450490466</c:v>
                </c:pt>
                <c:pt idx="234">
                  <c:v>-53.189242464353917</c:v>
                </c:pt>
                <c:pt idx="235">
                  <c:v>-53.415444656856543</c:v>
                </c:pt>
                <c:pt idx="236">
                  <c:v>-53.639355905467703</c:v>
                </c:pt>
                <c:pt idx="237">
                  <c:v>-53.861008506844918</c:v>
                </c:pt>
                <c:pt idx="238">
                  <c:v>-54.080434188907383</c:v>
                </c:pt>
                <c:pt idx="239">
                  <c:v>-54.297664122620624</c:v>
                </c:pt>
                <c:pt idx="240">
                  <c:v>-54.512728933499027</c:v>
                </c:pt>
                <c:pt idx="241">
                  <c:v>-54.725658712835163</c:v>
                </c:pt>
                <c:pt idx="242">
                  <c:v>-54.936483028662174</c:v>
                </c:pt>
                <c:pt idx="243">
                  <c:v>-55.145230936457317</c:v>
                </c:pt>
                <c:pt idx="244">
                  <c:v>-55.351930989593008</c:v>
                </c:pt>
                <c:pt idx="245">
                  <c:v>-55.556611249542563</c:v>
                </c:pt>
                <c:pt idx="246">
                  <c:v>-55.759299295847157</c:v>
                </c:pt>
                <c:pt idx="247">
                  <c:v>-55.960022235850005</c:v>
                </c:pt>
                <c:pt idx="248">
                  <c:v>-56.158806714204367</c:v>
                </c:pt>
                <c:pt idx="249">
                  <c:v>-56.355678922161388</c:v>
                </c:pt>
                <c:pt idx="250">
                  <c:v>-56.550664606642847</c:v>
                </c:pt>
                <c:pt idx="251">
                  <c:v>-56.743789079105845</c:v>
                </c:pt>
                <c:pt idx="252">
                  <c:v>-56.935077224203248</c:v>
                </c:pt>
                <c:pt idx="253">
                  <c:v>-57.124553508246741</c:v>
                </c:pt>
                <c:pt idx="254">
                  <c:v>-57.31224198747644</c:v>
                </c:pt>
                <c:pt idx="255">
                  <c:v>-57.498166316142786</c:v>
                </c:pt>
                <c:pt idx="256">
                  <c:v>-57.682349754405458</c:v>
                </c:pt>
                <c:pt idx="257">
                  <c:v>-57.864815176053796</c:v>
                </c:pt>
                <c:pt idx="258">
                  <c:v>-58.045585076053477</c:v>
                </c:pt>
                <c:pt idx="259">
                  <c:v>-58.224681577923825</c:v>
                </c:pt>
                <c:pt idx="260">
                  <c:v>-58.402126440950305</c:v>
                </c:pt>
                <c:pt idx="261">
                  <c:v>-58.577941067236111</c:v>
                </c:pt>
                <c:pt idx="262">
                  <c:v>-58.752146508596887</c:v>
                </c:pt>
                <c:pt idx="263">
                  <c:v>-58.924763473302924</c:v>
                </c:pt>
                <c:pt idx="264">
                  <c:v>-59.095812332672374</c:v>
                </c:pt>
                <c:pt idx="265">
                  <c:v>-59.265313127519114</c:v>
                </c:pt>
                <c:pt idx="266">
                  <c:v>-59.433285574459369</c:v>
                </c:pt>
                <c:pt idx="267">
                  <c:v>-59.599749072080066</c:v>
                </c:pt>
                <c:pt idx="268">
                  <c:v>-59.764722706972719</c:v>
                </c:pt>
                <c:pt idx="269">
                  <c:v>-59.9282252596361</c:v>
                </c:pt>
                <c:pt idx="270">
                  <c:v>-60.09027521025083</c:v>
                </c:pt>
                <c:pt idx="271">
                  <c:v>-60.250890744329148</c:v>
                </c:pt>
                <c:pt idx="272">
                  <c:v>-60.410089758242975</c:v>
                </c:pt>
                <c:pt idx="273">
                  <c:v>-60.56788986463301</c:v>
                </c:pt>
                <c:pt idx="274">
                  <c:v>-60.724308397702188</c:v>
                </c:pt>
                <c:pt idx="275">
                  <c:v>-60.879362418395658</c:v>
                </c:pt>
                <c:pt idx="276">
                  <c:v>-61.033068719470862</c:v>
                </c:pt>
                <c:pt idx="277">
                  <c:v>-61.185443830459633</c:v>
                </c:pt>
                <c:pt idx="278">
                  <c:v>-61.336504022525304</c:v>
                </c:pt>
                <c:pt idx="279">
                  <c:v>-61.486265313217281</c:v>
                </c:pt>
                <c:pt idx="280">
                  <c:v>-61.634743471125518</c:v>
                </c:pt>
                <c:pt idx="281">
                  <c:v>-61.781954020437247</c:v>
                </c:pt>
                <c:pt idx="282">
                  <c:v>-61.927912245398296</c:v>
                </c:pt>
                <c:pt idx="283">
                  <c:v>-62.07263319468148</c:v>
                </c:pt>
                <c:pt idx="284">
                  <c:v>-62.216131685663683</c:v>
                </c:pt>
                <c:pt idx="285">
                  <c:v>-62.358422308614657</c:v>
                </c:pt>
                <c:pt idx="286">
                  <c:v>-62.499519430798735</c:v>
                </c:pt>
                <c:pt idx="287">
                  <c:v>-62.639437200492146</c:v>
                </c:pt>
                <c:pt idx="288">
                  <c:v>-62.778189550917439</c:v>
                </c:pt>
                <c:pt idx="289">
                  <c:v>-62.915790204097434</c:v>
                </c:pt>
                <c:pt idx="290">
                  <c:v>-63.052252674629955</c:v>
                </c:pt>
                <c:pt idx="291">
                  <c:v>-63.187590273385908</c:v>
                </c:pt>
                <c:pt idx="292">
                  <c:v>-63.321816111131774</c:v>
                </c:pt>
                <c:pt idx="293">
                  <c:v>-63.454943102078751</c:v>
                </c:pt>
                <c:pt idx="294">
                  <c:v>-63.586983967359963</c:v>
                </c:pt>
                <c:pt idx="295">
                  <c:v>-63.717951238437607</c:v>
                </c:pt>
                <c:pt idx="296">
                  <c:v>-63.847857260441273</c:v>
                </c:pt>
                <c:pt idx="297">
                  <c:v>-63.976714195439534</c:v>
                </c:pt>
                <c:pt idx="298">
                  <c:v>-64.104534025645748</c:v>
                </c:pt>
                <c:pt idx="299">
                  <c:v>-64.23132855656003</c:v>
                </c:pt>
                <c:pt idx="300">
                  <c:v>-64.357109420048531</c:v>
                </c:pt>
                <c:pt idx="301">
                  <c:v>-64.481888077361631</c:v>
                </c:pt>
                <c:pt idx="302">
                  <c:v>-64.605675822092181</c:v>
                </c:pt>
                <c:pt idx="303">
                  <c:v>-64.728483783075561</c:v>
                </c:pt>
                <c:pt idx="304">
                  <c:v>-64.85032292723227</c:v>
                </c:pt>
                <c:pt idx="305">
                  <c:v>-64.971204062354786</c:v>
                </c:pt>
                <c:pt idx="306">
                  <c:v>-65.091137839839874</c:v>
                </c:pt>
                <c:pt idx="307">
                  <c:v>-65.210134757367271</c:v>
                </c:pt>
                <c:pt idx="308">
                  <c:v>-65.328205161526213</c:v>
                </c:pt>
                <c:pt idx="309">
                  <c:v>-65.445359250390922</c:v>
                </c:pt>
                <c:pt idx="310">
                  <c:v>-65.561607076045888</c:v>
                </c:pt>
                <c:pt idx="311">
                  <c:v>-65.676958547062597</c:v>
                </c:pt>
                <c:pt idx="312">
                  <c:v>-65.79142343092812</c:v>
                </c:pt>
                <c:pt idx="313">
                  <c:v>-65.90501135642711</c:v>
                </c:pt>
                <c:pt idx="314">
                  <c:v>-66.017731815977967</c:v>
                </c:pt>
                <c:pt idx="315">
                  <c:v>-66.129594167924253</c:v>
                </c:pt>
                <c:pt idx="316">
                  <c:v>-66.240607638782336</c:v>
                </c:pt>
                <c:pt idx="317">
                  <c:v>-66.350781325446022</c:v>
                </c:pt>
                <c:pt idx="318">
                  <c:v>-66.460124197349415</c:v>
                </c:pt>
                <c:pt idx="319">
                  <c:v>-66.568645098588689</c:v>
                </c:pt>
                <c:pt idx="320">
                  <c:v>-66.67635275000363</c:v>
                </c:pt>
                <c:pt idx="321">
                  <c:v>-66.783255751219968</c:v>
                </c:pt>
                <c:pt idx="322">
                  <c:v>-66.889362582653078</c:v>
                </c:pt>
                <c:pt idx="323">
                  <c:v>-66.99468160747422</c:v>
                </c:pt>
                <c:pt idx="324">
                  <c:v>-67.099221073539724</c:v>
                </c:pt>
                <c:pt idx="325">
                  <c:v>-67.20298911528424</c:v>
                </c:pt>
                <c:pt idx="326">
                  <c:v>-67.305993755578669</c:v>
                </c:pt>
                <c:pt idx="327">
                  <c:v>-67.408242907553202</c:v>
                </c:pt>
                <c:pt idx="328">
                  <c:v>-67.509744376387019</c:v>
                </c:pt>
                <c:pt idx="329">
                  <c:v>-67.610505861064368</c:v>
                </c:pt>
                <c:pt idx="330">
                  <c:v>-67.710534956098357</c:v>
                </c:pt>
                <c:pt idx="331">
                  <c:v>-67.809839153223066</c:v>
                </c:pt>
                <c:pt idx="332">
                  <c:v>-67.908425843054317</c:v>
                </c:pt>
                <c:pt idx="333">
                  <c:v>-68.00630231672011</c:v>
                </c:pt>
                <c:pt idx="334">
                  <c:v>-68.103475767461063</c:v>
                </c:pt>
                <c:pt idx="335">
                  <c:v>-68.199953292201769</c:v>
                </c:pt>
                <c:pt idx="336">
                  <c:v>-68.29574189309335</c:v>
                </c:pt>
                <c:pt idx="337">
                  <c:v>-68.390848479028108</c:v>
                </c:pt>
                <c:pt idx="338">
                  <c:v>-68.485279867126437</c:v>
                </c:pt>
                <c:pt idx="339">
                  <c:v>-68.579042784197114</c:v>
                </c:pt>
                <c:pt idx="340">
                  <c:v>-68.672143868170991</c:v>
                </c:pt>
                <c:pt idx="341">
                  <c:v>-68.764589669508894</c:v>
                </c:pt>
                <c:pt idx="342">
                  <c:v>-68.856386652584192</c:v>
                </c:pt>
                <c:pt idx="343">
                  <c:v>-68.947541197040664</c:v>
                </c:pt>
                <c:pt idx="344">
                  <c:v>-69.038059599125788</c:v>
                </c:pt>
                <c:pt idx="345">
                  <c:v>-69.127948073000454</c:v>
                </c:pt>
                <c:pt idx="346">
                  <c:v>-69.217212752025219</c:v>
                </c:pt>
                <c:pt idx="347">
                  <c:v>-69.305859690023695</c:v>
                </c:pt>
                <c:pt idx="348">
                  <c:v>-69.393894862523453</c:v>
                </c:pt>
                <c:pt idx="349">
                  <c:v>-69.481324167975032</c:v>
                </c:pt>
                <c:pt idx="350">
                  <c:v>-69.568153428949302</c:v>
                </c:pt>
                <c:pt idx="351">
                  <c:v>-69.654388393313809</c:v>
                </c:pt>
                <c:pt idx="352">
                  <c:v>-69.740034735388278</c:v>
                </c:pt>
                <c:pt idx="353">
                  <c:v>-69.825098057080027</c:v>
                </c:pt>
                <c:pt idx="354">
                  <c:v>-69.90958388899918</c:v>
                </c:pt>
                <c:pt idx="355">
                  <c:v>-69.993497691554694</c:v>
                </c:pt>
                <c:pt idx="356">
                  <c:v>-70.076844856030988</c:v>
                </c:pt>
                <c:pt idx="357">
                  <c:v>-70.159630705645995</c:v>
                </c:pt>
                <c:pt idx="358">
                  <c:v>-70.241860496590746</c:v>
                </c:pt>
                <c:pt idx="359">
                  <c:v>-70.32353941905086</c:v>
                </c:pt>
                <c:pt idx="360">
                  <c:v>-70.404672598210567</c:v>
                </c:pt>
                <c:pt idx="361">
                  <c:v>-70.485265095239043</c:v>
                </c:pt>
                <c:pt idx="362">
                  <c:v>-70.565321908260131</c:v>
                </c:pt>
                <c:pt idx="363">
                  <c:v>-70.644847973304977</c:v>
                </c:pt>
                <c:pt idx="364">
                  <c:v>-70.723848165248725</c:v>
                </c:pt>
                <c:pt idx="365">
                  <c:v>-70.802327298730745</c:v>
                </c:pt>
                <c:pt idx="366">
                  <c:v>-70.880290129059432</c:v>
                </c:pt>
                <c:pt idx="367">
                  <c:v>-70.957741353101468</c:v>
                </c:pt>
                <c:pt idx="368">
                  <c:v>-71.034685610155805</c:v>
                </c:pt>
                <c:pt idx="369">
                  <c:v>-71.111127482813004</c:v>
                </c:pt>
                <c:pt idx="370">
                  <c:v>-71.187071497799877</c:v>
                </c:pt>
                <c:pt idx="371">
                  <c:v>-71.26252212680977</c:v>
                </c:pt>
                <c:pt idx="372">
                  <c:v>-71.337483787319002</c:v>
                </c:pt>
                <c:pt idx="373">
                  <c:v>-71.411960843389281</c:v>
                </c:pt>
                <c:pt idx="374">
                  <c:v>-71.48595760645685</c:v>
                </c:pt>
                <c:pt idx="375">
                  <c:v>-71.559478336108228</c:v>
                </c:pt>
                <c:pt idx="376">
                  <c:v>-71.632527240842933</c:v>
                </c:pt>
                <c:pt idx="377">
                  <c:v>-71.705108478823604</c:v>
                </c:pt>
                <c:pt idx="378">
                  <c:v>-71.777226158613303</c:v>
                </c:pt>
                <c:pt idx="379">
                  <c:v>-71.848884339900877</c:v>
                </c:pt>
                <c:pt idx="380">
                  <c:v>-71.920087034213964</c:v>
                </c:pt>
                <c:pt idx="381">
                  <c:v>-71.990838205620207</c:v>
                </c:pt>
                <c:pt idx="382">
                  <c:v>-72.061141771417041</c:v>
                </c:pt>
                <c:pt idx="383">
                  <c:v>-72.131001602809775</c:v>
                </c:pt>
                <c:pt idx="384">
                  <c:v>-72.200421525578648</c:v>
                </c:pt>
                <c:pt idx="385">
                  <c:v>-72.269405320734919</c:v>
                </c:pt>
                <c:pt idx="386">
                  <c:v>-72.337956725166038</c:v>
                </c:pt>
                <c:pt idx="387">
                  <c:v>-72.406079432270261</c:v>
                </c:pt>
                <c:pt idx="388">
                  <c:v>-72.473777092580875</c:v>
                </c:pt>
                <c:pt idx="389">
                  <c:v>-72.541053314380278</c:v>
                </c:pt>
                <c:pt idx="390">
                  <c:v>-72.607911664303884</c:v>
                </c:pt>
                <c:pt idx="391">
                  <c:v>-72.674355667934236</c:v>
                </c:pt>
                <c:pt idx="392">
                  <c:v>-72.740388810385568</c:v>
                </c:pt>
                <c:pt idx="393">
                  <c:v>-72.806014536878678</c:v>
                </c:pt>
                <c:pt idx="394">
                  <c:v>-72.871236253306577</c:v>
                </c:pt>
                <c:pt idx="395">
                  <c:v>-72.936057326791015</c:v>
                </c:pt>
                <c:pt idx="396">
                  <c:v>-73.000481086229954</c:v>
                </c:pt>
                <c:pt idx="397">
                  <c:v>-73.064510822836169</c:v>
                </c:pt>
                <c:pt idx="398">
                  <c:v>-73.128149790667351</c:v>
                </c:pt>
                <c:pt idx="399">
                  <c:v>-73.191401207147521</c:v>
                </c:pt>
                <c:pt idx="400">
                  <c:v>-73.254268253580022</c:v>
                </c:pt>
                <c:pt idx="401">
                  <c:v>-73.316754075652611</c:v>
                </c:pt>
                <c:pt idx="402">
                  <c:v>-73.378861783934113</c:v>
                </c:pt>
                <c:pt idx="403">
                  <c:v>-73.440594454363392</c:v>
                </c:pt>
                <c:pt idx="404">
                  <c:v>-73.501955128730373</c:v>
                </c:pt>
                <c:pt idx="405">
                  <c:v>-73.562946815149488</c:v>
                </c:pt>
                <c:pt idx="406">
                  <c:v>-73.623572488525738</c:v>
                </c:pt>
                <c:pt idx="407">
                  <c:v>-73.683835091013037</c:v>
                </c:pt>
                <c:pt idx="408">
                  <c:v>-73.743737532465616</c:v>
                </c:pt>
                <c:pt idx="409">
                  <c:v>-73.80328269088217</c:v>
                </c:pt>
                <c:pt idx="410">
                  <c:v>-73.86247341284303</c:v>
                </c:pt>
                <c:pt idx="411">
                  <c:v>-73.92131251394035</c:v>
                </c:pt>
                <c:pt idx="412">
                  <c:v>-73.979802779201705</c:v>
                </c:pt>
                <c:pt idx="413">
                  <c:v>-74.03794696350694</c:v>
                </c:pt>
                <c:pt idx="414">
                  <c:v>-74.095747791998505</c:v>
                </c:pt>
                <c:pt idx="415">
                  <c:v>-74.153207960485403</c:v>
                </c:pt>
                <c:pt idx="416">
                  <c:v>-74.210330135840721</c:v>
                </c:pt>
                <c:pt idx="417">
                  <c:v>-74.267116956393252</c:v>
                </c:pt>
                <c:pt idx="418">
                  <c:v>-74.323571032312586</c:v>
                </c:pt>
                <c:pt idx="419">
                  <c:v>-74.379694945988689</c:v>
                </c:pt>
                <c:pt idx="420">
                  <c:v>-74.435491252405185</c:v>
                </c:pt>
                <c:pt idx="421">
                  <c:v>-74.490962479507246</c:v>
                </c:pt>
                <c:pt idx="422">
                  <c:v>-74.546111128563382</c:v>
                </c:pt>
                <c:pt idx="423">
                  <c:v>-74.600939674522095</c:v>
                </c:pt>
                <c:pt idx="424">
                  <c:v>-74.65545056636266</c:v>
                </c:pt>
                <c:pt idx="425">
                  <c:v>-74.7096462274407</c:v>
                </c:pt>
                <c:pt idx="426">
                  <c:v>-74.763529055828485</c:v>
                </c:pt>
                <c:pt idx="427">
                  <c:v>-74.817101424649863</c:v>
                </c:pt>
                <c:pt idx="428">
                  <c:v>-74.870365682410281</c:v>
                </c:pt>
                <c:pt idx="429">
                  <c:v>-74.923324153321531</c:v>
                </c:pt>
                <c:pt idx="430">
                  <c:v>-74.975979137621692</c:v>
                </c:pt>
                <c:pt idx="431">
                  <c:v>-75.028332911890217</c:v>
                </c:pt>
                <c:pt idx="432">
                  <c:v>-75.080387729358108</c:v>
                </c:pt>
                <c:pt idx="433">
                  <c:v>-75.132145820213537</c:v>
                </c:pt>
                <c:pt idx="434">
                  <c:v>-75.18360939190265</c:v>
                </c:pt>
                <c:pt idx="435">
                  <c:v>-75.234780629426055</c:v>
                </c:pt>
                <c:pt idx="436">
                  <c:v>-75.285661695630594</c:v>
                </c:pt>
                <c:pt idx="437">
                  <c:v>-75.336254731496865</c:v>
                </c:pt>
                <c:pt idx="438">
                  <c:v>-75.386561856422446</c:v>
                </c:pt>
                <c:pt idx="439">
                  <c:v>-75.43658516850067</c:v>
                </c:pt>
                <c:pt idx="440">
                  <c:v>-75.486326744795463</c:v>
                </c:pt>
                <c:pt idx="441">
                  <c:v>-75.535788641611816</c:v>
                </c:pt>
                <c:pt idx="442">
                  <c:v>-75.584972894762501</c:v>
                </c:pt>
                <c:pt idx="443">
                  <c:v>-75.633881519830481</c:v>
                </c:pt>
                <c:pt idx="444">
                  <c:v>-75.682516512427725</c:v>
                </c:pt>
                <c:pt idx="445">
                  <c:v>-75.730879848449803</c:v>
                </c:pt>
                <c:pt idx="446">
                  <c:v>-75.778973484327182</c:v>
                </c:pt>
                <c:pt idx="447">
                  <c:v>-75.826799357272265</c:v>
                </c:pt>
                <c:pt idx="448">
                  <c:v>-75.874359385523206</c:v>
                </c:pt>
                <c:pt idx="449">
                  <c:v>-75.921655468583836</c:v>
                </c:pt>
                <c:pt idx="450">
                  <c:v>-75.968689487460196</c:v>
                </c:pt>
                <c:pt idx="451">
                  <c:v>-76.015463304893473</c:v>
                </c:pt>
                <c:pt idx="452">
                  <c:v>-76.0619787655897</c:v>
                </c:pt>
                <c:pt idx="453">
                  <c:v>-76.108237696445812</c:v>
                </c:pt>
                <c:pt idx="454">
                  <c:v>-76.154241906772569</c:v>
                </c:pt>
                <c:pt idx="455">
                  <c:v>-76.199993188514156</c:v>
                </c:pt>
                <c:pt idx="456">
                  <c:v>-76.245493316464632</c:v>
                </c:pt>
                <c:pt idx="457">
                  <c:v>-76.290744048481102</c:v>
                </c:pt>
                <c:pt idx="458">
                  <c:v>-76.335747125693828</c:v>
                </c:pt>
                <c:pt idx="459">
                  <c:v>-76.380504272713409</c:v>
                </c:pt>
                <c:pt idx="460">
                  <c:v>-76.425017197834677</c:v>
                </c:pt>
                <c:pt idx="461">
                  <c:v>-76.469287593237908</c:v>
                </c:pt>
                <c:pt idx="462">
                  <c:v>-76.513317135186966</c:v>
                </c:pt>
                <c:pt idx="463">
                  <c:v>-76.55710748422463</c:v>
                </c:pt>
                <c:pt idx="464">
                  <c:v>-76.600660285365024</c:v>
                </c:pt>
                <c:pt idx="465">
                  <c:v>-76.643977168283413</c:v>
                </c:pt>
                <c:pt idx="466">
                  <c:v>-76.687059747503113</c:v>
                </c:pt>
                <c:pt idx="467">
                  <c:v>-76.729909622579868</c:v>
                </c:pt>
                <c:pt idx="468">
                  <c:v>-76.772528378283397</c:v>
                </c:pt>
                <c:pt idx="469">
                  <c:v>-76.814917584776509</c:v>
                </c:pt>
                <c:pt idx="470">
                  <c:v>-76.857078797791559</c:v>
                </c:pt>
                <c:pt idx="471">
                  <c:v>-76.899013558804413</c:v>
                </c:pt>
                <c:pt idx="472">
                  <c:v>-76.940723395205907</c:v>
                </c:pt>
                <c:pt idx="473">
                  <c:v>-76.982209820470914</c:v>
                </c:pt>
                <c:pt idx="474">
                  <c:v>-77.023474334324945</c:v>
                </c:pt>
                <c:pt idx="475">
                  <c:v>-77.064518422908392</c:v>
                </c:pt>
                <c:pt idx="476">
                  <c:v>-77.105343558938557</c:v>
                </c:pt>
                <c:pt idx="477">
                  <c:v>-77.145951201869167</c:v>
                </c:pt>
                <c:pt idx="478">
                  <c:v>-77.18634279804786</c:v>
                </c:pt>
                <c:pt idx="479">
                  <c:v>-77.2265197808713</c:v>
                </c:pt>
                <c:pt idx="480">
                  <c:v>-77.266483570938135</c:v>
                </c:pt>
                <c:pt idx="481">
                  <c:v>-77.30623557619991</c:v>
                </c:pt>
                <c:pt idx="482">
                  <c:v>-77.345777192109665</c:v>
                </c:pt>
                <c:pt idx="483">
                  <c:v>-77.385109801768635</c:v>
                </c:pt>
                <c:pt idx="484">
                  <c:v>-77.424234776070776</c:v>
                </c:pt>
                <c:pt idx="485">
                  <c:v>-77.463153473845338</c:v>
                </c:pt>
                <c:pt idx="486">
                  <c:v>-77.501867241997417</c:v>
                </c:pt>
                <c:pt idx="487">
                  <c:v>-77.540377415646518</c:v>
                </c:pt>
              </c:numCache>
            </c:numRef>
          </c:xVal>
          <c:yVal>
            <c:numRef>
              <c:f>MSY!$G$44:$G$531</c:f>
              <c:numCache>
                <c:formatCode>General</c:formatCode>
                <c:ptCount val="488"/>
                <c:pt idx="0">
                  <c:v>9.4041010585536586E-2</c:v>
                </c:pt>
                <c:pt idx="1">
                  <c:v>9.0020420027098478</c:v>
                </c:pt>
                <c:pt idx="2">
                  <c:v>17.241597958159279</c:v>
                </c:pt>
                <c:pt idx="3">
                  <c:v>24.78750619150377</c:v>
                </c:pt>
                <c:pt idx="4">
                  <c:v>31.70119616689556</c:v>
                </c:pt>
                <c:pt idx="5">
                  <c:v>38.037616412073866</c:v>
                </c:pt>
                <c:pt idx="6">
                  <c:v>43.846029528519672</c:v>
                </c:pt>
                <c:pt idx="7">
                  <c:v>49.170695731927999</c:v>
                </c:pt>
                <c:pt idx="8">
                  <c:v>54.051462523158555</c:v>
                </c:pt>
                <c:pt idx="9">
                  <c:v>58.524275001922611</c:v>
                </c:pt>
                <c:pt idx="10">
                  <c:v>62.621618842458005</c:v>
                </c:pt>
                <c:pt idx="11">
                  <c:v>66.372905927788693</c:v>
                </c:pt>
                <c:pt idx="12">
                  <c:v>69.804810990395225</c:v>
                </c:pt>
                <c:pt idx="13">
                  <c:v>72.941566257090372</c:v>
                </c:pt>
                <c:pt idx="14">
                  <c:v>75.80521998572965</c:v>
                </c:pt>
                <c:pt idx="15">
                  <c:v>78.415863864728621</c:v>
                </c:pt>
                <c:pt idx="16">
                  <c:v>80.791833486507741</c:v>
                </c:pt>
                <c:pt idx="17">
                  <c:v>82.949885473750371</c:v>
                </c:pt>
                <c:pt idx="18">
                  <c:v>84.905354309415472</c:v>
                </c:pt>
                <c:pt idx="19">
                  <c:v>86.672291479064043</c:v>
                </c:pt>
                <c:pt idx="20">
                  <c:v>88.263589162145678</c:v>
                </c:pt>
                <c:pt idx="21">
                  <c:v>89.69109039522391</c:v>
                </c:pt>
                <c:pt idx="22">
                  <c:v>90.965687364768925</c:v>
                </c:pt>
                <c:pt idx="23">
                  <c:v>92.097409262006778</c:v>
                </c:pt>
                <c:pt idx="24">
                  <c:v>93.095500940752217</c:v>
                </c:pt>
                <c:pt idx="25">
                  <c:v>93.96849345571745</c:v>
                </c:pt>
                <c:pt idx="26">
                  <c:v>94.724267418978556</c:v>
                </c:pt>
                <c:pt idx="27">
                  <c:v>95.370109992387569</c:v>
                </c:pt>
                <c:pt idx="28">
                  <c:v>95.912766230639335</c:v>
                </c:pt>
                <c:pt idx="29">
                  <c:v>96.358485400884661</c:v>
                </c:pt>
                <c:pt idx="30">
                  <c:v>96.713062828066541</c:v>
                </c:pt>
                <c:pt idx="31">
                  <c:v>96.981877748754343</c:v>
                </c:pt>
                <c:pt idx="32">
                  <c:v>97.169927598653999</c:v>
                </c:pt>
                <c:pt idx="33">
                  <c:v>97.281859108905309</c:v>
                </c:pt>
                <c:pt idx="34">
                  <c:v>97.321996542674583</c:v>
                </c:pt>
                <c:pt idx="35">
                  <c:v>97.294367365501486</c:v>
                </c:pt>
                <c:pt idx="36">
                  <c:v>97.202725609591113</c:v>
                </c:pt>
                <c:pt idx="37">
                  <c:v>97.050573163110741</c:v>
                </c:pt>
                <c:pt idx="38">
                  <c:v>96.841179189984715</c:v>
                </c:pt>
                <c:pt idx="39">
                  <c:v>96.577597863217832</c:v>
                </c:pt>
                <c:pt idx="40">
                  <c:v>96.262684574997252</c:v>
                </c:pt>
                <c:pt idx="41">
                  <c:v>95.899110769386439</c:v>
                </c:pt>
                <c:pt idx="42">
                  <c:v>95.48937752802324</c:v>
                </c:pt>
                <c:pt idx="43">
                  <c:v>95.035828025613071</c:v>
                </c:pt>
                <c:pt idx="44">
                  <c:v>94.540658959944281</c:v>
                </c:pt>
                <c:pt idx="45">
                  <c:v>94.005931050450172</c:v>
                </c:pt>
                <c:pt idx="46">
                  <c:v>93.433578689836636</c:v>
                </c:pt>
                <c:pt idx="47">
                  <c:v>92.825418824838323</c:v>
                </c:pt>
                <c:pt idx="48">
                  <c:v>92.183159134636611</c:v>
                </c:pt>
                <c:pt idx="49">
                  <c:v>91.508405568756146</c:v>
                </c:pt>
                <c:pt idx="50">
                  <c:v>90.802669300259453</c:v>
                </c:pt>
                <c:pt idx="51">
                  <c:v>90.067373144700269</c:v>
                </c:pt>
                <c:pt idx="52">
                  <c:v>89.303857490494565</c:v>
                </c:pt>
                <c:pt idx="53">
                  <c:v>88.513385782071069</c:v>
                </c:pt>
                <c:pt idx="54">
                  <c:v>87.697149593304047</c:v>
                </c:pt>
                <c:pt idx="55">
                  <c:v>86.856273325265306</c:v>
                </c:pt>
                <c:pt idx="56">
                  <c:v>85.991818559220292</c:v>
                </c:pt>
                <c:pt idx="57">
                  <c:v>85.104788092986141</c:v>
                </c:pt>
                <c:pt idx="58">
                  <c:v>84.196129686244021</c:v>
                </c:pt>
                <c:pt idx="59">
                  <c:v>83.266739538121968</c:v>
                </c:pt>
                <c:pt idx="60">
                  <c:v>82.31746551830372</c:v>
                </c:pt>
                <c:pt idx="61">
                  <c:v>81.349110171063501</c:v>
                </c:pt>
                <c:pt idx="62">
                  <c:v>80.362433509942747</c:v>
                </c:pt>
                <c:pt idx="63">
                  <c:v>79.358155619264139</c:v>
                </c:pt>
                <c:pt idx="64">
                  <c:v>78.336959077299014</c:v>
                </c:pt>
                <c:pt idx="65">
                  <c:v>77.299491214650047</c:v>
                </c:pt>
                <c:pt idx="66">
                  <c:v>76.246366220279199</c:v>
                </c:pt>
                <c:pt idx="67">
                  <c:v>75.178167106576652</c:v>
                </c:pt>
                <c:pt idx="68">
                  <c:v>74.095447543927463</c:v>
                </c:pt>
                <c:pt idx="69">
                  <c:v>72.998733574380083</c:v>
                </c:pt>
                <c:pt idx="70">
                  <c:v>71.888525213241266</c:v>
                </c:pt>
                <c:pt idx="71">
                  <c:v>70.765297946715251</c:v>
                </c:pt>
                <c:pt idx="72">
                  <c:v>69.629504133054127</c:v>
                </c:pt>
                <c:pt idx="73">
                  <c:v>68.481574314099475</c:v>
                </c:pt>
                <c:pt idx="74">
                  <c:v>67.321918443553955</c:v>
                </c:pt>
                <c:pt idx="75">
                  <c:v>66.150927037827586</c:v>
                </c:pt>
                <c:pt idx="76">
                  <c:v>64.968972254852517</c:v>
                </c:pt>
                <c:pt idx="77">
                  <c:v>63.776408905847994</c:v>
                </c:pt>
                <c:pt idx="78">
                  <c:v>62.573575404635008</c:v>
                </c:pt>
                <c:pt idx="79">
                  <c:v>61.360794658756745</c:v>
                </c:pt>
                <c:pt idx="80">
                  <c:v>60.138374906338491</c:v>
                </c:pt>
                <c:pt idx="81">
                  <c:v>58.906610502331368</c:v>
                </c:pt>
                <c:pt idx="82">
                  <c:v>57.665782657512324</c:v>
                </c:pt>
                <c:pt idx="83">
                  <c:v>56.416160133368052</c:v>
                </c:pt>
                <c:pt idx="84">
                  <c:v>55.157999895761222</c:v>
                </c:pt>
                <c:pt idx="85">
                  <c:v>53.891547730069526</c:v>
                </c:pt>
                <c:pt idx="86">
                  <c:v>52.617038820293459</c:v>
                </c:pt>
                <c:pt idx="87">
                  <c:v>51.33469829445356</c:v>
                </c:pt>
                <c:pt idx="88">
                  <c:v>50.044741738430751</c:v>
                </c:pt>
                <c:pt idx="89">
                  <c:v>48.747375680254748</c:v>
                </c:pt>
                <c:pt idx="90">
                  <c:v>47.442798046704738</c:v>
                </c:pt>
                <c:pt idx="91">
                  <c:v>46.13119859395686</c:v>
                </c:pt>
                <c:pt idx="92">
                  <c:v>44.812759313896024</c:v>
                </c:pt>
                <c:pt idx="93">
                  <c:v>43.487654817595249</c:v>
                </c:pt>
                <c:pt idx="94">
                  <c:v>42.156052697369311</c:v>
                </c:pt>
                <c:pt idx="95">
                  <c:v>40.81811386870833</c:v>
                </c:pt>
                <c:pt idx="96">
                  <c:v>39.473992893315391</c:v>
                </c:pt>
                <c:pt idx="97">
                  <c:v>38.123838284387055</c:v>
                </c:pt>
                <c:pt idx="98">
                  <c:v>36.767792795202247</c:v>
                </c:pt>
                <c:pt idx="99">
                  <c:v>35.405993692013951</c:v>
                </c:pt>
                <c:pt idx="100">
                  <c:v>34.038573012176023</c:v>
                </c:pt>
                <c:pt idx="101">
                  <c:v>32.66565780837157</c:v>
                </c:pt>
                <c:pt idx="102">
                  <c:v>31.287370379761445</c:v>
                </c:pt>
                <c:pt idx="103">
                  <c:v>29.903828490810692</c:v>
                </c:pt>
                <c:pt idx="104">
                  <c:v>28.515145578509667</c:v>
                </c:pt>
                <c:pt idx="105">
                  <c:v>27.12143094865672</c:v>
                </c:pt>
                <c:pt idx="106">
                  <c:v>25.722789961829545</c:v>
                </c:pt>
                <c:pt idx="107">
                  <c:v>24.319324209633514</c:v>
                </c:pt>
                <c:pt idx="108">
                  <c:v>22.911131681776485</c:v>
                </c:pt>
                <c:pt idx="109">
                  <c:v>21.498306924489242</c:v>
                </c:pt>
                <c:pt idx="110">
                  <c:v>20.080941190776237</c:v>
                </c:pt>
                <c:pt idx="111">
                  <c:v>18.659122582951642</c:v>
                </c:pt>
                <c:pt idx="112">
                  <c:v>17.232936187891351</c:v>
                </c:pt>
                <c:pt idx="113">
                  <c:v>15.802464205402043</c:v>
                </c:pt>
                <c:pt idx="114">
                  <c:v>14.367786070085996</c:v>
                </c:pt>
                <c:pt idx="115">
                  <c:v>12.928978567058452</c:v>
                </c:pt>
                <c:pt idx="116">
                  <c:v>11.486115941851672</c:v>
                </c:pt>
                <c:pt idx="117">
                  <c:v>10.039270004822479</c:v>
                </c:pt>
                <c:pt idx="118">
                  <c:v>8.5885102303578904</c:v>
                </c:pt>
                <c:pt idx="119">
                  <c:v>7.1339038511612181</c:v>
                </c:pt>
                <c:pt idx="120">
                  <c:v>5.6755159478797488</c:v>
                </c:pt>
                <c:pt idx="121">
                  <c:v>4.213409534324466</c:v>
                </c:pt>
                <c:pt idx="122">
                  <c:v>2.747645638513784</c:v>
                </c:pt>
                <c:pt idx="123">
                  <c:v>1.2782833797643067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48-4890-A636-E825EBCA7199}"/>
            </c:ext>
          </c:extLst>
        </c:ser>
        <c:ser>
          <c:idx val="1"/>
          <c:order val="1"/>
          <c:tx>
            <c:v>vert</c:v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(MSY!$E$26,MSY!$E$26)</c:f>
              <c:numCache>
                <c:formatCode>General</c:formatCode>
                <c:ptCount val="2"/>
                <c:pt idx="0">
                  <c:v>279.96184713603287</c:v>
                </c:pt>
                <c:pt idx="1">
                  <c:v>279.96184713603287</c:v>
                </c:pt>
              </c:numCache>
            </c:numRef>
          </c:xVal>
          <c:yVal>
            <c:numRef>
              <c:f>(MSY!$Z$44,MSY!$E$25)</c:f>
              <c:numCache>
                <c:formatCode>General</c:formatCode>
                <c:ptCount val="2"/>
                <c:pt idx="0">
                  <c:v>0</c:v>
                </c:pt>
                <c:pt idx="1">
                  <c:v>97.321996542674583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48-4890-A636-E825EBCA7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Equilibrium SSB (kt)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Yield (kt)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2799650043744"/>
          <c:y val="4.1666666666666664E-2"/>
          <c:w val="0.84096500437445332"/>
          <c:h val="0.7963888888888889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MSY!$A$44:$A$294</c:f>
              <c:numCache>
                <c:formatCode>General</c:formatCode>
                <c:ptCount val="251"/>
                <c:pt idx="0">
                  <c:v>1E-4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0.630000000000001</c:v>
                </c:pt>
                <c:pt idx="64">
                  <c:v>0.64000000000000101</c:v>
                </c:pt>
                <c:pt idx="65">
                  <c:v>0.65000000000000102</c:v>
                </c:pt>
                <c:pt idx="66">
                  <c:v>0.66000000000000103</c:v>
                </c:pt>
                <c:pt idx="67">
                  <c:v>0.67000000000000104</c:v>
                </c:pt>
                <c:pt idx="68">
                  <c:v>0.68000000000000105</c:v>
                </c:pt>
                <c:pt idx="69">
                  <c:v>0.69000000000000095</c:v>
                </c:pt>
                <c:pt idx="70">
                  <c:v>0.70000000000000095</c:v>
                </c:pt>
                <c:pt idx="71">
                  <c:v>0.71000000000000096</c:v>
                </c:pt>
                <c:pt idx="72">
                  <c:v>0.72000000000000097</c:v>
                </c:pt>
                <c:pt idx="73">
                  <c:v>0.73000000000000098</c:v>
                </c:pt>
                <c:pt idx="74">
                  <c:v>0.74000000000000099</c:v>
                </c:pt>
                <c:pt idx="75">
                  <c:v>0.750000000000001</c:v>
                </c:pt>
                <c:pt idx="76">
                  <c:v>0.76000000000000101</c:v>
                </c:pt>
                <c:pt idx="77">
                  <c:v>0.77000000000000102</c:v>
                </c:pt>
                <c:pt idx="78">
                  <c:v>0.78000000000000103</c:v>
                </c:pt>
                <c:pt idx="79">
                  <c:v>0.79000000000000103</c:v>
                </c:pt>
                <c:pt idx="80">
                  <c:v>0.80000000000000104</c:v>
                </c:pt>
                <c:pt idx="81">
                  <c:v>0.81000000000000105</c:v>
                </c:pt>
                <c:pt idx="82">
                  <c:v>0.82000000000000095</c:v>
                </c:pt>
                <c:pt idx="83">
                  <c:v>0.83000000000000096</c:v>
                </c:pt>
                <c:pt idx="84">
                  <c:v>0.84000000000000097</c:v>
                </c:pt>
                <c:pt idx="85">
                  <c:v>0.85000000000000098</c:v>
                </c:pt>
                <c:pt idx="86">
                  <c:v>0.86000000000000099</c:v>
                </c:pt>
                <c:pt idx="87">
                  <c:v>0.87000000000000099</c:v>
                </c:pt>
                <c:pt idx="88">
                  <c:v>0.880000000000001</c:v>
                </c:pt>
                <c:pt idx="89">
                  <c:v>0.89000000000000101</c:v>
                </c:pt>
                <c:pt idx="90">
                  <c:v>0.90000000000000102</c:v>
                </c:pt>
                <c:pt idx="91">
                  <c:v>0.91000000000000103</c:v>
                </c:pt>
                <c:pt idx="92">
                  <c:v>0.92000000000000104</c:v>
                </c:pt>
                <c:pt idx="93">
                  <c:v>0.93000000000000105</c:v>
                </c:pt>
                <c:pt idx="94">
                  <c:v>0.94000000000000095</c:v>
                </c:pt>
                <c:pt idx="95">
                  <c:v>0.95000000000000095</c:v>
                </c:pt>
                <c:pt idx="96">
                  <c:v>0.96000000000000096</c:v>
                </c:pt>
                <c:pt idx="97">
                  <c:v>0.97000000000000097</c:v>
                </c:pt>
                <c:pt idx="98">
                  <c:v>0.98000000000000098</c:v>
                </c:pt>
                <c:pt idx="99">
                  <c:v>0.99000000000000099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</c:numCache>
            </c:numRef>
          </c:xVal>
          <c:yVal>
            <c:numRef>
              <c:f>MSY!$G$44:$G$294</c:f>
              <c:numCache>
                <c:formatCode>General</c:formatCode>
                <c:ptCount val="251"/>
                <c:pt idx="0">
                  <c:v>9.4041010585536586E-2</c:v>
                </c:pt>
                <c:pt idx="1">
                  <c:v>9.0020420027098478</c:v>
                </c:pt>
                <c:pt idx="2">
                  <c:v>17.241597958159279</c:v>
                </c:pt>
                <c:pt idx="3">
                  <c:v>24.78750619150377</c:v>
                </c:pt>
                <c:pt idx="4">
                  <c:v>31.70119616689556</c:v>
                </c:pt>
                <c:pt idx="5">
                  <c:v>38.037616412073866</c:v>
                </c:pt>
                <c:pt idx="6">
                  <c:v>43.846029528519672</c:v>
                </c:pt>
                <c:pt idx="7">
                  <c:v>49.170695731927999</c:v>
                </c:pt>
                <c:pt idx="8">
                  <c:v>54.051462523158555</c:v>
                </c:pt>
                <c:pt idx="9">
                  <c:v>58.524275001922611</c:v>
                </c:pt>
                <c:pt idx="10">
                  <c:v>62.621618842458005</c:v>
                </c:pt>
                <c:pt idx="11">
                  <c:v>66.372905927788693</c:v>
                </c:pt>
                <c:pt idx="12">
                  <c:v>69.804810990395225</c:v>
                </c:pt>
                <c:pt idx="13">
                  <c:v>72.941566257090372</c:v>
                </c:pt>
                <c:pt idx="14">
                  <c:v>75.80521998572965</c:v>
                </c:pt>
                <c:pt idx="15">
                  <c:v>78.415863864728621</c:v>
                </c:pt>
                <c:pt idx="16">
                  <c:v>80.791833486507741</c:v>
                </c:pt>
                <c:pt idx="17">
                  <c:v>82.949885473750371</c:v>
                </c:pt>
                <c:pt idx="18">
                  <c:v>84.905354309415472</c:v>
                </c:pt>
                <c:pt idx="19">
                  <c:v>86.672291479064043</c:v>
                </c:pt>
                <c:pt idx="20">
                  <c:v>88.263589162145678</c:v>
                </c:pt>
                <c:pt idx="21">
                  <c:v>89.69109039522391</c:v>
                </c:pt>
                <c:pt idx="22">
                  <c:v>90.965687364768925</c:v>
                </c:pt>
                <c:pt idx="23">
                  <c:v>92.097409262006778</c:v>
                </c:pt>
                <c:pt idx="24">
                  <c:v>93.095500940752217</c:v>
                </c:pt>
                <c:pt idx="25">
                  <c:v>93.96849345571745</c:v>
                </c:pt>
                <c:pt idx="26">
                  <c:v>94.724267418978556</c:v>
                </c:pt>
                <c:pt idx="27">
                  <c:v>95.370109992387569</c:v>
                </c:pt>
                <c:pt idx="28">
                  <c:v>95.912766230639335</c:v>
                </c:pt>
                <c:pt idx="29">
                  <c:v>96.358485400884661</c:v>
                </c:pt>
                <c:pt idx="30">
                  <c:v>96.713062828066541</c:v>
                </c:pt>
                <c:pt idx="31">
                  <c:v>96.981877748754343</c:v>
                </c:pt>
                <c:pt idx="32">
                  <c:v>97.169927598653999</c:v>
                </c:pt>
                <c:pt idx="33">
                  <c:v>97.281859108905309</c:v>
                </c:pt>
                <c:pt idx="34">
                  <c:v>97.321996542674583</c:v>
                </c:pt>
                <c:pt idx="35">
                  <c:v>97.294367365501486</c:v>
                </c:pt>
                <c:pt idx="36">
                  <c:v>97.202725609591113</c:v>
                </c:pt>
                <c:pt idx="37">
                  <c:v>97.050573163110741</c:v>
                </c:pt>
                <c:pt idx="38">
                  <c:v>96.841179189984715</c:v>
                </c:pt>
                <c:pt idx="39">
                  <c:v>96.577597863217832</c:v>
                </c:pt>
                <c:pt idx="40">
                  <c:v>96.262684574997252</c:v>
                </c:pt>
                <c:pt idx="41">
                  <c:v>95.899110769386439</c:v>
                </c:pt>
                <c:pt idx="42">
                  <c:v>95.48937752802324</c:v>
                </c:pt>
                <c:pt idx="43">
                  <c:v>95.035828025613071</c:v>
                </c:pt>
                <c:pt idx="44">
                  <c:v>94.540658959944281</c:v>
                </c:pt>
                <c:pt idx="45">
                  <c:v>94.005931050450172</c:v>
                </c:pt>
                <c:pt idx="46">
                  <c:v>93.433578689836636</c:v>
                </c:pt>
                <c:pt idx="47">
                  <c:v>92.825418824838323</c:v>
                </c:pt>
                <c:pt idx="48">
                  <c:v>92.183159134636611</c:v>
                </c:pt>
                <c:pt idx="49">
                  <c:v>91.508405568756146</c:v>
                </c:pt>
                <c:pt idx="50">
                  <c:v>90.802669300259453</c:v>
                </c:pt>
                <c:pt idx="51">
                  <c:v>90.067373144700269</c:v>
                </c:pt>
                <c:pt idx="52">
                  <c:v>89.303857490494565</c:v>
                </c:pt>
                <c:pt idx="53">
                  <c:v>88.513385782071069</c:v>
                </c:pt>
                <c:pt idx="54">
                  <c:v>87.697149593304047</c:v>
                </c:pt>
                <c:pt idx="55">
                  <c:v>86.856273325265306</c:v>
                </c:pt>
                <c:pt idx="56">
                  <c:v>85.991818559220292</c:v>
                </c:pt>
                <c:pt idx="57">
                  <c:v>85.104788092986141</c:v>
                </c:pt>
                <c:pt idx="58">
                  <c:v>84.196129686244021</c:v>
                </c:pt>
                <c:pt idx="59">
                  <c:v>83.266739538121968</c:v>
                </c:pt>
                <c:pt idx="60">
                  <c:v>82.31746551830372</c:v>
                </c:pt>
                <c:pt idx="61">
                  <c:v>81.349110171063501</c:v>
                </c:pt>
                <c:pt idx="62">
                  <c:v>80.362433509942747</c:v>
                </c:pt>
                <c:pt idx="63">
                  <c:v>79.358155619264139</c:v>
                </c:pt>
                <c:pt idx="64">
                  <c:v>78.336959077299014</c:v>
                </c:pt>
                <c:pt idx="65">
                  <c:v>77.299491214650047</c:v>
                </c:pt>
                <c:pt idx="66">
                  <c:v>76.246366220279199</c:v>
                </c:pt>
                <c:pt idx="67">
                  <c:v>75.178167106576652</c:v>
                </c:pt>
                <c:pt idx="68">
                  <c:v>74.095447543927463</c:v>
                </c:pt>
                <c:pt idx="69">
                  <c:v>72.998733574380083</c:v>
                </c:pt>
                <c:pt idx="70">
                  <c:v>71.888525213241266</c:v>
                </c:pt>
                <c:pt idx="71">
                  <c:v>70.765297946715251</c:v>
                </c:pt>
                <c:pt idx="72">
                  <c:v>69.629504133054127</c:v>
                </c:pt>
                <c:pt idx="73">
                  <c:v>68.481574314099475</c:v>
                </c:pt>
                <c:pt idx="74">
                  <c:v>67.321918443553955</c:v>
                </c:pt>
                <c:pt idx="75">
                  <c:v>66.150927037827586</c:v>
                </c:pt>
                <c:pt idx="76">
                  <c:v>64.968972254852517</c:v>
                </c:pt>
                <c:pt idx="77">
                  <c:v>63.776408905847994</c:v>
                </c:pt>
                <c:pt idx="78">
                  <c:v>62.573575404635008</c:v>
                </c:pt>
                <c:pt idx="79">
                  <c:v>61.360794658756745</c:v>
                </c:pt>
                <c:pt idx="80">
                  <c:v>60.138374906338491</c:v>
                </c:pt>
                <c:pt idx="81">
                  <c:v>58.906610502331368</c:v>
                </c:pt>
                <c:pt idx="82">
                  <c:v>57.665782657512324</c:v>
                </c:pt>
                <c:pt idx="83">
                  <c:v>56.416160133368052</c:v>
                </c:pt>
                <c:pt idx="84">
                  <c:v>55.157999895761222</c:v>
                </c:pt>
                <c:pt idx="85">
                  <c:v>53.891547730069526</c:v>
                </c:pt>
                <c:pt idx="86">
                  <c:v>52.617038820293459</c:v>
                </c:pt>
                <c:pt idx="87">
                  <c:v>51.33469829445356</c:v>
                </c:pt>
                <c:pt idx="88">
                  <c:v>50.044741738430751</c:v>
                </c:pt>
                <c:pt idx="89">
                  <c:v>48.747375680254748</c:v>
                </c:pt>
                <c:pt idx="90">
                  <c:v>47.442798046704738</c:v>
                </c:pt>
                <c:pt idx="91">
                  <c:v>46.13119859395686</c:v>
                </c:pt>
                <c:pt idx="92">
                  <c:v>44.812759313896024</c:v>
                </c:pt>
                <c:pt idx="93">
                  <c:v>43.487654817595249</c:v>
                </c:pt>
                <c:pt idx="94">
                  <c:v>42.156052697369311</c:v>
                </c:pt>
                <c:pt idx="95">
                  <c:v>40.81811386870833</c:v>
                </c:pt>
                <c:pt idx="96">
                  <c:v>39.473992893315391</c:v>
                </c:pt>
                <c:pt idx="97">
                  <c:v>38.123838284387055</c:v>
                </c:pt>
                <c:pt idx="98">
                  <c:v>36.767792795202247</c:v>
                </c:pt>
                <c:pt idx="99">
                  <c:v>35.405993692013951</c:v>
                </c:pt>
                <c:pt idx="100">
                  <c:v>34.038573012176023</c:v>
                </c:pt>
                <c:pt idx="101">
                  <c:v>32.66565780837157</c:v>
                </c:pt>
                <c:pt idx="102">
                  <c:v>31.287370379761445</c:v>
                </c:pt>
                <c:pt idx="103">
                  <c:v>29.903828490810692</c:v>
                </c:pt>
                <c:pt idx="104">
                  <c:v>28.515145578509667</c:v>
                </c:pt>
                <c:pt idx="105">
                  <c:v>27.12143094865672</c:v>
                </c:pt>
                <c:pt idx="106">
                  <c:v>25.722789961829545</c:v>
                </c:pt>
                <c:pt idx="107">
                  <c:v>24.319324209633514</c:v>
                </c:pt>
                <c:pt idx="108">
                  <c:v>22.911131681776485</c:v>
                </c:pt>
                <c:pt idx="109">
                  <c:v>21.498306924489242</c:v>
                </c:pt>
                <c:pt idx="110">
                  <c:v>20.080941190776237</c:v>
                </c:pt>
                <c:pt idx="111">
                  <c:v>18.659122582951642</c:v>
                </c:pt>
                <c:pt idx="112">
                  <c:v>17.232936187891351</c:v>
                </c:pt>
                <c:pt idx="113">
                  <c:v>15.802464205402043</c:v>
                </c:pt>
                <c:pt idx="114">
                  <c:v>14.367786070085996</c:v>
                </c:pt>
                <c:pt idx="115">
                  <c:v>12.928978567058452</c:v>
                </c:pt>
                <c:pt idx="116">
                  <c:v>11.486115941851672</c:v>
                </c:pt>
                <c:pt idx="117">
                  <c:v>10.039270004822479</c:v>
                </c:pt>
                <c:pt idx="118">
                  <c:v>8.5885102303578904</c:v>
                </c:pt>
                <c:pt idx="119">
                  <c:v>7.1339038511612181</c:v>
                </c:pt>
                <c:pt idx="120">
                  <c:v>5.6755159478797488</c:v>
                </c:pt>
                <c:pt idx="121">
                  <c:v>4.213409534324466</c:v>
                </c:pt>
                <c:pt idx="122">
                  <c:v>2.747645638513784</c:v>
                </c:pt>
                <c:pt idx="123">
                  <c:v>1.2782833797643067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45-458C-AA60-66B962A2D4A2}"/>
            </c:ext>
          </c:extLst>
        </c:ser>
        <c:ser>
          <c:idx val="1"/>
          <c:order val="1"/>
          <c:tx>
            <c:v>vert</c:v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(MSY!$E$24,MSY!$E$24)</c:f>
              <c:numCache>
                <c:formatCode>General</c:formatCode>
                <c:ptCount val="2"/>
                <c:pt idx="0">
                  <c:v>0.34</c:v>
                </c:pt>
                <c:pt idx="1">
                  <c:v>0.34</c:v>
                </c:pt>
              </c:numCache>
            </c:numRef>
          </c:xVal>
          <c:yVal>
            <c:numRef>
              <c:f>(MSY!$Z$44,MSY!$E$25)</c:f>
              <c:numCache>
                <c:formatCode>General</c:formatCode>
                <c:ptCount val="2"/>
                <c:pt idx="0">
                  <c:v>0</c:v>
                </c:pt>
                <c:pt idx="1">
                  <c:v>97.321996542674583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45-458C-AA60-66B962A2D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  <c:max val="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Yield (kt)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171450</xdr:colOff>
      <xdr:row>14</xdr:row>
      <xdr:rowOff>180975</xdr:rowOff>
    </xdr:from>
    <xdr:ext cx="2581541" cy="76315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/>
            <xdr:cNvSpPr txBox="1"/>
          </xdr:nvSpPr>
          <xdr:spPr>
            <a:xfrm>
              <a:off x="4943475" y="3038475"/>
              <a:ext cx="2581541" cy="7631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𝑙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d>
                      <m:dPr>
                        <m:begChr m:val="{"/>
                        <m:endChr m:val=""/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m>
                          <m:mPr>
                            <m:mcs>
                              <m:mc>
                                <m:mcPr>
                                  <m:count m:val="1"/>
                                  <m:mcJc m:val="center"/>
                                </m:mcPr>
                              </m:mc>
                            </m:mcs>
                            <m:ctrlPr>
                              <a:rPr lang="en-CA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mPr>
                          <m:mr>
                            <m:e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1, </m:t>
                              </m:r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𝑎</m:t>
                              </m:r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 =1</m:t>
                              </m:r>
                            </m:e>
                          </m:mr>
                          <m:mr>
                            <m:e>
                              <m:sSub>
                                <m:sSubPr>
                                  <m:ctrlPr>
                                    <a:rPr lang="en-CA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𝑙</m:t>
                                  </m:r>
                                </m:e>
                                <m:sub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𝑎</m:t>
                                  </m:r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−1</m:t>
                                  </m:r>
                                </m:sub>
                              </m:sSub>
                              <m:sSup>
                                <m:sSupPr>
                                  <m:ctrlPr>
                                    <a:rPr lang="en-CA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pPr>
                                <m:e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𝑒</m:t>
                                  </m:r>
                                </m:e>
                                <m:sup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(−</m:t>
                                  </m:r>
                                  <m:sSub>
                                    <m:sSubPr>
                                      <m:ctrlPr>
                                        <a:rPr lang="en-CA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bPr>
                                    <m:e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𝑀</m:t>
                                      </m:r>
                                    </m:e>
                                    <m:sub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𝑎</m:t>
                                      </m:r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−1</m:t>
                                      </m:r>
                                    </m:sub>
                                  </m:sSub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−</m:t>
                                  </m:r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𝐹</m:t>
                                  </m:r>
                                  <m:sSub>
                                    <m:sSubPr>
                                      <m:ctrlPr>
                                        <a:rPr lang="en-CA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bPr>
                                    <m:e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𝑣</m:t>
                                      </m:r>
                                    </m:e>
                                    <m:sub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𝑎</m:t>
                                      </m:r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−1</m:t>
                                      </m:r>
                                    </m:sub>
                                  </m:sSub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)</m:t>
                                  </m:r>
                                </m:sup>
                              </m:sSup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, </m:t>
                              </m:r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𝑎</m:t>
                              </m:r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&gt;1, </m:t>
                              </m:r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𝑎</m:t>
                              </m:r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&lt;</m:t>
                              </m:r>
                              <m:sSub>
                                <m:sSubPr>
                                  <m:ctrlPr>
                                    <a:rPr lang="en-CA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𝑎</m:t>
                                  </m:r>
                                </m:e>
                                <m:sub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𝑚𝑎𝑥</m:t>
                                  </m:r>
                                </m:sub>
                              </m:sSub>
                            </m:e>
                          </m:mr>
                          <m:mr>
                            <m:e>
                              <m:f>
                                <m:fPr>
                                  <m:ctrlPr>
                                    <a:rPr lang="en-CA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fPr>
                                <m:num>
                                  <m:sSub>
                                    <m:sSubPr>
                                      <m:ctrlPr>
                                        <a:rPr lang="en-CA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bPr>
                                    <m:e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𝑙</m:t>
                                      </m:r>
                                    </m:e>
                                    <m:sub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𝑎</m:t>
                                      </m:r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−1</m:t>
                                      </m:r>
                                    </m:sub>
                                  </m:sSub>
                                  <m:sSup>
                                    <m:sSupPr>
                                      <m:ctrlPr>
                                        <a:rPr lang="en-CA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pPr>
                                    <m:e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𝑒</m:t>
                                      </m:r>
                                    </m:e>
                                    <m:sup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(−</m:t>
                                      </m:r>
                                      <m:sSub>
                                        <m:sSubPr>
                                          <m:ctrlPr>
                                            <a:rPr lang="en-CA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</m:ctrlPr>
                                        </m:sSubPr>
                                        <m:e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𝑀</m:t>
                                          </m:r>
                                        </m:e>
                                        <m:sub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𝑎</m:t>
                                          </m:r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−1</m:t>
                                          </m:r>
                                        </m:sub>
                                      </m:sSub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−</m:t>
                                      </m:r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𝐹</m:t>
                                      </m:r>
                                      <m:sSub>
                                        <m:sSubPr>
                                          <m:ctrlPr>
                                            <a:rPr lang="en-CA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</m:ctrlPr>
                                        </m:sSubPr>
                                        <m:e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𝑣</m:t>
                                          </m:r>
                                        </m:e>
                                        <m:sub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𝑎</m:t>
                                          </m:r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−1</m:t>
                                          </m:r>
                                        </m:sub>
                                      </m:sSub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)</m:t>
                                      </m:r>
                                    </m:sup>
                                  </m:sSup>
                                </m:num>
                                <m:den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1−</m:t>
                                  </m:r>
                                  <m:sSup>
                                    <m:sSupPr>
                                      <m:ctrlPr>
                                        <a:rPr lang="en-CA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pPr>
                                    <m:e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𝑒</m:t>
                                      </m:r>
                                    </m:e>
                                    <m:sup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(−</m:t>
                                      </m:r>
                                      <m:sSub>
                                        <m:sSubPr>
                                          <m:ctrlPr>
                                            <a:rPr lang="en-CA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</m:ctrlPr>
                                        </m:sSubPr>
                                        <m:e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𝑀</m:t>
                                          </m:r>
                                        </m:e>
                                        <m:sub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𝑎</m:t>
                                          </m:r>
                                        </m:sub>
                                      </m:sSub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−</m:t>
                                      </m:r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𝐹</m:t>
                                      </m:r>
                                      <m:sSub>
                                        <m:sSubPr>
                                          <m:ctrlPr>
                                            <a:rPr lang="en-CA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</m:ctrlPr>
                                        </m:sSubPr>
                                        <m:e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𝑣</m:t>
                                          </m:r>
                                        </m:e>
                                        <m:sub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𝑎</m:t>
                                          </m:r>
                                        </m:sub>
                                      </m:sSub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)</m:t>
                                      </m:r>
                                    </m:sup>
                                  </m:sSup>
                                </m:den>
                              </m:f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,</m:t>
                              </m:r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𝑎</m:t>
                              </m:r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= </m:t>
                              </m:r>
                              <m:sSub>
                                <m:sSubPr>
                                  <m:ctrlPr>
                                    <a:rPr lang="en-CA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𝑎</m:t>
                                  </m:r>
                                </m:e>
                                <m:sub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𝑚𝑎𝑥</m:t>
                                  </m:r>
                                </m:sub>
                              </m:sSub>
                            </m:e>
                          </m:mr>
                        </m:m>
                      </m:e>
                    </m:d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>
              <a:off x="4943475" y="3038475"/>
              <a:ext cx="2581541" cy="7631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𝑙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𝑎=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{■8(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1, 𝑎 =1@𝑙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𝑎−1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𝑒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(−𝑀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𝑎−1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−𝐹𝑣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𝑎−1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 𝑎&gt;1, 𝑎&lt;𝑎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𝑚𝑎𝑥@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𝑙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𝑎−1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𝑒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(−𝑀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𝑎−1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−𝐹𝑣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𝑎−1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))/(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1−𝑒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(−𝑀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𝑎−𝐹𝑣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𝑎)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,𝑎= 𝑎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𝑚𝑎𝑥 )┤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17</xdr:col>
      <xdr:colOff>47625</xdr:colOff>
      <xdr:row>7</xdr:row>
      <xdr:rowOff>28575</xdr:rowOff>
    </xdr:from>
    <xdr:ext cx="184731" cy="264560"/>
    <xdr:sp macro="" textlink="">
      <xdr:nvSpPr>
        <xdr:cNvPr id="6" name="TextBox 5"/>
        <xdr:cNvSpPr txBox="1"/>
      </xdr:nvSpPr>
      <xdr:spPr>
        <a:xfrm>
          <a:off x="1413510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3</xdr:col>
      <xdr:colOff>219075</xdr:colOff>
      <xdr:row>20</xdr:row>
      <xdr:rowOff>0</xdr:rowOff>
    </xdr:from>
    <xdr:ext cx="1158715" cy="462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/>
            <xdr:cNvSpPr txBox="1"/>
          </xdr:nvSpPr>
          <xdr:spPr>
            <a:xfrm>
              <a:off x="4991100" y="4000500"/>
              <a:ext cx="1158715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𝜑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CA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sSub>
                          <m:sSubPr>
                            <m:ctrlPr>
                              <a:rPr lang="en-CA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𝑚𝑎𝑥</m:t>
                            </m:r>
                          </m:sub>
                        </m:sSub>
                      </m:sup>
                      <m:e>
                        <m:sSub>
                          <m:sSubPr>
                            <m:ctrlPr>
                              <a:rPr lang="en-CA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𝑙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sub>
                        </m:sSub>
                      </m:e>
                    </m:nary>
                    <m:sSub>
                      <m:sSub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𝑤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</m:sSub>
                    <m:sSub>
                      <m:sSub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</m:sSub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7" name="TextBox 6"/>
            <xdr:cNvSpPr txBox="1"/>
          </xdr:nvSpPr>
          <xdr:spPr>
            <a:xfrm>
              <a:off x="4991100" y="4000500"/>
              <a:ext cx="1158715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CA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𝜑_</a:t>
              </a:r>
              <a:r>
                <a:rPr lang="en-US" sz="1100" b="0" i="0">
                  <a:latin typeface="Cambria Math" panose="02040503050406030204" pitchFamily="18" charset="0"/>
                </a:rPr>
                <a:t>𝐹=</a:t>
              </a:r>
              <a:r>
                <a:rPr lang="en-CA" sz="1100" i="0">
                  <a:latin typeface="Cambria Math" panose="02040503050406030204" pitchFamily="18" charset="0"/>
                </a:rPr>
                <a:t>∑24_(</a:t>
              </a:r>
              <a:r>
                <a:rPr lang="en-US" sz="1100" b="0" i="0">
                  <a:latin typeface="Cambria Math" panose="02040503050406030204" pitchFamily="18" charset="0"/>
                </a:rPr>
                <a:t>𝑎=1</a:t>
              </a:r>
              <a:r>
                <a:rPr lang="en-CA" sz="1100" b="0" i="0">
                  <a:latin typeface="Cambria Math" panose="02040503050406030204" pitchFamily="18" charset="0"/>
                </a:rPr>
                <a:t>)^(</a:t>
              </a:r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r>
                <a:rPr lang="en-CA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𝑚𝑎𝑥</a:t>
              </a:r>
              <a:r>
                <a:rPr lang="en-CA" sz="1100" b="0" i="0">
                  <a:latin typeface="Cambria Math" panose="02040503050406030204" pitchFamily="18" charset="0"/>
                </a:rPr>
                <a:t>)▒</a:t>
              </a:r>
              <a:r>
                <a:rPr lang="en-US" sz="1100" b="0" i="0">
                  <a:latin typeface="Cambria Math" panose="02040503050406030204" pitchFamily="18" charset="0"/>
                </a:rPr>
                <a:t>𝑙</a:t>
              </a:r>
              <a:r>
                <a:rPr lang="en-CA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r>
                <a:rPr lang="en-CA" sz="1100" b="0" i="0">
                  <a:latin typeface="Cambria Math" panose="02040503050406030204" pitchFamily="18" charset="0"/>
                </a:rPr>
                <a:t> 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3</xdr:col>
      <xdr:colOff>66675</xdr:colOff>
      <xdr:row>24</xdr:row>
      <xdr:rowOff>133350</xdr:rowOff>
    </xdr:from>
    <xdr:ext cx="1319014" cy="462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/>
            <xdr:cNvSpPr txBox="1"/>
          </xdr:nvSpPr>
          <xdr:spPr>
            <a:xfrm>
              <a:off x="4838700" y="5543550"/>
              <a:ext cx="1319014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𝜑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CA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sSub>
                          <m:sSubPr>
                            <m:ctrlPr>
                              <a:rPr lang="en-CA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𝑚𝑎𝑥</m:t>
                            </m:r>
                          </m:sub>
                        </m:sSub>
                      </m:sup>
                      <m:e>
                        <m:sSub>
                          <m:sSubPr>
                            <m:ctrlPr>
                              <a:rPr lang="en-CA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𝑓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sub>
                        </m:sSub>
                        <m:sSub>
                          <m:sSubPr>
                            <m:ctrlPr>
                              <a:rPr lang="en-CA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𝑙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sub>
                        </m:sSub>
                      </m:e>
                    </m:nary>
                    <m:sSub>
                      <m:sSub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𝑤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</m:sSub>
                    <m:sSub>
                      <m:sSub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</m:sSub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9" name="TextBox 8"/>
            <xdr:cNvSpPr txBox="1"/>
          </xdr:nvSpPr>
          <xdr:spPr>
            <a:xfrm>
              <a:off x="4838700" y="5543550"/>
              <a:ext cx="1319014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CA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𝜑_</a:t>
              </a:r>
              <a:r>
                <a:rPr lang="en-US" sz="1100" b="0" i="0">
                  <a:latin typeface="Cambria Math" panose="02040503050406030204" pitchFamily="18" charset="0"/>
                </a:rPr>
                <a:t>𝐹=</a:t>
              </a:r>
              <a:r>
                <a:rPr lang="en-CA" sz="1100" i="0">
                  <a:latin typeface="Cambria Math" panose="02040503050406030204" pitchFamily="18" charset="0"/>
                </a:rPr>
                <a:t>∑24_(</a:t>
              </a:r>
              <a:r>
                <a:rPr lang="en-US" sz="1100" b="0" i="0">
                  <a:latin typeface="Cambria Math" panose="02040503050406030204" pitchFamily="18" charset="0"/>
                </a:rPr>
                <a:t>𝑎=1</a:t>
              </a:r>
              <a:r>
                <a:rPr lang="en-CA" sz="1100" b="0" i="0">
                  <a:latin typeface="Cambria Math" panose="02040503050406030204" pitchFamily="18" charset="0"/>
                </a:rPr>
                <a:t>)^(</a:t>
              </a:r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r>
                <a:rPr lang="en-CA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𝑚𝑎𝑥</a:t>
              </a:r>
              <a:r>
                <a:rPr lang="en-CA" sz="1100" b="0" i="0">
                  <a:latin typeface="Cambria Math" panose="02040503050406030204" pitchFamily="18" charset="0"/>
                </a:rPr>
                <a:t>)▒〖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𝑓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𝑙</a:t>
              </a:r>
              <a:r>
                <a:rPr lang="en-CA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r>
                <a:rPr lang="en-CA" sz="1100" b="0" i="0">
                  <a:latin typeface="Cambria Math" panose="02040503050406030204" pitchFamily="18" charset="0"/>
                </a:rPr>
                <a:t> 〗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</a:t>
              </a:r>
              <a:endParaRPr lang="en-CA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47625</xdr:colOff>
      <xdr:row>7</xdr:row>
      <xdr:rowOff>28575</xdr:rowOff>
    </xdr:from>
    <xdr:ext cx="184731" cy="264560"/>
    <xdr:sp macro="" textlink="">
      <xdr:nvSpPr>
        <xdr:cNvPr id="3" name="TextBox 2"/>
        <xdr:cNvSpPr txBox="1"/>
      </xdr:nvSpPr>
      <xdr:spPr>
        <a:xfrm>
          <a:off x="13354050" y="1552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3</xdr:col>
      <xdr:colOff>190500</xdr:colOff>
      <xdr:row>17</xdr:row>
      <xdr:rowOff>57150</xdr:rowOff>
    </xdr:from>
    <xdr:ext cx="708335" cy="31874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4962525" y="3448050"/>
              <a:ext cx="708335" cy="3187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𝑆𝑃𝑅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𝜑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𝜑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4962525" y="3448050"/>
              <a:ext cx="708335" cy="3187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〖𝑆𝑃𝑅〗_𝐹=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𝜑_</a:t>
              </a:r>
              <a:r>
                <a:rPr lang="en-US" sz="1100" b="0" i="0">
                  <a:latin typeface="Cambria Math" panose="02040503050406030204" pitchFamily="18" charset="0"/>
                </a:rPr>
                <a:t>𝐹/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𝜑_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 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3</xdr:col>
      <xdr:colOff>171450</xdr:colOff>
      <xdr:row>19</xdr:row>
      <xdr:rowOff>133350</xdr:rowOff>
    </xdr:from>
    <xdr:ext cx="2707344" cy="462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/>
            <xdr:cNvSpPr txBox="1"/>
          </xdr:nvSpPr>
          <xdr:spPr>
            <a:xfrm>
              <a:off x="4943475" y="3905250"/>
              <a:ext cx="2707344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𝑌𝑃𝑅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CA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sSub>
                          <m:sSubPr>
                            <m:ctrlPr>
                              <a:rPr lang="en-CA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𝑚𝑎𝑥</m:t>
                            </m:r>
                          </m:sub>
                        </m:sSub>
                      </m:sup>
                      <m:e>
                        <m:f>
                          <m:fPr>
                            <m:ctrlPr>
                              <a:rPr lang="en-CA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CA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𝑙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CA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𝑤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𝐹</m:t>
                            </m:r>
                            <m:sSub>
                              <m:sSubPr>
                                <m:ctrlPr>
                                  <a:rPr lang="en-CA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sub>
                            </m:sSub>
                            <m:d>
                              <m:d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1−</m:t>
                                </m:r>
                                <m:r>
                                  <m:rPr>
                                    <m:sty m:val="p"/>
                                  </m:rPr>
                                  <a:rPr lang="en-US" sz="1100" b="0" i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exp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(−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𝐹</m:t>
                                </m:r>
                                <m:sSub>
                                  <m:sSubPr>
                                    <m:ctrlPr>
                                      <a:rPr lang="en-CA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𝑣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𝑎</m:t>
                                    </m:r>
                                  </m:sub>
                                </m:s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CA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𝑀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𝑎</m:t>
                                    </m:r>
                                  </m:sub>
                                </m:s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</m:d>
                          </m:num>
                          <m:den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𝐹</m:t>
                            </m:r>
                            <m:sSub>
                              <m:sSubPr>
                                <m:ctrlPr>
                                  <a:rPr lang="en-CA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CA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den>
                        </m:f>
                      </m:e>
                    </m:nary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>
              <a:off x="4943475" y="3905250"/>
              <a:ext cx="2707344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CA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𝑌𝑃𝑅</a:t>
              </a:r>
              <a:r>
                <a:rPr lang="en-CA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𝐹=</a:t>
              </a:r>
              <a:r>
                <a:rPr lang="en-CA" sz="1100" i="0">
                  <a:latin typeface="Cambria Math" panose="02040503050406030204" pitchFamily="18" charset="0"/>
                </a:rPr>
                <a:t>∑</a:t>
              </a:r>
              <a:r>
                <a:rPr lang="en-US" sz="1100" b="0" i="0">
                  <a:latin typeface="Cambria Math" panose="02040503050406030204" pitchFamily="18" charset="0"/>
                </a:rPr>
                <a:t>_</a:t>
              </a:r>
              <a:r>
                <a:rPr lang="en-CA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𝑎=1</a:t>
              </a:r>
              <a:r>
                <a:rPr lang="en-CA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^(𝑎</a:t>
              </a:r>
              <a:r>
                <a:rPr lang="en-CA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𝑚𝑎𝑥)▒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𝑙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 𝐹𝑣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 (1−exp(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𝐹𝑣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𝑀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𝑎))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(𝐹𝑣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𝑎+𝑀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𝑎)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en-CA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47625</xdr:colOff>
      <xdr:row>7</xdr:row>
      <xdr:rowOff>28575</xdr:rowOff>
    </xdr:from>
    <xdr:ext cx="184731" cy="264560"/>
    <xdr:sp macro="" textlink="">
      <xdr:nvSpPr>
        <xdr:cNvPr id="2" name="TextBox 1"/>
        <xdr:cNvSpPr txBox="1"/>
      </xdr:nvSpPr>
      <xdr:spPr>
        <a:xfrm>
          <a:off x="13354050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3</xdr:col>
      <xdr:colOff>190500</xdr:colOff>
      <xdr:row>17</xdr:row>
      <xdr:rowOff>57150</xdr:rowOff>
    </xdr:from>
    <xdr:ext cx="708335" cy="31874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/>
            <xdr:cNvSpPr txBox="1"/>
          </xdr:nvSpPr>
          <xdr:spPr>
            <a:xfrm>
              <a:off x="4962525" y="3448050"/>
              <a:ext cx="708335" cy="3187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𝑆𝑃𝑅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𝜑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𝜑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4962525" y="3448050"/>
              <a:ext cx="708335" cy="3187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〖𝑆𝑃𝑅〗_𝐹=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𝜑_</a:t>
              </a:r>
              <a:r>
                <a:rPr lang="en-US" sz="1100" b="0" i="0">
                  <a:latin typeface="Cambria Math" panose="02040503050406030204" pitchFamily="18" charset="0"/>
                </a:rPr>
                <a:t>𝐹/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𝜑_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 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3</xdr:col>
      <xdr:colOff>171450</xdr:colOff>
      <xdr:row>19</xdr:row>
      <xdr:rowOff>133350</xdr:rowOff>
    </xdr:from>
    <xdr:ext cx="2707344" cy="462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/>
            <xdr:cNvSpPr txBox="1"/>
          </xdr:nvSpPr>
          <xdr:spPr>
            <a:xfrm>
              <a:off x="4943475" y="3905250"/>
              <a:ext cx="2707344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𝑌𝑃𝑅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CA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sSub>
                          <m:sSubPr>
                            <m:ctrlPr>
                              <a:rPr lang="en-CA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𝑚𝑎𝑥</m:t>
                            </m:r>
                          </m:sub>
                        </m:sSub>
                      </m:sup>
                      <m:e>
                        <m:f>
                          <m:fPr>
                            <m:ctrlPr>
                              <a:rPr lang="en-CA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CA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𝑙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CA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𝑤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𝐹</m:t>
                            </m:r>
                            <m:sSub>
                              <m:sSubPr>
                                <m:ctrlPr>
                                  <a:rPr lang="en-CA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sub>
                            </m:sSub>
                            <m:d>
                              <m:d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1−</m:t>
                                </m:r>
                                <m:r>
                                  <m:rPr>
                                    <m:sty m:val="p"/>
                                  </m:rPr>
                                  <a:rPr lang="en-US" sz="1100" b="0" i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exp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(−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𝐹</m:t>
                                </m:r>
                                <m:sSub>
                                  <m:sSubPr>
                                    <m:ctrlPr>
                                      <a:rPr lang="en-CA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𝑣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𝑎</m:t>
                                    </m:r>
                                  </m:sub>
                                </m:s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CA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𝑀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𝑎</m:t>
                                    </m:r>
                                  </m:sub>
                                </m:s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</m:d>
                          </m:num>
                          <m:den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𝐹</m:t>
                            </m:r>
                            <m:sSub>
                              <m:sSubPr>
                                <m:ctrlPr>
                                  <a:rPr lang="en-CA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CA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den>
                        </m:f>
                      </m:e>
                    </m:nary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>
              <a:off x="4943475" y="3905250"/>
              <a:ext cx="2707344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CA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𝑌𝑃𝑅</a:t>
              </a:r>
              <a:r>
                <a:rPr lang="en-CA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𝐹=</a:t>
              </a:r>
              <a:r>
                <a:rPr lang="en-CA" sz="1100" i="0">
                  <a:latin typeface="Cambria Math" panose="02040503050406030204" pitchFamily="18" charset="0"/>
                </a:rPr>
                <a:t>∑</a:t>
              </a:r>
              <a:r>
                <a:rPr lang="en-US" sz="1100" b="0" i="0">
                  <a:latin typeface="Cambria Math" panose="02040503050406030204" pitchFamily="18" charset="0"/>
                </a:rPr>
                <a:t>_</a:t>
              </a:r>
              <a:r>
                <a:rPr lang="en-CA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𝑎=1</a:t>
              </a:r>
              <a:r>
                <a:rPr lang="en-CA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^(𝑎</a:t>
              </a:r>
              <a:r>
                <a:rPr lang="en-CA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𝑚𝑎𝑥)▒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𝑙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 𝐹𝑣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 (1−exp(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𝐹𝑣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𝑀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𝑎))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(𝐹𝑣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𝑎+𝑀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𝑎)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en-CA" sz="1100"/>
            </a:p>
          </xdr:txBody>
        </xdr:sp>
      </mc:Fallback>
    </mc:AlternateContent>
    <xdr:clientData/>
  </xdr:oneCellAnchor>
  <xdr:twoCellAnchor>
    <xdr:from>
      <xdr:col>21</xdr:col>
      <xdr:colOff>0</xdr:colOff>
      <xdr:row>0</xdr:row>
      <xdr:rowOff>0</xdr:rowOff>
    </xdr:from>
    <xdr:to>
      <xdr:col>28</xdr:col>
      <xdr:colOff>304800</xdr:colOff>
      <xdr:row>13</xdr:row>
      <xdr:rowOff>114300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14</xdr:row>
      <xdr:rowOff>0</xdr:rowOff>
    </xdr:from>
    <xdr:to>
      <xdr:col>28</xdr:col>
      <xdr:colOff>304800</xdr:colOff>
      <xdr:row>27</xdr:row>
      <xdr:rowOff>114300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47625</xdr:colOff>
      <xdr:row>7</xdr:row>
      <xdr:rowOff>28575</xdr:rowOff>
    </xdr:from>
    <xdr:ext cx="184731" cy="264560"/>
    <xdr:sp macro="" textlink="">
      <xdr:nvSpPr>
        <xdr:cNvPr id="2" name="TextBox 1"/>
        <xdr:cNvSpPr txBox="1"/>
      </xdr:nvSpPr>
      <xdr:spPr>
        <a:xfrm>
          <a:off x="12134850" y="142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twoCellAnchor>
    <xdr:from>
      <xdr:col>21</xdr:col>
      <xdr:colOff>0</xdr:colOff>
      <xdr:row>14</xdr:row>
      <xdr:rowOff>0</xdr:rowOff>
    </xdr:from>
    <xdr:to>
      <xdr:col>28</xdr:col>
      <xdr:colOff>304800</xdr:colOff>
      <xdr:row>27</xdr:row>
      <xdr:rowOff>133350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0</xdr:row>
      <xdr:rowOff>0</xdr:rowOff>
    </xdr:from>
    <xdr:to>
      <xdr:col>28</xdr:col>
      <xdr:colOff>304800</xdr:colOff>
      <xdr:row>13</xdr:row>
      <xdr:rowOff>114300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47625</xdr:colOff>
      <xdr:row>7</xdr:row>
      <xdr:rowOff>28575</xdr:rowOff>
    </xdr:from>
    <xdr:ext cx="184731" cy="264560"/>
    <xdr:sp macro="" textlink="">
      <xdr:nvSpPr>
        <xdr:cNvPr id="2" name="TextBox 1"/>
        <xdr:cNvSpPr txBox="1"/>
      </xdr:nvSpPr>
      <xdr:spPr>
        <a:xfrm>
          <a:off x="13354050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3</xdr:col>
      <xdr:colOff>28575</xdr:colOff>
      <xdr:row>23</xdr:row>
      <xdr:rowOff>123825</xdr:rowOff>
    </xdr:from>
    <xdr:ext cx="941733" cy="3197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/>
            <xdr:cNvSpPr txBox="1"/>
          </xdr:nvSpPr>
          <xdr:spPr>
            <a:xfrm>
              <a:off x="4800600" y="3171825"/>
              <a:ext cx="941733" cy="3197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𝑅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𝑎𝐵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𝑏𝐵</m:t>
                        </m:r>
                      </m:den>
                    </m:f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7" name="TextBox 6"/>
            <xdr:cNvSpPr txBox="1"/>
          </xdr:nvSpPr>
          <xdr:spPr>
            <a:xfrm>
              <a:off x="4800600" y="3171825"/>
              <a:ext cx="941733" cy="3197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𝑅(𝐵)=𝑎𝐵/(1+𝑏𝐵)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2</xdr:col>
      <xdr:colOff>1990725</xdr:colOff>
      <xdr:row>27</xdr:row>
      <xdr:rowOff>123825</xdr:rowOff>
    </xdr:from>
    <xdr:ext cx="2138342" cy="3514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/>
            <xdr:cNvSpPr txBox="1"/>
          </xdr:nvSpPr>
          <xdr:spPr>
            <a:xfrm>
              <a:off x="4752975" y="3933825"/>
              <a:ext cx="2138342" cy="3514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𝑅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h𝐵</m:t>
                        </m:r>
                      </m:num>
                      <m:den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h</m:t>
                            </m:r>
                          </m:e>
                        </m:d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𝜑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+(5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−1)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den>
                    </m:f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8" name="TextBox 7"/>
            <xdr:cNvSpPr txBox="1"/>
          </xdr:nvSpPr>
          <xdr:spPr>
            <a:xfrm>
              <a:off x="4752975" y="3933825"/>
              <a:ext cx="2138342" cy="3514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𝑅(𝐵)=(4𝑅_0 ℎ𝐵)/((1−ℎ)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𝑅_0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𝜑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_0</a:t>
              </a:r>
              <a:r>
                <a:rPr lang="en-US" sz="1100" b="0" i="0">
                  <a:latin typeface="Cambria Math" panose="02040503050406030204" pitchFamily="18" charset="0"/>
                </a:rPr>
                <a:t>+(5ℎ−1)𝐵)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31</xdr:row>
      <xdr:rowOff>0</xdr:rowOff>
    </xdr:from>
    <xdr:ext cx="814005" cy="3186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/>
            <xdr:cNvSpPr txBox="1"/>
          </xdr:nvSpPr>
          <xdr:spPr>
            <a:xfrm>
              <a:off x="4772025" y="5486400"/>
              <a:ext cx="814005" cy="3186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h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𝜑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𝜑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9" name="TextBox 8"/>
            <xdr:cNvSpPr txBox="1"/>
          </xdr:nvSpPr>
          <xdr:spPr>
            <a:xfrm>
              <a:off x="4772025" y="5486400"/>
              <a:ext cx="814005" cy="3186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ℎ=  (𝑎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𝜑_0)/(</a:t>
              </a:r>
              <a:r>
                <a:rPr lang="en-US" sz="1100" b="0" i="0">
                  <a:latin typeface="Cambria Math" panose="02040503050406030204" pitchFamily="18" charset="0"/>
                </a:rPr>
                <a:t>4+𝑎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𝜑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_0 )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34</xdr:row>
      <xdr:rowOff>0</xdr:rowOff>
    </xdr:from>
    <xdr:ext cx="1066061" cy="3803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/>
            <xdr:cNvSpPr txBox="1"/>
          </xdr:nvSpPr>
          <xdr:spPr>
            <a:xfrm>
              <a:off x="4772025" y="6057900"/>
              <a:ext cx="1066061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den>
                    </m:f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𝜑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sub>
                            </m:sSub>
                          </m:den>
                        </m:f>
                      </m:e>
                    </m:d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10" name="TextBox 9"/>
            <xdr:cNvSpPr txBox="1"/>
          </xdr:nvSpPr>
          <xdr:spPr>
            <a:xfrm>
              <a:off x="4772025" y="6057900"/>
              <a:ext cx="1066061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𝑅_0</a:t>
              </a:r>
              <a:r>
                <a:rPr lang="en-US" sz="1100" b="0" i="0">
                  <a:latin typeface="Cambria Math" panose="02040503050406030204" pitchFamily="18" charset="0"/>
                </a:rPr>
                <a:t>=  1/𝑏 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</a:t>
              </a:r>
              <a:r>
                <a:rPr lang="en-US" sz="1100" b="0" i="0">
                  <a:latin typeface="Cambria Math" panose="02040503050406030204" pitchFamily="18" charset="0"/>
                </a:rPr>
                <a:t>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1/𝜑_0 )</a:t>
              </a:r>
              <a:endParaRPr lang="en-CA" sz="1100"/>
            </a:p>
          </xdr:txBody>
        </xdr:sp>
      </mc:Fallback>
    </mc:AlternateContent>
    <xdr:clientData/>
  </xdr:oneCellAnchor>
  <xdr:twoCellAnchor>
    <xdr:from>
      <xdr:col>21</xdr:col>
      <xdr:colOff>0</xdr:colOff>
      <xdr:row>28</xdr:row>
      <xdr:rowOff>0</xdr:rowOff>
    </xdr:from>
    <xdr:to>
      <xdr:col>28</xdr:col>
      <xdr:colOff>304800</xdr:colOff>
      <xdr:row>41</xdr:row>
      <xdr:rowOff>114300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0.68333</cdr:x>
      <cdr:y>0.30515</cdr:y>
    </cdr:from>
    <cdr:to>
      <cdr:x>0.86042</cdr:x>
      <cdr:y>0.41912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124200" y="790575"/>
          <a:ext cx="809625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CA" sz="1100">
              <a:latin typeface="Arial" panose="020B0604020202020204" pitchFamily="34" charset="0"/>
              <a:cs typeface="Arial" panose="020B0604020202020204" pitchFamily="34" charset="0"/>
            </a:rPr>
            <a:t>(SSB</a:t>
          </a:r>
          <a:r>
            <a:rPr lang="en-CA" sz="1100" baseline="-25000">
              <a:latin typeface="Arial" panose="020B0604020202020204" pitchFamily="34" charset="0"/>
              <a:cs typeface="Arial" panose="020B0604020202020204" pitchFamily="34" charset="0"/>
            </a:rPr>
            <a:t>0</a:t>
          </a:r>
          <a:r>
            <a:rPr lang="en-CA" sz="1100">
              <a:latin typeface="Arial" panose="020B0604020202020204" pitchFamily="34" charset="0"/>
              <a:cs typeface="Arial" panose="020B0604020202020204" pitchFamily="34" charset="0"/>
            </a:rPr>
            <a:t>,R</a:t>
          </a:r>
          <a:r>
            <a:rPr lang="en-CA" sz="1100" baseline="-25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0</a:t>
          </a:r>
          <a:r>
            <a:rPr lang="en-CA" sz="1100">
              <a:latin typeface="Arial" panose="020B0604020202020204" pitchFamily="34" charset="0"/>
              <a:cs typeface="Arial" panose="020B0604020202020204" pitchFamily="34" charset="0"/>
            </a:rPr>
            <a:t>)</a:t>
          </a:r>
        </a:p>
      </cdr:txBody>
    </cdr:sp>
  </cdr:relSizeAnchor>
  <cdr:relSizeAnchor xmlns:cdr="http://schemas.openxmlformats.org/drawingml/2006/chartDrawing">
    <cdr:from>
      <cdr:x>0.19583</cdr:x>
      <cdr:y>0.26961</cdr:y>
    </cdr:from>
    <cdr:to>
      <cdr:x>0.69792</cdr:x>
      <cdr:y>0.36029</cdr:y>
    </cdr:to>
    <cdr:sp macro="" textlink="'SRR and Yield'!$X$46">
      <cdr:nvSpPr>
        <cdr:cNvPr id="3" name="TextBox 1"/>
        <cdr:cNvSpPr txBox="1"/>
      </cdr:nvSpPr>
      <cdr:spPr>
        <a:xfrm xmlns:a="http://schemas.openxmlformats.org/drawingml/2006/main">
          <a:off x="895350" y="698501"/>
          <a:ext cx="2295525" cy="234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25E70902-74AF-4CDD-9544-CC78F5C6A1B3}" type="TxLink">
            <a:rPr lang="en-US" sz="1100" b="0" i="0" u="none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pPr/>
            <a:t>(Eq_SSBF,Eq_recF) at F=0.1</a:t>
          </a:fld>
          <a:endParaRPr lang="en-CA" sz="11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47625</xdr:colOff>
      <xdr:row>7</xdr:row>
      <xdr:rowOff>28575</xdr:rowOff>
    </xdr:from>
    <xdr:ext cx="184731" cy="264560"/>
    <xdr:sp macro="" textlink="">
      <xdr:nvSpPr>
        <xdr:cNvPr id="2" name="TextBox 1"/>
        <xdr:cNvSpPr txBox="1"/>
      </xdr:nvSpPr>
      <xdr:spPr>
        <a:xfrm>
          <a:off x="13354050" y="1362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twoCellAnchor>
    <xdr:from>
      <xdr:col>21</xdr:col>
      <xdr:colOff>0</xdr:colOff>
      <xdr:row>14</xdr:row>
      <xdr:rowOff>0</xdr:rowOff>
    </xdr:from>
    <xdr:to>
      <xdr:col>28</xdr:col>
      <xdr:colOff>304800</xdr:colOff>
      <xdr:row>27</xdr:row>
      <xdr:rowOff>133350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28</xdr:row>
      <xdr:rowOff>0</xdr:rowOff>
    </xdr:from>
    <xdr:to>
      <xdr:col>28</xdr:col>
      <xdr:colOff>304800</xdr:colOff>
      <xdr:row>41</xdr:row>
      <xdr:rowOff>114300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0</xdr:row>
      <xdr:rowOff>0</xdr:rowOff>
    </xdr:from>
    <xdr:to>
      <xdr:col>28</xdr:col>
      <xdr:colOff>304800</xdr:colOff>
      <xdr:row>13</xdr:row>
      <xdr:rowOff>114300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56</xdr:row>
      <xdr:rowOff>0</xdr:rowOff>
    </xdr:from>
    <xdr:to>
      <xdr:col>28</xdr:col>
      <xdr:colOff>304800</xdr:colOff>
      <xdr:row>69</xdr:row>
      <xdr:rowOff>133350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0</xdr:colOff>
      <xdr:row>42</xdr:row>
      <xdr:rowOff>0</xdr:rowOff>
    </xdr:from>
    <xdr:to>
      <xdr:col>28</xdr:col>
      <xdr:colOff>304800</xdr:colOff>
      <xdr:row>55</xdr:row>
      <xdr:rowOff>133350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0.64583</cdr:x>
      <cdr:y>0.1875</cdr:y>
    </cdr:from>
    <cdr:to>
      <cdr:x>0.82292</cdr:x>
      <cdr:y>0.30147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952735" y="485783"/>
          <a:ext cx="809655" cy="2952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CA" sz="1100">
              <a:latin typeface="Arial" panose="020B0604020202020204" pitchFamily="34" charset="0"/>
              <a:cs typeface="Arial" panose="020B0604020202020204" pitchFamily="34" charset="0"/>
            </a:rPr>
            <a:t>(SSB</a:t>
          </a:r>
          <a:r>
            <a:rPr lang="en-CA" sz="1100" baseline="-25000">
              <a:latin typeface="Arial" panose="020B0604020202020204" pitchFamily="34" charset="0"/>
              <a:cs typeface="Arial" panose="020B0604020202020204" pitchFamily="34" charset="0"/>
            </a:rPr>
            <a:t>0</a:t>
          </a:r>
          <a:r>
            <a:rPr lang="en-CA" sz="1100">
              <a:latin typeface="Arial" panose="020B0604020202020204" pitchFamily="34" charset="0"/>
              <a:cs typeface="Arial" panose="020B0604020202020204" pitchFamily="34" charset="0"/>
            </a:rPr>
            <a:t>,R</a:t>
          </a:r>
          <a:r>
            <a:rPr lang="en-CA" sz="1100" baseline="-25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0</a:t>
          </a:r>
          <a:r>
            <a:rPr lang="en-CA" sz="1100">
              <a:latin typeface="Arial" panose="020B0604020202020204" pitchFamily="34" charset="0"/>
              <a:cs typeface="Arial" panose="020B0604020202020204" pitchFamily="34" charset="0"/>
            </a:rPr>
            <a:t>)</a:t>
          </a:r>
        </a:p>
      </cdr:txBody>
    </cdr:sp>
  </cdr:relSizeAnchor>
  <cdr:relSizeAnchor xmlns:cdr="http://schemas.openxmlformats.org/drawingml/2006/chartDrawing">
    <cdr:from>
      <cdr:x>0.19583</cdr:x>
      <cdr:y>0.26961</cdr:y>
    </cdr:from>
    <cdr:to>
      <cdr:x>0.69792</cdr:x>
      <cdr:y>0.36029</cdr:y>
    </cdr:to>
    <cdr:sp macro="" textlink="MSY!$X$46">
      <cdr:nvSpPr>
        <cdr:cNvPr id="3" name="TextBox 1"/>
        <cdr:cNvSpPr txBox="1"/>
      </cdr:nvSpPr>
      <cdr:spPr>
        <a:xfrm xmlns:a="http://schemas.openxmlformats.org/drawingml/2006/main">
          <a:off x="895350" y="698501"/>
          <a:ext cx="2295525" cy="234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25E70902-74AF-4CDD-9544-CC78F5C6A1B3}" type="TxLink">
            <a:rPr lang="en-US" sz="1100" b="0" i="0" u="none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pPr/>
            <a:t>(Eq_SSBF,Eq_recF) at FMSY</a:t>
          </a:fld>
          <a:endParaRPr lang="en-CA" sz="11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0.29028</cdr:x>
      <cdr:y>0.01946</cdr:y>
    </cdr:from>
    <cdr:to>
      <cdr:x>0.46737</cdr:x>
      <cdr:y>0.1326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27145" y="50790"/>
          <a:ext cx="809655" cy="2952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>
              <a:solidFill>
                <a:schemeClr val="accent2"/>
              </a:solidFill>
              <a:latin typeface="Arial" panose="020B0604020202020204" pitchFamily="34" charset="0"/>
              <a:cs typeface="Arial" panose="020B0604020202020204" pitchFamily="34" charset="0"/>
            </a:rPr>
            <a:t>MSY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0.25903</cdr:x>
      <cdr:y>0.43917</cdr:y>
    </cdr:from>
    <cdr:to>
      <cdr:x>0.43612</cdr:x>
      <cdr:y>0.55231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84270" y="1146166"/>
          <a:ext cx="809655" cy="2952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>
              <a:solidFill>
                <a:schemeClr val="accent2"/>
              </a:solidFill>
              <a:latin typeface="Arial" panose="020B0604020202020204" pitchFamily="34" charset="0"/>
              <a:cs typeface="Arial" panose="020B0604020202020204" pitchFamily="34" charset="0"/>
            </a:rPr>
            <a:t>MSY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171450</xdr:colOff>
      <xdr:row>8</xdr:row>
      <xdr:rowOff>142875</xdr:rowOff>
    </xdr:from>
    <xdr:ext cx="941733" cy="31970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/>
            <xdr:cNvSpPr txBox="1"/>
          </xdr:nvSpPr>
          <xdr:spPr>
            <a:xfrm>
              <a:off x="8001000" y="1819275"/>
              <a:ext cx="941733" cy="3197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𝑅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𝑎𝐵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𝑏𝐵</m:t>
                        </m:r>
                      </m:den>
                    </m:f>
                  </m:oMath>
                </m:oMathPara>
              </a14:m>
              <a:endParaRPr lang="en-CA" sz="1100"/>
            </a:p>
          </xdr:txBody>
        </xdr:sp>
      </mc:Choice>
      <mc:Fallback>
        <xdr:sp macro="" textlink="">
          <xdr:nvSpPr>
            <xdr:cNvPr id="2" name="TextBox 1"/>
            <xdr:cNvSpPr txBox="1"/>
          </xdr:nvSpPr>
          <xdr:spPr>
            <a:xfrm>
              <a:off x="8001000" y="1819275"/>
              <a:ext cx="941733" cy="3197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𝑅(𝐵)=𝑎𝐵/(1+𝑏𝐵)</a:t>
              </a:r>
              <a:endParaRPr lang="en-CA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onlinelibrary.wiley.com/doi/full/10.1111/faf.12534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workbookViewId="0">
      <selection activeCell="C33" sqref="C33"/>
    </sheetView>
  </sheetViews>
  <sheetFormatPr defaultRowHeight="15" customHeight="1" x14ac:dyDescent="0.25"/>
  <cols>
    <col min="1" max="1" width="32.28515625" customWidth="1"/>
    <col min="3" max="3" width="30.140625" bestFit="1" customWidth="1"/>
  </cols>
  <sheetData>
    <row r="1" spans="1:17" ht="15" customHeight="1" x14ac:dyDescent="0.25">
      <c r="A1" s="55" t="s">
        <v>41</v>
      </c>
      <c r="E1" t="s">
        <v>1</v>
      </c>
    </row>
    <row r="2" spans="1:17" ht="15" customHeight="1" x14ac:dyDescent="0.25">
      <c r="A2" s="55"/>
      <c r="C2" t="s">
        <v>0</v>
      </c>
      <c r="E2" s="8">
        <v>1</v>
      </c>
      <c r="F2" s="8">
        <v>2</v>
      </c>
      <c r="G2" s="8">
        <v>3</v>
      </c>
      <c r="H2" s="8">
        <v>4</v>
      </c>
      <c r="I2" s="8">
        <v>5</v>
      </c>
      <c r="J2" s="8">
        <v>6</v>
      </c>
      <c r="K2" s="8">
        <v>7</v>
      </c>
      <c r="L2" s="8">
        <v>8</v>
      </c>
      <c r="M2" s="8">
        <v>9</v>
      </c>
      <c r="N2" s="8">
        <v>10</v>
      </c>
      <c r="O2" s="8" t="s">
        <v>2</v>
      </c>
      <c r="P2" t="s">
        <v>3</v>
      </c>
      <c r="Q2" t="s">
        <v>16</v>
      </c>
    </row>
    <row r="3" spans="1:17" ht="15" customHeight="1" x14ac:dyDescent="0.25">
      <c r="C3" t="s">
        <v>27</v>
      </c>
      <c r="D3" s="1" t="s">
        <v>12</v>
      </c>
      <c r="E3" s="2">
        <v>1.4514176135884901E-2</v>
      </c>
      <c r="F3" s="2">
        <v>4.2231692167386099E-2</v>
      </c>
      <c r="G3" s="2">
        <v>0.100220341134515</v>
      </c>
      <c r="H3" s="2">
        <v>0.15438522658595899</v>
      </c>
      <c r="I3" s="2">
        <v>0.19563793191647399</v>
      </c>
      <c r="J3" s="2">
        <v>0.229635088002342</v>
      </c>
      <c r="K3" s="2">
        <v>0.258843108246047</v>
      </c>
      <c r="L3" s="2">
        <v>0.28409739334216999</v>
      </c>
      <c r="M3" s="2">
        <v>0.304429102114741</v>
      </c>
      <c r="N3" s="2">
        <v>0.31988238382748702</v>
      </c>
      <c r="O3" s="2">
        <v>0.335993044231645</v>
      </c>
      <c r="P3" s="1" t="s">
        <v>85</v>
      </c>
      <c r="Q3" t="s">
        <v>43</v>
      </c>
    </row>
    <row r="4" spans="1:17" ht="15" customHeight="1" x14ac:dyDescent="0.25">
      <c r="C4" s="3" t="s">
        <v>6</v>
      </c>
      <c r="D4" s="3" t="s">
        <v>13</v>
      </c>
      <c r="E4" s="2">
        <v>5.4683991579589E-3</v>
      </c>
      <c r="F4" s="2">
        <v>3.6348653443286097E-2</v>
      </c>
      <c r="G4" s="2">
        <v>0.39111465512684201</v>
      </c>
      <c r="H4" s="2">
        <v>0.88567802012647301</v>
      </c>
      <c r="I4" s="2">
        <v>0.98410828528553496</v>
      </c>
      <c r="J4" s="2">
        <v>0.99653236907821396</v>
      </c>
      <c r="K4" s="2">
        <v>0.99897673122860797</v>
      </c>
      <c r="L4" s="2">
        <v>0.99966407393052303</v>
      </c>
      <c r="M4" s="2">
        <v>0.99988524555633795</v>
      </c>
      <c r="N4" s="2">
        <v>0.99996003551778501</v>
      </c>
      <c r="O4" s="2">
        <v>0.99998592618896298</v>
      </c>
      <c r="P4" s="5" t="s">
        <v>5</v>
      </c>
      <c r="Q4" t="s">
        <v>43</v>
      </c>
    </row>
    <row r="5" spans="1:17" ht="15" customHeight="1" x14ac:dyDescent="0.25">
      <c r="C5" s="1" t="s">
        <v>7</v>
      </c>
      <c r="D5" s="1" t="s">
        <v>7</v>
      </c>
      <c r="E5" s="2">
        <v>0.35</v>
      </c>
      <c r="F5" s="2">
        <v>0.35</v>
      </c>
      <c r="G5" s="2">
        <v>0.35</v>
      </c>
      <c r="H5" s="2">
        <v>0.35</v>
      </c>
      <c r="I5" s="2">
        <v>0.35</v>
      </c>
      <c r="J5" s="2">
        <v>0.35</v>
      </c>
      <c r="K5" s="2">
        <v>0.35</v>
      </c>
      <c r="L5" s="2">
        <v>0.35</v>
      </c>
      <c r="M5" s="2">
        <v>0.35</v>
      </c>
      <c r="N5" s="2">
        <v>0.35</v>
      </c>
      <c r="O5" s="2">
        <v>0.35</v>
      </c>
      <c r="P5" s="4" t="s">
        <v>5</v>
      </c>
      <c r="Q5" t="s">
        <v>44</v>
      </c>
    </row>
    <row r="6" spans="1:17" ht="15" customHeight="1" x14ac:dyDescent="0.35">
      <c r="C6" s="11" t="s">
        <v>8</v>
      </c>
      <c r="D6" s="1" t="s">
        <v>24</v>
      </c>
      <c r="E6" s="19">
        <v>1</v>
      </c>
      <c r="F6">
        <f>E6*EXP(-E5)</f>
        <v>0.70468808971871344</v>
      </c>
      <c r="G6">
        <f t="shared" ref="G6:K6" si="0">F6*EXP(-F5)</f>
        <v>0.49658530379140953</v>
      </c>
      <c r="H6">
        <f t="shared" si="0"/>
        <v>0.34993774911115538</v>
      </c>
      <c r="I6">
        <f t="shared" si="0"/>
        <v>0.24659696394160649</v>
      </c>
      <c r="J6">
        <f t="shared" si="0"/>
        <v>0.17377394345044514</v>
      </c>
      <c r="K6">
        <f t="shared" si="0"/>
        <v>0.12245642825298192</v>
      </c>
      <c r="L6">
        <f t="shared" ref="L6" si="1">K6*EXP(-K5)</f>
        <v>8.6293586499370523E-2</v>
      </c>
      <c r="M6">
        <f t="shared" ref="M6" si="2">L6*EXP(-L5)</f>
        <v>6.0810062625217973E-2</v>
      </c>
      <c r="N6">
        <f t="shared" ref="N6" si="3">M6*EXP(-M5)</f>
        <v>4.2852126867040187E-2</v>
      </c>
      <c r="O6" s="20">
        <f>N6*EXP(-N5)/(1-EXP(-O5))</f>
        <v>0.10225589409365608</v>
      </c>
      <c r="P6" s="7" t="s">
        <v>5</v>
      </c>
      <c r="Q6" t="s">
        <v>17</v>
      </c>
    </row>
    <row r="7" spans="1:17" ht="15" customHeight="1" x14ac:dyDescent="0.35">
      <c r="C7" s="12" t="s">
        <v>11</v>
      </c>
      <c r="D7" t="s">
        <v>22</v>
      </c>
      <c r="E7">
        <f>SUMPRODUCT(E6:O6,E3:O3,E4:O4)</f>
        <v>0.27846452131696486</v>
      </c>
      <c r="P7" s="1" t="s">
        <v>86</v>
      </c>
    </row>
    <row r="16" spans="1:17" ht="15" customHeight="1" x14ac:dyDescent="0.35">
      <c r="C16" s="52" t="s">
        <v>10</v>
      </c>
      <c r="I16" t="s">
        <v>48</v>
      </c>
    </row>
    <row r="17" spans="3:7" ht="15" customHeight="1" x14ac:dyDescent="0.25">
      <c r="C17" s="52"/>
    </row>
    <row r="18" spans="3:7" ht="15" customHeight="1" x14ac:dyDescent="0.25">
      <c r="C18" s="52"/>
    </row>
    <row r="19" spans="3:7" ht="15" customHeight="1" x14ac:dyDescent="0.25">
      <c r="C19" s="52"/>
    </row>
    <row r="21" spans="3:7" ht="15" customHeight="1" x14ac:dyDescent="0.25">
      <c r="C21" s="53" t="s">
        <v>15</v>
      </c>
    </row>
    <row r="22" spans="3:7" ht="15" customHeight="1" x14ac:dyDescent="0.25">
      <c r="C22" s="53"/>
    </row>
    <row r="23" spans="3:7" ht="15" customHeight="1" x14ac:dyDescent="0.25">
      <c r="C23" s="9"/>
    </row>
    <row r="25" spans="3:7" ht="15" customHeight="1" x14ac:dyDescent="0.25">
      <c r="C25" t="s">
        <v>37</v>
      </c>
    </row>
    <row r="26" spans="3:7" ht="15" customHeight="1" x14ac:dyDescent="0.35">
      <c r="C26" s="54" t="s">
        <v>42</v>
      </c>
      <c r="D26" s="10"/>
      <c r="E26" s="10"/>
      <c r="G26" t="s">
        <v>38</v>
      </c>
    </row>
    <row r="27" spans="3:7" ht="15" customHeight="1" x14ac:dyDescent="0.25">
      <c r="C27" s="54"/>
      <c r="D27" s="10"/>
      <c r="E27" s="10"/>
    </row>
  </sheetData>
  <mergeCells count="4">
    <mergeCell ref="C16:C19"/>
    <mergeCell ref="C21:C22"/>
    <mergeCell ref="C26:C27"/>
    <mergeCell ref="A1:A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workbookViewId="0">
      <selection activeCell="O8" sqref="E8:O8"/>
    </sheetView>
  </sheetViews>
  <sheetFormatPr defaultRowHeight="15" customHeight="1" x14ac:dyDescent="0.25"/>
  <cols>
    <col min="1" max="1" width="32.28515625" customWidth="1"/>
    <col min="3" max="3" width="30.140625" bestFit="1" customWidth="1"/>
    <col min="5" max="5" width="9.140625" customWidth="1"/>
  </cols>
  <sheetData>
    <row r="1" spans="1:17" ht="15" customHeight="1" x14ac:dyDescent="0.25">
      <c r="A1" s="55" t="s">
        <v>56</v>
      </c>
    </row>
    <row r="2" spans="1:17" ht="15" customHeight="1" x14ac:dyDescent="0.25">
      <c r="A2" s="55"/>
      <c r="C2" t="s">
        <v>0</v>
      </c>
      <c r="E2" s="8">
        <v>1</v>
      </c>
      <c r="F2" s="8">
        <v>2</v>
      </c>
      <c r="G2" s="8">
        <v>3</v>
      </c>
      <c r="H2" s="8">
        <v>4</v>
      </c>
      <c r="I2" s="8">
        <v>5</v>
      </c>
      <c r="J2" s="8">
        <v>6</v>
      </c>
      <c r="K2" s="8">
        <v>7</v>
      </c>
      <c r="L2" s="8">
        <v>8</v>
      </c>
      <c r="M2" s="8">
        <v>9</v>
      </c>
      <c r="N2" s="8">
        <v>10</v>
      </c>
      <c r="O2" s="8" t="s">
        <v>2</v>
      </c>
      <c r="P2" t="s">
        <v>3</v>
      </c>
      <c r="Q2" t="s">
        <v>16</v>
      </c>
    </row>
    <row r="3" spans="1:17" ht="15" customHeight="1" x14ac:dyDescent="0.25">
      <c r="C3" t="s">
        <v>27</v>
      </c>
      <c r="D3" s="1" t="s">
        <v>12</v>
      </c>
      <c r="E3" s="2">
        <v>1.4514176135884901E-2</v>
      </c>
      <c r="F3" s="2">
        <v>4.2231692167386099E-2</v>
      </c>
      <c r="G3" s="2">
        <v>0.100220341134515</v>
      </c>
      <c r="H3" s="2">
        <v>0.15438522658595899</v>
      </c>
      <c r="I3" s="2">
        <v>0.19563793191647399</v>
      </c>
      <c r="J3" s="2">
        <v>0.229635088002342</v>
      </c>
      <c r="K3" s="2">
        <v>0.258843108246047</v>
      </c>
      <c r="L3" s="2">
        <v>0.28409739334216999</v>
      </c>
      <c r="M3" s="2">
        <v>0.304429102114741</v>
      </c>
      <c r="N3" s="2">
        <v>0.31988238382748702</v>
      </c>
      <c r="O3" s="2">
        <v>0.335993044231645</v>
      </c>
      <c r="P3" s="1" t="s">
        <v>85</v>
      </c>
      <c r="Q3" t="s">
        <v>43</v>
      </c>
    </row>
    <row r="4" spans="1:17" ht="15" customHeight="1" x14ac:dyDescent="0.25">
      <c r="C4" s="3" t="s">
        <v>6</v>
      </c>
      <c r="D4" s="3" t="s">
        <v>13</v>
      </c>
      <c r="E4" s="2">
        <v>5.4683991579589E-3</v>
      </c>
      <c r="F4" s="2">
        <v>3.6348653443286097E-2</v>
      </c>
      <c r="G4" s="2">
        <v>0.39111465512684201</v>
      </c>
      <c r="H4" s="2">
        <v>0.88567802012647301</v>
      </c>
      <c r="I4" s="2">
        <v>0.98410828528553496</v>
      </c>
      <c r="J4" s="2">
        <v>0.99653236907821396</v>
      </c>
      <c r="K4" s="2">
        <v>0.99897673122860797</v>
      </c>
      <c r="L4" s="2">
        <v>0.99966407393052303</v>
      </c>
      <c r="M4" s="2">
        <v>0.99988524555633795</v>
      </c>
      <c r="N4" s="2">
        <v>0.99996003551778501</v>
      </c>
      <c r="O4" s="2">
        <v>0.99998592618896298</v>
      </c>
      <c r="P4" s="5" t="s">
        <v>5</v>
      </c>
      <c r="Q4" t="s">
        <v>43</v>
      </c>
    </row>
    <row r="5" spans="1:17" ht="15" customHeight="1" x14ac:dyDescent="0.25">
      <c r="A5" s="38" t="s">
        <v>45</v>
      </c>
      <c r="B5" s="17">
        <v>0.1</v>
      </c>
      <c r="C5" s="1" t="s">
        <v>7</v>
      </c>
      <c r="D5" s="1" t="s">
        <v>9</v>
      </c>
      <c r="E5" s="2">
        <v>0.35</v>
      </c>
      <c r="F5" s="2">
        <v>0.35</v>
      </c>
      <c r="G5" s="2">
        <v>0.35</v>
      </c>
      <c r="H5" s="2">
        <v>0.35</v>
      </c>
      <c r="I5" s="2">
        <v>0.35</v>
      </c>
      <c r="J5" s="2">
        <v>0.35</v>
      </c>
      <c r="K5" s="2">
        <v>0.35</v>
      </c>
      <c r="L5" s="2">
        <v>0.35</v>
      </c>
      <c r="M5" s="2">
        <v>0.35</v>
      </c>
      <c r="N5" s="2">
        <v>0.35</v>
      </c>
      <c r="O5" s="2">
        <v>0.35</v>
      </c>
      <c r="P5" s="4" t="s">
        <v>5</v>
      </c>
      <c r="Q5" t="s">
        <v>44</v>
      </c>
    </row>
    <row r="6" spans="1:17" ht="15" customHeight="1" x14ac:dyDescent="0.35">
      <c r="C6" s="11" t="s">
        <v>8</v>
      </c>
      <c r="D6" s="11" t="s">
        <v>24</v>
      </c>
      <c r="E6" s="19">
        <v>1</v>
      </c>
      <c r="F6">
        <f>E6*EXP(-E5)</f>
        <v>0.70468808971871344</v>
      </c>
      <c r="G6">
        <f t="shared" ref="G6:N6" si="0">F6*EXP(-F5)</f>
        <v>0.49658530379140953</v>
      </c>
      <c r="H6">
        <f t="shared" si="0"/>
        <v>0.34993774911115538</v>
      </c>
      <c r="I6">
        <f t="shared" si="0"/>
        <v>0.24659696394160649</v>
      </c>
      <c r="J6">
        <f t="shared" si="0"/>
        <v>0.17377394345044514</v>
      </c>
      <c r="K6">
        <f t="shared" si="0"/>
        <v>0.12245642825298192</v>
      </c>
      <c r="L6">
        <f t="shared" si="0"/>
        <v>8.6293586499370523E-2</v>
      </c>
      <c r="M6">
        <f t="shared" si="0"/>
        <v>6.0810062625217973E-2</v>
      </c>
      <c r="N6">
        <f t="shared" si="0"/>
        <v>4.2852126867040187E-2</v>
      </c>
      <c r="O6" s="20">
        <f>N6*EXP(-N5)/(1-EXP(-O5))</f>
        <v>0.10225589409365608</v>
      </c>
      <c r="P6" s="7" t="s">
        <v>5</v>
      </c>
      <c r="Q6" t="s">
        <v>17</v>
      </c>
    </row>
    <row r="7" spans="1:17" ht="15" customHeight="1" x14ac:dyDescent="0.35">
      <c r="C7" s="12" t="s">
        <v>11</v>
      </c>
      <c r="D7" s="15" t="s">
        <v>22</v>
      </c>
      <c r="E7">
        <f>SUMPRODUCT(E6:O6,E3:O3,E4:O4)</f>
        <v>0.27846452131696486</v>
      </c>
      <c r="P7" s="1" t="s">
        <v>86</v>
      </c>
    </row>
    <row r="8" spans="1:17" ht="15" customHeight="1" x14ac:dyDescent="0.25">
      <c r="C8" s="3" t="s">
        <v>4</v>
      </c>
      <c r="D8" s="3" t="s">
        <v>14</v>
      </c>
      <c r="E8" s="2">
        <v>3.6261919131430301E-2</v>
      </c>
      <c r="F8" s="2">
        <v>0.442038807084495</v>
      </c>
      <c r="G8" s="2">
        <v>0.953383075836302</v>
      </c>
      <c r="H8" s="2">
        <v>0.97124383638185796</v>
      </c>
      <c r="I8" s="2">
        <v>0.98163231396893003</v>
      </c>
      <c r="J8" s="2">
        <v>0.979759308829527</v>
      </c>
      <c r="K8" s="2">
        <v>0.97361862431421398</v>
      </c>
      <c r="L8" s="2">
        <v>0.96596967900267705</v>
      </c>
      <c r="M8" s="2">
        <v>0.95949060754709004</v>
      </c>
      <c r="N8" s="2">
        <v>0.95474833216409505</v>
      </c>
      <c r="O8" s="2">
        <v>0.951256923690879</v>
      </c>
      <c r="P8" s="4" t="s">
        <v>5</v>
      </c>
      <c r="Q8" t="s">
        <v>46</v>
      </c>
    </row>
    <row r="9" spans="1:17" ht="15" customHeight="1" x14ac:dyDescent="0.25">
      <c r="C9" t="s">
        <v>21</v>
      </c>
      <c r="D9" t="s">
        <v>20</v>
      </c>
      <c r="E9" s="6">
        <f>B5</f>
        <v>0.1</v>
      </c>
      <c r="P9" s="4" t="s">
        <v>5</v>
      </c>
    </row>
    <row r="10" spans="1:17" ht="15" customHeight="1" x14ac:dyDescent="0.35">
      <c r="C10" s="13" t="s">
        <v>18</v>
      </c>
      <c r="D10" s="13" t="s">
        <v>25</v>
      </c>
      <c r="E10" s="20">
        <v>1</v>
      </c>
      <c r="F10">
        <f>E10*EXP(-E5-$E$9*E8)</f>
        <v>0.70213738293763173</v>
      </c>
      <c r="G10">
        <f t="shared" ref="G10:N10" si="1">F10*EXP(-F5-$E$9*F8)</f>
        <v>0.47339266675026376</v>
      </c>
      <c r="H10">
        <f t="shared" si="1"/>
        <v>0.30325890080704587</v>
      </c>
      <c r="I10">
        <f t="shared" si="1"/>
        <v>0.19392326026043458</v>
      </c>
      <c r="J10">
        <f t="shared" si="1"/>
        <v>0.12387825685179521</v>
      </c>
      <c r="K10">
        <f t="shared" si="1"/>
        <v>7.9148303559177235E-2</v>
      </c>
      <c r="L10">
        <f t="shared" si="1"/>
        <v>5.0600501657669258E-2</v>
      </c>
      <c r="M10">
        <f t="shared" si="1"/>
        <v>3.2374287839012965E-2</v>
      </c>
      <c r="N10">
        <f t="shared" si="1"/>
        <v>2.0726549474486308E-2</v>
      </c>
      <c r="O10" s="20">
        <f>N10*EXP(-N5-$E$9*N8)/(1-EXP(-O5-$E$9*O8))</f>
        <v>3.6953484345372316E-2</v>
      </c>
      <c r="P10" s="4" t="s">
        <v>5</v>
      </c>
    </row>
    <row r="11" spans="1:17" ht="15" customHeight="1" x14ac:dyDescent="0.35">
      <c r="C11" s="14" t="s">
        <v>19</v>
      </c>
      <c r="D11" s="14" t="s">
        <v>23</v>
      </c>
      <c r="E11">
        <f>SUMPRODUCT(E10:O10,E3:O3,E4:O4)</f>
        <v>0.19060029400935319</v>
      </c>
      <c r="P11" s="1" t="s">
        <v>86</v>
      </c>
    </row>
    <row r="12" spans="1:17" ht="15" customHeight="1" x14ac:dyDescent="0.25">
      <c r="C12" t="s">
        <v>52</v>
      </c>
      <c r="D12" t="s">
        <v>26</v>
      </c>
      <c r="E12">
        <f>E11/E7</f>
        <v>0.68446886198619394</v>
      </c>
      <c r="P12" s="4" t="s">
        <v>5</v>
      </c>
    </row>
    <row r="13" spans="1:17" ht="15" customHeight="1" x14ac:dyDescent="0.25">
      <c r="C13" s="14" t="s">
        <v>55</v>
      </c>
      <c r="D13" s="14" t="s">
        <v>54</v>
      </c>
      <c r="E13">
        <f>E10*E3*$E$9*E8*(1-EXP(-$E$9*E8-E5))/($E$9*E8+E5)</f>
        <v>4.433173728069964E-5</v>
      </c>
      <c r="F13">
        <f t="shared" ref="F13:O13" si="2">F10*F3*$E$9*F8*(1-EXP(-$E$9*F8-F5))/($E$9*F8+F5)</f>
        <v>1.083250896845982E-3</v>
      </c>
      <c r="G13">
        <f t="shared" si="2"/>
        <v>3.6502598019605152E-3</v>
      </c>
      <c r="H13">
        <f t="shared" si="2"/>
        <v>3.6666327602132513E-3</v>
      </c>
      <c r="I13">
        <f t="shared" si="2"/>
        <v>3.0015310989262001E-3</v>
      </c>
      <c r="J13">
        <f t="shared" si="2"/>
        <v>2.2464740751173017E-3</v>
      </c>
      <c r="K13">
        <f t="shared" si="2"/>
        <v>1.608196808347475E-3</v>
      </c>
      <c r="L13">
        <f t="shared" si="2"/>
        <v>1.1199830090050794E-3</v>
      </c>
      <c r="M13">
        <f t="shared" si="2"/>
        <v>7.6292746191224049E-4</v>
      </c>
      <c r="N13">
        <f t="shared" si="2"/>
        <v>5.1080803707729064E-4</v>
      </c>
      <c r="O13">
        <f t="shared" si="2"/>
        <v>9.5324645916366189E-4</v>
      </c>
      <c r="P13" t="s">
        <v>85</v>
      </c>
    </row>
    <row r="14" spans="1:17" ht="15" customHeight="1" x14ac:dyDescent="0.25">
      <c r="C14" s="14" t="s">
        <v>51</v>
      </c>
      <c r="D14" s="14" t="s">
        <v>53</v>
      </c>
      <c r="E14">
        <f>SUM(E13:O13)</f>
        <v>1.8647642145849699E-2</v>
      </c>
      <c r="P14" t="s">
        <v>85</v>
      </c>
    </row>
    <row r="16" spans="1:17" ht="15" customHeight="1" x14ac:dyDescent="0.25">
      <c r="C16" s="9"/>
    </row>
    <row r="17" spans="3:6" ht="15" customHeight="1" x14ac:dyDescent="0.25">
      <c r="C17" s="9"/>
    </row>
    <row r="18" spans="3:6" ht="15" customHeight="1" x14ac:dyDescent="0.25">
      <c r="C18" s="54" t="s">
        <v>47</v>
      </c>
      <c r="F18" t="s">
        <v>50</v>
      </c>
    </row>
    <row r="19" spans="3:6" ht="15" customHeight="1" x14ac:dyDescent="0.25">
      <c r="C19" s="54"/>
    </row>
    <row r="21" spans="3:6" ht="15" customHeight="1" x14ac:dyDescent="0.25">
      <c r="C21" s="54" t="s">
        <v>49</v>
      </c>
    </row>
    <row r="22" spans="3:6" ht="15" customHeight="1" x14ac:dyDescent="0.25">
      <c r="C22" s="54"/>
    </row>
    <row r="23" spans="3:6" ht="15" customHeight="1" x14ac:dyDescent="0.25">
      <c r="C23" s="9"/>
    </row>
    <row r="24" spans="3:6" ht="15" customHeight="1" x14ac:dyDescent="0.25">
      <c r="C24" s="9"/>
    </row>
    <row r="25" spans="3:6" ht="15" customHeight="1" x14ac:dyDescent="0.25">
      <c r="C25" s="10"/>
    </row>
    <row r="26" spans="3:6" ht="15" customHeight="1" x14ac:dyDescent="0.25">
      <c r="C26" s="10"/>
    </row>
    <row r="27" spans="3:6" ht="15" customHeight="1" x14ac:dyDescent="0.25">
      <c r="C27" s="9"/>
    </row>
  </sheetData>
  <mergeCells count="3">
    <mergeCell ref="A1:A2"/>
    <mergeCell ref="C18:C19"/>
    <mergeCell ref="C21:C2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0"/>
  <sheetViews>
    <sheetView workbookViewId="0">
      <selection activeCell="E8" sqref="E8:O8"/>
    </sheetView>
  </sheetViews>
  <sheetFormatPr defaultRowHeight="15" customHeight="1" x14ac:dyDescent="0.25"/>
  <cols>
    <col min="1" max="1" width="32.28515625" customWidth="1"/>
    <col min="3" max="3" width="30.140625" bestFit="1" customWidth="1"/>
    <col min="5" max="5" width="9.140625" customWidth="1"/>
  </cols>
  <sheetData>
    <row r="1" spans="1:17" ht="15" customHeight="1" x14ac:dyDescent="0.25">
      <c r="A1" s="55" t="s">
        <v>56</v>
      </c>
    </row>
    <row r="2" spans="1:17" ht="15" customHeight="1" x14ac:dyDescent="0.25">
      <c r="A2" s="55"/>
      <c r="C2" t="s">
        <v>0</v>
      </c>
      <c r="E2" s="8">
        <v>1</v>
      </c>
      <c r="F2" s="8">
        <v>2</v>
      </c>
      <c r="G2" s="8">
        <v>3</v>
      </c>
      <c r="H2" s="8">
        <v>4</v>
      </c>
      <c r="I2" s="8">
        <v>5</v>
      </c>
      <c r="J2" s="8">
        <v>6</v>
      </c>
      <c r="K2" s="8">
        <v>7</v>
      </c>
      <c r="L2" s="8">
        <v>8</v>
      </c>
      <c r="M2" s="8">
        <v>9</v>
      </c>
      <c r="N2" s="8">
        <v>10</v>
      </c>
      <c r="O2" s="8" t="s">
        <v>2</v>
      </c>
      <c r="P2" t="s">
        <v>3</v>
      </c>
      <c r="Q2" t="s">
        <v>16</v>
      </c>
    </row>
    <row r="3" spans="1:17" ht="15" customHeight="1" x14ac:dyDescent="0.25">
      <c r="C3" t="s">
        <v>27</v>
      </c>
      <c r="D3" s="1" t="s">
        <v>12</v>
      </c>
      <c r="E3" s="2">
        <v>1.4514176135884901E-2</v>
      </c>
      <c r="F3" s="2">
        <v>4.2231692167386099E-2</v>
      </c>
      <c r="G3" s="2">
        <v>0.100220341134515</v>
      </c>
      <c r="H3" s="2">
        <v>0.15438522658595899</v>
      </c>
      <c r="I3" s="2">
        <v>0.19563793191647399</v>
      </c>
      <c r="J3" s="2">
        <v>0.229635088002342</v>
      </c>
      <c r="K3" s="2">
        <v>0.258843108246047</v>
      </c>
      <c r="L3" s="2">
        <v>0.28409739334216999</v>
      </c>
      <c r="M3" s="2">
        <v>0.304429102114741</v>
      </c>
      <c r="N3" s="2">
        <v>0.31988238382748702</v>
      </c>
      <c r="O3" s="2">
        <v>0.335993044231645</v>
      </c>
      <c r="P3" s="1" t="s">
        <v>85</v>
      </c>
      <c r="Q3" t="s">
        <v>43</v>
      </c>
    </row>
    <row r="4" spans="1:17" ht="15" customHeight="1" x14ac:dyDescent="0.25">
      <c r="C4" s="3" t="s">
        <v>6</v>
      </c>
      <c r="D4" s="3" t="s">
        <v>13</v>
      </c>
      <c r="E4" s="2">
        <v>5.4683991579589E-3</v>
      </c>
      <c r="F4" s="2">
        <v>3.6348653443286097E-2</v>
      </c>
      <c r="G4" s="2">
        <v>0.39111465512684201</v>
      </c>
      <c r="H4" s="2">
        <v>0.88567802012647301</v>
      </c>
      <c r="I4" s="2">
        <v>0.98410828528553496</v>
      </c>
      <c r="J4" s="2">
        <v>0.99653236907821396</v>
      </c>
      <c r="K4" s="2">
        <v>0.99897673122860797</v>
      </c>
      <c r="L4" s="2">
        <v>0.99966407393052303</v>
      </c>
      <c r="M4" s="2">
        <v>0.99988524555633795</v>
      </c>
      <c r="N4" s="2">
        <v>0.99996003551778501</v>
      </c>
      <c r="O4" s="2">
        <v>0.99998592618896298</v>
      </c>
      <c r="P4" s="5" t="s">
        <v>5</v>
      </c>
      <c r="Q4" t="s">
        <v>43</v>
      </c>
    </row>
    <row r="5" spans="1:17" ht="15" customHeight="1" x14ac:dyDescent="0.25">
      <c r="A5" s="38" t="s">
        <v>45</v>
      </c>
      <c r="B5" s="17">
        <v>0.1</v>
      </c>
      <c r="C5" s="1" t="s">
        <v>7</v>
      </c>
      <c r="D5" s="1" t="s">
        <v>9</v>
      </c>
      <c r="E5" s="2">
        <v>0.35</v>
      </c>
      <c r="F5" s="2">
        <v>0.35</v>
      </c>
      <c r="G5" s="2">
        <v>0.35</v>
      </c>
      <c r="H5" s="2">
        <v>0.35</v>
      </c>
      <c r="I5" s="2">
        <v>0.35</v>
      </c>
      <c r="J5" s="2">
        <v>0.35</v>
      </c>
      <c r="K5" s="2">
        <v>0.35</v>
      </c>
      <c r="L5" s="2">
        <v>0.35</v>
      </c>
      <c r="M5" s="2">
        <v>0.35</v>
      </c>
      <c r="N5" s="2">
        <v>0.35</v>
      </c>
      <c r="O5" s="2">
        <v>0.35</v>
      </c>
      <c r="P5" s="4" t="s">
        <v>5</v>
      </c>
      <c r="Q5" t="s">
        <v>44</v>
      </c>
    </row>
    <row r="6" spans="1:17" ht="15" customHeight="1" x14ac:dyDescent="0.35">
      <c r="C6" s="11" t="s">
        <v>8</v>
      </c>
      <c r="D6" s="11" t="s">
        <v>24</v>
      </c>
      <c r="E6" s="19">
        <v>1</v>
      </c>
      <c r="F6">
        <f>E6*EXP(-E5)</f>
        <v>0.70468808971871344</v>
      </c>
      <c r="G6">
        <f t="shared" ref="G6:N6" si="0">F6*EXP(-F5)</f>
        <v>0.49658530379140953</v>
      </c>
      <c r="H6">
        <f t="shared" si="0"/>
        <v>0.34993774911115538</v>
      </c>
      <c r="I6">
        <f t="shared" si="0"/>
        <v>0.24659696394160649</v>
      </c>
      <c r="J6">
        <f t="shared" si="0"/>
        <v>0.17377394345044514</v>
      </c>
      <c r="K6">
        <f t="shared" si="0"/>
        <v>0.12245642825298192</v>
      </c>
      <c r="L6">
        <f t="shared" si="0"/>
        <v>8.6293586499370523E-2</v>
      </c>
      <c r="M6">
        <f t="shared" si="0"/>
        <v>6.0810062625217973E-2</v>
      </c>
      <c r="N6">
        <f t="shared" si="0"/>
        <v>4.2852126867040187E-2</v>
      </c>
      <c r="O6" s="20">
        <f>N6*EXP(-N5)/(1-EXP(-O5))</f>
        <v>0.10225589409365608</v>
      </c>
      <c r="P6" s="7" t="s">
        <v>5</v>
      </c>
      <c r="Q6" t="s">
        <v>17</v>
      </c>
    </row>
    <row r="7" spans="1:17" ht="15" customHeight="1" x14ac:dyDescent="0.35">
      <c r="C7" s="12" t="s">
        <v>11</v>
      </c>
      <c r="D7" s="15" t="s">
        <v>22</v>
      </c>
      <c r="E7">
        <f>SUMPRODUCT(E6:O6,E3:O3,E4:O4)</f>
        <v>0.27846452131696486</v>
      </c>
      <c r="P7" s="1" t="s">
        <v>86</v>
      </c>
    </row>
    <row r="8" spans="1:17" ht="15" customHeight="1" x14ac:dyDescent="0.25">
      <c r="A8" s="55" t="s">
        <v>63</v>
      </c>
      <c r="C8" s="3" t="s">
        <v>4</v>
      </c>
      <c r="D8" s="3" t="s">
        <v>14</v>
      </c>
      <c r="E8" s="2">
        <v>3.6261919131430301E-2</v>
      </c>
      <c r="F8" s="2">
        <v>0.442038807084495</v>
      </c>
      <c r="G8" s="2">
        <v>0.953383075836302</v>
      </c>
      <c r="H8" s="2">
        <v>0.97124383638185796</v>
      </c>
      <c r="I8" s="2">
        <v>0.98163231396893003</v>
      </c>
      <c r="J8" s="2">
        <v>0.979759308829527</v>
      </c>
      <c r="K8" s="2">
        <v>0.97361862431421398</v>
      </c>
      <c r="L8" s="2">
        <v>0.96596967900267705</v>
      </c>
      <c r="M8" s="2">
        <v>0.95949060754709004</v>
      </c>
      <c r="N8" s="2">
        <v>0.95474833216409505</v>
      </c>
      <c r="O8" s="2">
        <v>0.951256923690879</v>
      </c>
      <c r="P8" s="4" t="s">
        <v>5</v>
      </c>
      <c r="Q8" t="s">
        <v>46</v>
      </c>
    </row>
    <row r="9" spans="1:17" ht="15" customHeight="1" x14ac:dyDescent="0.25">
      <c r="A9" s="55"/>
      <c r="C9" t="s">
        <v>21</v>
      </c>
      <c r="D9" t="s">
        <v>20</v>
      </c>
      <c r="E9" s="6">
        <f>B5</f>
        <v>0.1</v>
      </c>
      <c r="P9" s="4" t="s">
        <v>5</v>
      </c>
    </row>
    <row r="10" spans="1:17" ht="15" customHeight="1" x14ac:dyDescent="0.35">
      <c r="C10" s="13" t="s">
        <v>18</v>
      </c>
      <c r="D10" s="13" t="s">
        <v>25</v>
      </c>
      <c r="E10" s="20">
        <v>1</v>
      </c>
      <c r="F10">
        <f>E10*EXP(-E5-$E$9*E8)</f>
        <v>0.70213738293763173</v>
      </c>
      <c r="G10">
        <f t="shared" ref="G10:N10" si="1">F10*EXP(-F5-$E$9*F8)</f>
        <v>0.47339266675026376</v>
      </c>
      <c r="H10">
        <f t="shared" si="1"/>
        <v>0.30325890080704587</v>
      </c>
      <c r="I10">
        <f t="shared" si="1"/>
        <v>0.19392326026043458</v>
      </c>
      <c r="J10">
        <f t="shared" si="1"/>
        <v>0.12387825685179521</v>
      </c>
      <c r="K10">
        <f t="shared" si="1"/>
        <v>7.9148303559177235E-2</v>
      </c>
      <c r="L10">
        <f t="shared" si="1"/>
        <v>5.0600501657669258E-2</v>
      </c>
      <c r="M10">
        <f t="shared" si="1"/>
        <v>3.2374287839012965E-2</v>
      </c>
      <c r="N10">
        <f t="shared" si="1"/>
        <v>2.0726549474486308E-2</v>
      </c>
      <c r="O10" s="20">
        <f>N10*EXP(-N5-$E$9*N8)/(1-EXP(-O5-$E$9*O8))</f>
        <v>3.6953484345372316E-2</v>
      </c>
      <c r="P10" s="4" t="s">
        <v>5</v>
      </c>
    </row>
    <row r="11" spans="1:17" ht="15" customHeight="1" x14ac:dyDescent="0.35">
      <c r="C11" s="14" t="s">
        <v>19</v>
      </c>
      <c r="D11" s="14" t="s">
        <v>23</v>
      </c>
      <c r="E11">
        <f>SUMPRODUCT(E10:O10,E3:O3,E4:O4)</f>
        <v>0.19060029400935319</v>
      </c>
      <c r="P11" s="1" t="s">
        <v>86</v>
      </c>
    </row>
    <row r="12" spans="1:17" ht="15" customHeight="1" x14ac:dyDescent="0.25">
      <c r="C12" s="25" t="s">
        <v>52</v>
      </c>
      <c r="D12" s="25" t="s">
        <v>26</v>
      </c>
      <c r="E12">
        <f>E11/E7</f>
        <v>0.68446886198619394</v>
      </c>
      <c r="P12" s="4" t="s">
        <v>5</v>
      </c>
    </row>
    <row r="13" spans="1:17" ht="15" customHeight="1" x14ac:dyDescent="0.25">
      <c r="C13" s="14" t="s">
        <v>55</v>
      </c>
      <c r="D13" s="14" t="s">
        <v>54</v>
      </c>
      <c r="E13">
        <f>E10*E3*$E$9*E8*(1-EXP(-$E$9*E8-E5))/($E$9*E8+E5)</f>
        <v>4.433173728069964E-5</v>
      </c>
      <c r="F13">
        <f t="shared" ref="F13:O13" si="2">F10*F3*$E$9*F8*(1-EXP(-$E$9*F8-F5))/($E$9*F8+F5)</f>
        <v>1.083250896845982E-3</v>
      </c>
      <c r="G13">
        <f t="shared" si="2"/>
        <v>3.6502598019605152E-3</v>
      </c>
      <c r="H13">
        <f t="shared" si="2"/>
        <v>3.6666327602132513E-3</v>
      </c>
      <c r="I13">
        <f t="shared" si="2"/>
        <v>3.0015310989262001E-3</v>
      </c>
      <c r="J13">
        <f t="shared" si="2"/>
        <v>2.2464740751173017E-3</v>
      </c>
      <c r="K13">
        <f t="shared" si="2"/>
        <v>1.608196808347475E-3</v>
      </c>
      <c r="L13">
        <f t="shared" si="2"/>
        <v>1.1199830090050794E-3</v>
      </c>
      <c r="M13">
        <f t="shared" si="2"/>
        <v>7.6292746191224049E-4</v>
      </c>
      <c r="N13">
        <f t="shared" si="2"/>
        <v>5.1080803707729064E-4</v>
      </c>
      <c r="O13">
        <f t="shared" si="2"/>
        <v>9.5324645916366189E-4</v>
      </c>
      <c r="P13" t="s">
        <v>85</v>
      </c>
    </row>
    <row r="14" spans="1:17" ht="15" customHeight="1" x14ac:dyDescent="0.25">
      <c r="C14" s="14" t="s">
        <v>51</v>
      </c>
      <c r="D14" s="14" t="s">
        <v>53</v>
      </c>
      <c r="E14">
        <f>SUM(E13:O13)</f>
        <v>1.8647642145849699E-2</v>
      </c>
      <c r="P14" t="s">
        <v>85</v>
      </c>
    </row>
    <row r="15" spans="1:17" ht="15" customHeight="1" x14ac:dyDescent="0.25">
      <c r="Q15" t="s">
        <v>87</v>
      </c>
    </row>
    <row r="16" spans="1:17" ht="15" customHeight="1" x14ac:dyDescent="0.25">
      <c r="C16" s="9"/>
    </row>
    <row r="17" spans="1:14" ht="15" customHeight="1" x14ac:dyDescent="0.25">
      <c r="C17" s="9"/>
    </row>
    <row r="18" spans="1:14" ht="15" customHeight="1" x14ac:dyDescent="0.25">
      <c r="C18" s="54" t="s">
        <v>47</v>
      </c>
      <c r="F18" t="s">
        <v>50</v>
      </c>
    </row>
    <row r="19" spans="1:14" ht="15" customHeight="1" x14ac:dyDescent="0.25">
      <c r="A19" s="21" t="s">
        <v>57</v>
      </c>
      <c r="C19" s="54"/>
    </row>
    <row r="20" spans="1:14" ht="15" customHeight="1" x14ac:dyDescent="0.25">
      <c r="A20" s="39" t="s">
        <v>58</v>
      </c>
      <c r="B20" s="17">
        <v>40</v>
      </c>
      <c r="C20" t="s">
        <v>59</v>
      </c>
    </row>
    <row r="21" spans="1:14" ht="15" customHeight="1" x14ac:dyDescent="0.25">
      <c r="A21" s="38" t="s">
        <v>60</v>
      </c>
      <c r="B21" s="42">
        <f>VLOOKUP(L27,L30:M280,2,FALSE)</f>
        <v>0.28000000000000003</v>
      </c>
      <c r="C21" s="54" t="s">
        <v>49</v>
      </c>
    </row>
    <row r="22" spans="1:14" ht="15" customHeight="1" x14ac:dyDescent="0.25">
      <c r="A22" s="38"/>
      <c r="B22" s="56"/>
      <c r="C22" s="54"/>
    </row>
    <row r="23" spans="1:14" ht="15" customHeight="1" x14ac:dyDescent="0.25">
      <c r="C23" s="9"/>
    </row>
    <row r="24" spans="1:14" ht="15" customHeight="1" x14ac:dyDescent="0.25">
      <c r="C24" s="9"/>
    </row>
    <row r="25" spans="1:14" ht="15" customHeight="1" x14ac:dyDescent="0.25">
      <c r="C25" s="10"/>
      <c r="L25" s="51" t="s">
        <v>82</v>
      </c>
      <c r="M25" s="51"/>
      <c r="N25" s="51"/>
    </row>
    <row r="26" spans="1:14" ht="15" customHeight="1" x14ac:dyDescent="0.25">
      <c r="C26" s="10"/>
      <c r="L26" t="s">
        <v>62</v>
      </c>
    </row>
    <row r="27" spans="1:14" s="25" customFormat="1" ht="15" customHeight="1" x14ac:dyDescent="0.25">
      <c r="A27" s="22" t="s">
        <v>88</v>
      </c>
      <c r="B27" s="23"/>
      <c r="C27" s="24"/>
      <c r="D27"/>
      <c r="L27" s="25">
        <f>MIN(L30:L280)</f>
        <v>1.7042407753039002E-3</v>
      </c>
    </row>
    <row r="28" spans="1:14" ht="15" customHeight="1" x14ac:dyDescent="0.25">
      <c r="A28" s="35" t="s">
        <v>20</v>
      </c>
      <c r="B28" s="36" t="s">
        <v>26</v>
      </c>
      <c r="C28" s="37" t="s">
        <v>53</v>
      </c>
      <c r="E28" s="57"/>
      <c r="L28" t="s">
        <v>61</v>
      </c>
      <c r="M28" t="s">
        <v>20</v>
      </c>
    </row>
    <row r="29" spans="1:14" s="25" customFormat="1" ht="15" customHeight="1" x14ac:dyDescent="0.25">
      <c r="A29" s="26"/>
      <c r="B29" s="27">
        <f>E12</f>
        <v>0.68446886198619394</v>
      </c>
      <c r="C29" s="28">
        <f>E14</f>
        <v>1.8647642145849699E-2</v>
      </c>
      <c r="D29"/>
    </row>
    <row r="30" spans="1:14" ht="15" customHeight="1" x14ac:dyDescent="0.25">
      <c r="A30" s="29">
        <v>1E-4</v>
      </c>
      <c r="B30" s="30">
        <f t="dataTable" ref="B30:C280" dt2D="0" dtr="0" r1="B5"/>
        <v>0.99957921186715459</v>
      </c>
      <c r="C30" s="31">
        <v>2.6831243809218875E-5</v>
      </c>
      <c r="L30" s="25">
        <f t="shared" ref="L30:L93" si="3">ABS(B30-$B$20/100)</f>
        <v>0.59957921186715457</v>
      </c>
      <c r="M30" s="25">
        <f t="shared" ref="M30:M93" si="4">A30</f>
        <v>1E-4</v>
      </c>
    </row>
    <row r="31" spans="1:14" ht="15" customHeight="1" x14ac:dyDescent="0.25">
      <c r="A31" s="29">
        <v>0.01</v>
      </c>
      <c r="B31" s="30">
        <v>0.95923692764839574</v>
      </c>
      <c r="C31" s="31">
        <v>2.5782733080532043E-3</v>
      </c>
      <c r="L31" s="25">
        <f t="shared" si="3"/>
        <v>0.55923692764839572</v>
      </c>
      <c r="M31" s="25">
        <f t="shared" si="4"/>
        <v>0.01</v>
      </c>
    </row>
    <row r="32" spans="1:14" ht="15" customHeight="1" x14ac:dyDescent="0.25">
      <c r="A32" s="29">
        <v>0.02</v>
      </c>
      <c r="B32" s="30">
        <v>0.92098392015969677</v>
      </c>
      <c r="C32" s="31">
        <v>4.9577543154900811E-3</v>
      </c>
      <c r="L32" s="25">
        <f t="shared" si="3"/>
        <v>0.52098392015969675</v>
      </c>
      <c r="M32" s="25">
        <f t="shared" si="4"/>
        <v>0.02</v>
      </c>
    </row>
    <row r="33" spans="1:13" ht="15" customHeight="1" x14ac:dyDescent="0.25">
      <c r="A33" s="29">
        <v>0.03</v>
      </c>
      <c r="B33" s="30">
        <v>0.8850352768045644</v>
      </c>
      <c r="C33" s="31">
        <v>7.1564693829870487E-3</v>
      </c>
      <c r="L33" s="25">
        <f t="shared" si="3"/>
        <v>0.48503527680456437</v>
      </c>
      <c r="M33" s="25">
        <f t="shared" si="4"/>
        <v>0.03</v>
      </c>
    </row>
    <row r="34" spans="1:13" ht="15" customHeight="1" x14ac:dyDescent="0.25">
      <c r="A34" s="29">
        <v>0.04</v>
      </c>
      <c r="B34" s="30">
        <v>0.85120627324999176</v>
      </c>
      <c r="C34" s="31">
        <v>9.1905063333097767E-3</v>
      </c>
      <c r="L34" s="25">
        <f t="shared" si="3"/>
        <v>0.45120627324999174</v>
      </c>
      <c r="M34" s="25">
        <f t="shared" si="4"/>
        <v>0.04</v>
      </c>
    </row>
    <row r="35" spans="1:13" ht="15" customHeight="1" x14ac:dyDescent="0.25">
      <c r="A35" s="29">
        <v>0.05</v>
      </c>
      <c r="B35" s="30">
        <v>0.81933060785614542</v>
      </c>
      <c r="C35" s="31">
        <v>1.107425715962243E-2</v>
      </c>
      <c r="L35" s="25">
        <f t="shared" si="3"/>
        <v>0.4193306078561454</v>
      </c>
      <c r="M35" s="25">
        <f t="shared" si="4"/>
        <v>0.05</v>
      </c>
    </row>
    <row r="36" spans="1:13" ht="15" customHeight="1" x14ac:dyDescent="0.25">
      <c r="A36" s="29">
        <v>0.06</v>
      </c>
      <c r="B36" s="30">
        <v>0.78925820861960994</v>
      </c>
      <c r="C36" s="31">
        <v>1.2820625972301701E-2</v>
      </c>
      <c r="L36" s="25">
        <f t="shared" si="3"/>
        <v>0.38925820861960991</v>
      </c>
      <c r="M36" s="25">
        <f t="shared" si="4"/>
        <v>0.06</v>
      </c>
    </row>
    <row r="37" spans="1:13" ht="15" customHeight="1" x14ac:dyDescent="0.25">
      <c r="A37" s="29">
        <v>7.0000000000000007E-2</v>
      </c>
      <c r="B37" s="30">
        <v>0.76085334295682439</v>
      </c>
      <c r="C37" s="31">
        <v>1.4441207792607399E-2</v>
      </c>
      <c r="L37" s="25">
        <f t="shared" si="3"/>
        <v>0.36085334295682436</v>
      </c>
      <c r="M37" s="25">
        <f t="shared" si="4"/>
        <v>7.0000000000000007E-2</v>
      </c>
    </row>
    <row r="38" spans="1:13" ht="15" customHeight="1" x14ac:dyDescent="0.25">
      <c r="A38" s="29">
        <v>0.08</v>
      </c>
      <c r="B38" s="30">
        <v>0.7339929828557693</v>
      </c>
      <c r="C38" s="31">
        <v>1.5946442796102703E-2</v>
      </c>
      <c r="L38" s="25">
        <f t="shared" si="3"/>
        <v>0.33399298285576928</v>
      </c>
      <c r="M38" s="25">
        <f t="shared" si="4"/>
        <v>0.08</v>
      </c>
    </row>
    <row r="39" spans="1:13" ht="15" customHeight="1" x14ac:dyDescent="0.25">
      <c r="A39" s="29">
        <v>0.09</v>
      </c>
      <c r="B39" s="30">
        <v>0.70856538622649956</v>
      </c>
      <c r="C39" s="31">
        <v>1.7345749801153023E-2</v>
      </c>
      <c r="L39" s="25">
        <f t="shared" si="3"/>
        <v>0.30856538622649954</v>
      </c>
      <c r="M39" s="25">
        <f t="shared" si="4"/>
        <v>0.09</v>
      </c>
    </row>
    <row r="40" spans="1:13" ht="15" customHeight="1" x14ac:dyDescent="0.25">
      <c r="A40" s="29">
        <v>0.1</v>
      </c>
      <c r="B40" s="30">
        <v>0.68446886198619394</v>
      </c>
      <c r="C40" s="31">
        <v>1.8647642145849699E-2</v>
      </c>
      <c r="L40" s="25">
        <f t="shared" si="3"/>
        <v>0.28446886198619392</v>
      </c>
      <c r="M40" s="25">
        <f t="shared" si="4"/>
        <v>0.1</v>
      </c>
    </row>
    <row r="41" spans="1:13" ht="15" customHeight="1" x14ac:dyDescent="0.25">
      <c r="A41" s="29">
        <v>0.11</v>
      </c>
      <c r="B41" s="30">
        <v>0.66161069185628396</v>
      </c>
      <c r="C41" s="31">
        <v>1.9859828567731084E-2</v>
      </c>
      <c r="L41" s="25">
        <f t="shared" si="3"/>
        <v>0.26161069185628394</v>
      </c>
      <c r="M41" s="25">
        <f t="shared" si="4"/>
        <v>0.11</v>
      </c>
    </row>
    <row r="42" spans="1:13" ht="15" customHeight="1" x14ac:dyDescent="0.25">
      <c r="A42" s="29">
        <v>0.12</v>
      </c>
      <c r="B42" s="30">
        <v>0.63990618628682094</v>
      </c>
      <c r="C42" s="31">
        <v>2.0989301269480565E-2</v>
      </c>
      <c r="L42" s="25">
        <f t="shared" si="3"/>
        <v>0.23990618628682092</v>
      </c>
      <c r="M42" s="25">
        <f t="shared" si="4"/>
        <v>0.12</v>
      </c>
    </row>
    <row r="43" spans="1:13" ht="15" customHeight="1" x14ac:dyDescent="0.25">
      <c r="A43" s="29">
        <v>0.13</v>
      </c>
      <c r="B43" s="30">
        <v>0.61927785555832326</v>
      </c>
      <c r="C43" s="31">
        <v>2.2042413000715765E-2</v>
      </c>
      <c r="L43" s="25">
        <f t="shared" si="3"/>
        <v>0.21927785555832324</v>
      </c>
      <c r="M43" s="25">
        <f t="shared" si="4"/>
        <v>0.13</v>
      </c>
    </row>
    <row r="44" spans="1:13" ht="15" customHeight="1" x14ac:dyDescent="0.25">
      <c r="A44" s="29">
        <v>0.14000000000000001</v>
      </c>
      <c r="B44" s="30">
        <v>0.59965468010187983</v>
      </c>
      <c r="C44" s="31">
        <v>2.302494469564919E-2</v>
      </c>
      <c r="L44" s="25">
        <f t="shared" si="3"/>
        <v>0.19965468010187981</v>
      </c>
      <c r="M44" s="25">
        <f t="shared" si="4"/>
        <v>0.14000000000000001</v>
      </c>
    </row>
    <row r="45" spans="1:13" ht="15" customHeight="1" x14ac:dyDescent="0.25">
      <c r="A45" s="29">
        <v>0.15</v>
      </c>
      <c r="B45" s="30">
        <v>0.58097146654880893</v>
      </c>
      <c r="C45" s="31">
        <v>2.3942164966673545E-2</v>
      </c>
      <c r="L45" s="25">
        <f t="shared" si="3"/>
        <v>0.18097146654880891</v>
      </c>
      <c r="M45" s="25">
        <f t="shared" si="4"/>
        <v>0.15</v>
      </c>
    </row>
    <row r="46" spans="1:13" ht="15" customHeight="1" x14ac:dyDescent="0.25">
      <c r="A46" s="29">
        <v>0.16</v>
      </c>
      <c r="B46" s="30">
        <v>0.56316827807014747</v>
      </c>
      <c r="C46" s="31">
        <v>2.4798882555206347E-2</v>
      </c>
      <c r="L46" s="25">
        <f t="shared" si="3"/>
        <v>0.16316827807014744</v>
      </c>
      <c r="M46" s="25">
        <f t="shared" si="4"/>
        <v>0.16</v>
      </c>
    </row>
    <row r="47" spans="1:13" ht="15" customHeight="1" x14ac:dyDescent="0.25">
      <c r="A47" s="29">
        <v>0.17</v>
      </c>
      <c r="B47" s="30">
        <v>0.54618992927210608</v>
      </c>
      <c r="C47" s="31">
        <v>2.5599492675784891E-2</v>
      </c>
      <c r="L47" s="25">
        <f t="shared" si="3"/>
        <v>0.14618992927210606</v>
      </c>
      <c r="M47" s="25">
        <f t="shared" si="4"/>
        <v>0.17</v>
      </c>
    </row>
    <row r="48" spans="1:13" ht="15" customHeight="1" x14ac:dyDescent="0.25">
      <c r="A48" s="29">
        <v>0.18</v>
      </c>
      <c r="B48" s="30">
        <v>0.529985537338996</v>
      </c>
      <c r="C48" s="31">
        <v>2.6348018051333116E-2</v>
      </c>
      <c r="L48" s="25">
        <f t="shared" si="3"/>
        <v>0.12998553733899598</v>
      </c>
      <c r="M48" s="25">
        <f t="shared" si="4"/>
        <v>0.18</v>
      </c>
    </row>
    <row r="49" spans="1:13" ht="15" customHeight="1" x14ac:dyDescent="0.25">
      <c r="A49" s="29">
        <v>0.19</v>
      </c>
      <c r="B49" s="30">
        <v>0.51450812231029308</v>
      </c>
      <c r="C49" s="31">
        <v>2.7048145321829226E-2</v>
      </c>
      <c r="L49" s="25">
        <f t="shared" si="3"/>
        <v>0.11450812231029306</v>
      </c>
      <c r="M49" s="25">
        <f t="shared" si="4"/>
        <v>0.19</v>
      </c>
    </row>
    <row r="50" spans="1:13" ht="15" customHeight="1" x14ac:dyDescent="0.25">
      <c r="A50" s="29">
        <v>0.2</v>
      </c>
      <c r="B50" s="30">
        <v>0.49971425038404899</v>
      </c>
      <c r="C50" s="31">
        <v>2.7703257411339003E-2</v>
      </c>
      <c r="L50" s="25">
        <f t="shared" si="3"/>
        <v>9.9714250384048964E-2</v>
      </c>
      <c r="M50" s="25">
        <f t="shared" si="4"/>
        <v>0.2</v>
      </c>
    </row>
    <row r="51" spans="1:13" ht="15" customHeight="1" x14ac:dyDescent="0.25">
      <c r="A51" s="29">
        <v>0.21</v>
      </c>
      <c r="B51" s="30">
        <v>0.48556371498754353</v>
      </c>
      <c r="C51" s="31">
        <v>2.831646235634885E-2</v>
      </c>
      <c r="L51" s="25">
        <f t="shared" si="3"/>
        <v>8.5563714987543504E-2</v>
      </c>
      <c r="M51" s="25">
        <f t="shared" si="4"/>
        <v>0.21</v>
      </c>
    </row>
    <row r="52" spans="1:13" ht="15" customHeight="1" x14ac:dyDescent="0.25">
      <c r="A52" s="29">
        <v>0.22</v>
      </c>
      <c r="B52" s="30">
        <v>0.47201925107466908</v>
      </c>
      <c r="C52" s="31">
        <v>2.8890619028937085E-2</v>
      </c>
      <c r="L52" s="25">
        <f t="shared" si="3"/>
        <v>7.2019251074669055E-2</v>
      </c>
      <c r="M52" s="25">
        <f t="shared" si="4"/>
        <v>0.22</v>
      </c>
    </row>
    <row r="53" spans="1:13" ht="15" customHeight="1" x14ac:dyDescent="0.25">
      <c r="A53" s="29">
        <v>0.23</v>
      </c>
      <c r="B53" s="30">
        <v>0.45904627871976766</v>
      </c>
      <c r="C53" s="31">
        <v>2.9428360129442985E-2</v>
      </c>
      <c r="L53" s="25">
        <f t="shared" si="3"/>
        <v>5.9046278719767642E-2</v>
      </c>
      <c r="M53" s="25">
        <f t="shared" si="4"/>
        <v>0.23</v>
      </c>
    </row>
    <row r="54" spans="1:13" ht="15" customHeight="1" x14ac:dyDescent="0.25">
      <c r="A54" s="29">
        <v>0.24</v>
      </c>
      <c r="B54" s="30">
        <v>0.4466126725973425</v>
      </c>
      <c r="C54" s="31">
        <v>2.9932112773194745E-2</v>
      </c>
      <c r="L54" s="25">
        <f t="shared" si="3"/>
        <v>4.6612672597342475E-2</v>
      </c>
      <c r="M54" s="25">
        <f t="shared" si="4"/>
        <v>0.24</v>
      </c>
    </row>
    <row r="55" spans="1:13" ht="15" customHeight="1" x14ac:dyDescent="0.25">
      <c r="A55" s="29">
        <v>0.25</v>
      </c>
      <c r="B55" s="30">
        <v>0.43468855438093951</v>
      </c>
      <c r="C55" s="31">
        <v>3.0404116953115356E-2</v>
      </c>
      <c r="L55" s="25">
        <f t="shared" si="3"/>
        <v>3.4688554380939485E-2</v>
      </c>
      <c r="M55" s="25">
        <f t="shared" si="4"/>
        <v>0.25</v>
      </c>
    </row>
    <row r="56" spans="1:13" ht="15" customHeight="1" x14ac:dyDescent="0.25">
      <c r="A56" s="29">
        <v>0.26</v>
      </c>
      <c r="B56" s="30">
        <v>0.42324610547457209</v>
      </c>
      <c r="C56" s="31">
        <v>3.0846442123461156E-2</v>
      </c>
      <c r="L56" s="25">
        <f t="shared" si="3"/>
        <v>2.3246105474572065E-2</v>
      </c>
      <c r="M56" s="25">
        <f t="shared" si="4"/>
        <v>0.26</v>
      </c>
    </row>
    <row r="57" spans="1:13" ht="15" customHeight="1" x14ac:dyDescent="0.25">
      <c r="A57" s="29">
        <v>0.27</v>
      </c>
      <c r="B57" s="30">
        <v>0.41225939781640808</v>
      </c>
      <c r="C57" s="31">
        <v>3.1261002118592375E-2</v>
      </c>
      <c r="L57" s="25">
        <f t="shared" si="3"/>
        <v>1.2259397816408057E-2</v>
      </c>
      <c r="M57" s="25">
        <f t="shared" si="4"/>
        <v>0.27</v>
      </c>
    </row>
    <row r="58" spans="1:13" ht="15" customHeight="1" x14ac:dyDescent="0.25">
      <c r="A58" s="29">
        <v>0.28000000000000003</v>
      </c>
      <c r="B58" s="30">
        <v>0.40170424077530392</v>
      </c>
      <c r="C58" s="31">
        <v>3.1649568593716891E-2</v>
      </c>
      <c r="L58" s="25">
        <f t="shared" si="3"/>
        <v>1.7042407753039002E-3</v>
      </c>
      <c r="M58" s="25">
        <f t="shared" si="4"/>
        <v>0.28000000000000003</v>
      </c>
    </row>
    <row r="59" spans="1:13" ht="15" customHeight="1" x14ac:dyDescent="0.25">
      <c r="A59" s="29">
        <v>0.28999999999999998</v>
      </c>
      <c r="B59" s="30">
        <v>0.39155804240312425</v>
      </c>
      <c r="C59" s="31">
        <v>3.2013783151319856E-2</v>
      </c>
      <c r="L59" s="25">
        <f t="shared" si="3"/>
        <v>8.441957596875771E-3</v>
      </c>
      <c r="M59" s="25">
        <f t="shared" si="4"/>
        <v>0.28999999999999998</v>
      </c>
    </row>
    <row r="60" spans="1:13" ht="15" customHeight="1" x14ac:dyDescent="0.25">
      <c r="A60" s="29">
        <v>0.3</v>
      </c>
      <c r="B60" s="30">
        <v>0.38179968351535931</v>
      </c>
      <c r="C60" s="31">
        <v>3.2355168296928388E-2</v>
      </c>
      <c r="L60" s="25">
        <f t="shared" si="3"/>
        <v>1.8200316484640711E-2</v>
      </c>
      <c r="M60" s="25">
        <f t="shared" si="4"/>
        <v>0.3</v>
      </c>
    </row>
    <row r="61" spans="1:13" ht="15" customHeight="1" x14ac:dyDescent="0.25">
      <c r="A61" s="29">
        <v>0.31</v>
      </c>
      <c r="B61" s="30">
        <v>0.37240940325421801</v>
      </c>
      <c r="C61" s="31">
        <v>3.2675137350494272E-2</v>
      </c>
      <c r="L61" s="25">
        <f t="shared" si="3"/>
        <v>2.7590596745782014E-2</v>
      </c>
      <c r="M61" s="25">
        <f t="shared" si="4"/>
        <v>0.31</v>
      </c>
    </row>
    <row r="62" spans="1:13" ht="15" customHeight="1" x14ac:dyDescent="0.25">
      <c r="A62" s="29">
        <v>0.32</v>
      </c>
      <c r="B62" s="30">
        <v>0.36336869494617685</v>
      </c>
      <c r="C62" s="31">
        <v>3.2975003424613757E-2</v>
      </c>
      <c r="L62" s="25">
        <f t="shared" si="3"/>
        <v>3.6631305053823171E-2</v>
      </c>
      <c r="M62" s="25">
        <f t="shared" si="4"/>
        <v>0.32</v>
      </c>
    </row>
    <row r="63" spans="1:13" ht="15" customHeight="1" x14ac:dyDescent="0.25">
      <c r="A63" s="29">
        <v>0.33</v>
      </c>
      <c r="B63" s="30">
        <v>0.35466021120334157</v>
      </c>
      <c r="C63" s="31">
        <v>3.3255987567709033E-2</v>
      </c>
      <c r="L63" s="25">
        <f t="shared" si="3"/>
        <v>4.5339788796658453E-2</v>
      </c>
      <c r="M63" s="25">
        <f t="shared" si="4"/>
        <v>0.33</v>
      </c>
    </row>
    <row r="64" spans="1:13" ht="15" customHeight="1" x14ac:dyDescent="0.25">
      <c r="A64" s="29">
        <v>0.34</v>
      </c>
      <c r="B64" s="30">
        <v>0.34626767733781055</v>
      </c>
      <c r="C64" s="31">
        <v>3.3519226158892031E-2</v>
      </c>
      <c r="L64" s="25">
        <f t="shared" si="3"/>
        <v>5.3732322662189469E-2</v>
      </c>
      <c r="M64" s="25">
        <f t="shared" si="4"/>
        <v>0.34</v>
      </c>
    </row>
    <row r="65" spans="1:13" ht="15" customHeight="1" x14ac:dyDescent="0.25">
      <c r="A65" s="29">
        <v>0.35</v>
      </c>
      <c r="B65" s="30">
        <v>0.33817581226297005</v>
      </c>
      <c r="C65" s="31">
        <v>3.3765777631279394E-2</v>
      </c>
      <c r="L65" s="25">
        <f t="shared" si="3"/>
        <v>6.1824187737029968E-2</v>
      </c>
      <c r="M65" s="25">
        <f t="shared" si="4"/>
        <v>0.35</v>
      </c>
    </row>
    <row r="66" spans="1:13" ht="15" customHeight="1" x14ac:dyDescent="0.25">
      <c r="A66" s="29">
        <v>0.36</v>
      </c>
      <c r="B66" s="30">
        <v>0.33037025614737897</v>
      </c>
      <c r="C66" s="31">
        <v>3.399662859182636E-2</v>
      </c>
      <c r="L66" s="25">
        <f t="shared" si="3"/>
        <v>6.9629743852621051E-2</v>
      </c>
      <c r="M66" s="25">
        <f t="shared" si="4"/>
        <v>0.36</v>
      </c>
    </row>
    <row r="67" spans="1:13" ht="15" customHeight="1" x14ac:dyDescent="0.25">
      <c r="A67" s="29">
        <v>0.37</v>
      </c>
      <c r="B67" s="30">
        <v>0.32283750416738044</v>
      </c>
      <c r="C67" s="31">
        <v>3.4212699398127683E-2</v>
      </c>
      <c r="L67" s="25">
        <f t="shared" si="3"/>
        <v>7.7162495832619582E-2</v>
      </c>
      <c r="M67" s="25">
        <f t="shared" si="4"/>
        <v>0.37</v>
      </c>
    </row>
    <row r="68" spans="1:13" ht="15" customHeight="1" x14ac:dyDescent="0.25">
      <c r="A68" s="29">
        <v>0.38</v>
      </c>
      <c r="B68" s="30">
        <v>0.31556484577532051</v>
      </c>
      <c r="C68" s="31">
        <v>3.4414849245946968E-2</v>
      </c>
      <c r="L68" s="25">
        <f t="shared" si="3"/>
        <v>8.4435154224679509E-2</v>
      </c>
      <c r="M68" s="25">
        <f t="shared" si="4"/>
        <v>0.38</v>
      </c>
    </row>
    <row r="69" spans="1:13" ht="15" customHeight="1" x14ac:dyDescent="0.25">
      <c r="A69" s="29">
        <v>0.39</v>
      </c>
      <c r="B69" s="30">
        <v>0.30854030896254203</v>
      </c>
      <c r="C69" s="31">
        <v>3.4603880815359998E-2</v>
      </c>
      <c r="L69" s="25">
        <f t="shared" si="3"/>
        <v>9.1459691037457991E-2</v>
      </c>
      <c r="M69" s="25">
        <f t="shared" si="4"/>
        <v>0.39</v>
      </c>
    </row>
    <row r="70" spans="1:13" ht="15" customHeight="1" x14ac:dyDescent="0.25">
      <c r="A70" s="29">
        <v>0.4</v>
      </c>
      <c r="B70" s="30">
        <v>0.30175260905127022</v>
      </c>
      <c r="C70" s="31">
        <v>3.4780544518223849E-2</v>
      </c>
      <c r="L70" s="25">
        <f t="shared" si="3"/>
        <v>9.8247390948729807E-2</v>
      </c>
      <c r="M70" s="25">
        <f t="shared" si="4"/>
        <v>0.4</v>
      </c>
    </row>
    <row r="71" spans="1:13" ht="15" customHeight="1" x14ac:dyDescent="0.25">
      <c r="A71" s="29">
        <v>0.41</v>
      </c>
      <c r="B71" s="30">
        <v>0.29519110159804574</v>
      </c>
      <c r="C71" s="31">
        <v>3.4945542385122895E-2</v>
      </c>
      <c r="L71" s="25">
        <f t="shared" si="3"/>
        <v>0.10480889840195429</v>
      </c>
      <c r="M71" s="25">
        <f t="shared" si="4"/>
        <v>0.41</v>
      </c>
    </row>
    <row r="72" spans="1:13" ht="15" customHeight="1" x14ac:dyDescent="0.25">
      <c r="A72" s="29">
        <v>0.42</v>
      </c>
      <c r="B72" s="30">
        <v>0.28884573903432609</v>
      </c>
      <c r="C72" s="31">
        <v>3.509953162591363E-2</v>
      </c>
      <c r="L72" s="25">
        <f t="shared" si="3"/>
        <v>0.11115426096567393</v>
      </c>
      <c r="M72" s="25">
        <f t="shared" si="4"/>
        <v>0.42</v>
      </c>
    </row>
    <row r="73" spans="1:13" ht="15" customHeight="1" x14ac:dyDescent="0.25">
      <c r="A73" s="29">
        <v>0.43</v>
      </c>
      <c r="B73" s="30">
        <v>0.28270703070795095</v>
      </c>
      <c r="C73" s="31">
        <v>3.5243127894427746E-2</v>
      </c>
      <c r="L73" s="25">
        <f t="shared" si="3"/>
        <v>0.11729296929204908</v>
      </c>
      <c r="M73" s="25">
        <f t="shared" si="4"/>
        <v>0.43</v>
      </c>
    </row>
    <row r="74" spans="1:13" ht="15" customHeight="1" x14ac:dyDescent="0.25">
      <c r="A74" s="29">
        <v>0.44</v>
      </c>
      <c r="B74" s="30">
        <v>0.27676600602296936</v>
      </c>
      <c r="C74" s="31">
        <v>3.5376908284736761E-2</v>
      </c>
      <c r="L74" s="25">
        <f t="shared" si="3"/>
        <v>0.12323399397703066</v>
      </c>
      <c r="M74" s="25">
        <f t="shared" si="4"/>
        <v>0.44</v>
      </c>
    </row>
    <row r="75" spans="1:13" ht="15" customHeight="1" x14ac:dyDescent="0.25">
      <c r="A75" s="29">
        <v>0.45</v>
      </c>
      <c r="B75" s="30">
        <v>0.2710141804053825</v>
      </c>
      <c r="C75" s="31">
        <v>3.5501414083581637E-2</v>
      </c>
      <c r="L75" s="25">
        <f t="shared" si="3"/>
        <v>0.12898581959461752</v>
      </c>
      <c r="M75" s="25">
        <f t="shared" si="4"/>
        <v>0.45</v>
      </c>
    </row>
    <row r="76" spans="1:13" ht="15" customHeight="1" x14ac:dyDescent="0.25">
      <c r="A76" s="29">
        <v>0.46</v>
      </c>
      <c r="B76" s="30">
        <v>0.26544352384910719</v>
      </c>
      <c r="C76" s="31">
        <v>3.5617153301084704E-2</v>
      </c>
      <c r="L76" s="25">
        <f t="shared" si="3"/>
        <v>0.13455647615089283</v>
      </c>
      <c r="M76" s="25">
        <f t="shared" si="4"/>
        <v>0.46</v>
      </c>
    </row>
    <row r="77" spans="1:13" ht="15" customHeight="1" x14ac:dyDescent="0.25">
      <c r="A77" s="29">
        <v>0.47</v>
      </c>
      <c r="B77" s="30">
        <v>0.26004643182032355</v>
      </c>
      <c r="C77" s="31">
        <v>3.5724602999648344E-2</v>
      </c>
      <c r="L77" s="25">
        <f t="shared" si="3"/>
        <v>0.13995356817967647</v>
      </c>
      <c r="M77" s="25">
        <f t="shared" si="4"/>
        <v>0.47</v>
      </c>
    </row>
    <row r="78" spans="1:13" ht="15" customHeight="1" x14ac:dyDescent="0.25">
      <c r="A78" s="29">
        <v>0.48</v>
      </c>
      <c r="B78" s="30">
        <v>0.25481569831967105</v>
      </c>
      <c r="C78" s="31">
        <v>3.5824211438975503E-2</v>
      </c>
      <c r="L78" s="25">
        <f t="shared" si="3"/>
        <v>0.14518430168032898</v>
      </c>
      <c r="M78" s="25">
        <f t="shared" si="4"/>
        <v>0.48</v>
      </c>
    </row>
    <row r="79" spans="1:13" ht="15" customHeight="1" x14ac:dyDescent="0.25">
      <c r="A79" s="29">
        <v>0.49</v>
      </c>
      <c r="B79" s="30">
        <v>0.24974449092079545</v>
      </c>
      <c r="C79" s="31">
        <v>3.5916400053389773E-2</v>
      </c>
      <c r="L79" s="25">
        <f t="shared" si="3"/>
        <v>0.15025550907920457</v>
      </c>
      <c r="M79" s="25">
        <f t="shared" si="4"/>
        <v>0.49</v>
      </c>
    </row>
    <row r="80" spans="1:13" ht="15" customHeight="1" x14ac:dyDescent="0.25">
      <c r="A80" s="29">
        <v>0.5</v>
      </c>
      <c r="B80" s="30">
        <v>0.24482632762079964</v>
      </c>
      <c r="C80" s="31">
        <v>3.6001565276063602E-2</v>
      </c>
      <c r="L80" s="25">
        <f t="shared" si="3"/>
        <v>0.15517367237920038</v>
      </c>
      <c r="M80" s="25">
        <f t="shared" si="4"/>
        <v>0.5</v>
      </c>
    </row>
    <row r="81" spans="1:13" ht="15" customHeight="1" x14ac:dyDescent="0.25">
      <c r="A81" s="29">
        <v>0.51</v>
      </c>
      <c r="B81" s="30">
        <v>0.2400550553534288</v>
      </c>
      <c r="C81" s="31">
        <v>3.6080080223361281E-2</v>
      </c>
      <c r="L81" s="25">
        <f t="shared" si="3"/>
        <v>0.15994494464657122</v>
      </c>
      <c r="M81" s="25">
        <f t="shared" si="4"/>
        <v>0.51</v>
      </c>
    </row>
    <row r="82" spans="1:13" ht="15" customHeight="1" x14ac:dyDescent="0.25">
      <c r="A82" s="29">
        <v>0.52</v>
      </c>
      <c r="B82" s="30">
        <v>0.23542483002953274</v>
      </c>
      <c r="C82" s="31">
        <v>3.6152296251246906E-2</v>
      </c>
      <c r="L82" s="25">
        <f t="shared" si="3"/>
        <v>0.16457516997046728</v>
      </c>
      <c r="M82" s="25">
        <f t="shared" si="4"/>
        <v>0.52</v>
      </c>
    </row>
    <row r="83" spans="1:13" ht="15" customHeight="1" x14ac:dyDescent="0.25">
      <c r="A83" s="29">
        <v>0.53</v>
      </c>
      <c r="B83" s="30">
        <v>0.23093009798167222</v>
      </c>
      <c r="C83" s="31">
        <v>3.6218544394583239E-2</v>
      </c>
      <c r="L83" s="25">
        <f t="shared" si="3"/>
        <v>0.16906990201832781</v>
      </c>
      <c r="M83" s="25">
        <f t="shared" si="4"/>
        <v>0.53</v>
      </c>
    </row>
    <row r="84" spans="1:13" ht="15" customHeight="1" x14ac:dyDescent="0.25">
      <c r="A84" s="29">
        <v>0.54</v>
      </c>
      <c r="B84" s="30">
        <v>0.22656557870081895</v>
      </c>
      <c r="C84" s="31">
        <v>3.627913669913755E-2</v>
      </c>
      <c r="L84" s="25">
        <f t="shared" si="3"/>
        <v>0.17343442129918107</v>
      </c>
      <c r="M84" s="25">
        <f t="shared" si="4"/>
        <v>0.54</v>
      </c>
    </row>
    <row r="85" spans="1:13" ht="15" customHeight="1" x14ac:dyDescent="0.25">
      <c r="A85" s="29">
        <v>0.55000000000000004</v>
      </c>
      <c r="B85" s="30">
        <v>0.22232624876308388</v>
      </c>
      <c r="C85" s="31">
        <v>3.6334367455203589E-2</v>
      </c>
      <c r="L85" s="25">
        <f t="shared" si="3"/>
        <v>0.17767375123691614</v>
      </c>
      <c r="M85" s="25">
        <f t="shared" si="4"/>
        <v>0.55000000000000004</v>
      </c>
    </row>
    <row r="86" spans="1:13" ht="15" customHeight="1" x14ac:dyDescent="0.25">
      <c r="A86" s="29">
        <v>0.56000000000000005</v>
      </c>
      <c r="B86" s="30">
        <v>0.21820732685340971</v>
      </c>
      <c r="C86" s="31">
        <v>3.6384514340934739E-2</v>
      </c>
      <c r="L86" s="25">
        <f t="shared" si="3"/>
        <v>0.18179267314659031</v>
      </c>
      <c r="M86" s="25">
        <f t="shared" si="4"/>
        <v>0.56000000000000005</v>
      </c>
    </row>
    <row r="87" spans="1:13" ht="15" customHeight="1" x14ac:dyDescent="0.25">
      <c r="A87" s="29">
        <v>0.56999999999999995</v>
      </c>
      <c r="B87" s="30">
        <v>0.2142042598012916</v>
      </c>
      <c r="C87" s="31">
        <v>3.6429839482748388E-2</v>
      </c>
      <c r="L87" s="25">
        <f t="shared" si="3"/>
        <v>0.18579574019870843</v>
      </c>
      <c r="M87" s="25">
        <f t="shared" si="4"/>
        <v>0.56999999999999995</v>
      </c>
    </row>
    <row r="88" spans="1:13" ht="15" customHeight="1" x14ac:dyDescent="0.25">
      <c r="A88" s="29">
        <v>0.57999999999999996</v>
      </c>
      <c r="B88" s="30">
        <v>0.21031270955093084</v>
      </c>
      <c r="C88" s="31">
        <v>3.6470590439501113E-2</v>
      </c>
      <c r="L88" s="25">
        <f t="shared" si="3"/>
        <v>0.18968729044906918</v>
      </c>
      <c r="M88" s="25">
        <f t="shared" si="4"/>
        <v>0.57999999999999996</v>
      </c>
    </row>
    <row r="89" spans="1:13" ht="15" customHeight="1" x14ac:dyDescent="0.25">
      <c r="A89" s="29">
        <v>0.59</v>
      </c>
      <c r="B89" s="30">
        <v>0.20652854099487075</v>
      </c>
      <c r="C89" s="31">
        <v>3.6507001116538318E-2</v>
      </c>
      <c r="L89" s="25">
        <f t="shared" si="3"/>
        <v>0.19347145900512927</v>
      </c>
      <c r="M89" s="25">
        <f t="shared" si="4"/>
        <v>0.59</v>
      </c>
    </row>
    <row r="90" spans="1:13" ht="15" customHeight="1" x14ac:dyDescent="0.25">
      <c r="A90" s="29">
        <v>0.6</v>
      </c>
      <c r="B90" s="30">
        <v>0.20284781060617973</v>
      </c>
      <c r="C90" s="31">
        <v>3.6539292615182649E-2</v>
      </c>
      <c r="L90" s="25">
        <f t="shared" si="3"/>
        <v>0.19715218939382029</v>
      </c>
      <c r="M90" s="25">
        <f t="shared" si="4"/>
        <v>0.6</v>
      </c>
    </row>
    <row r="91" spans="1:13" ht="15" customHeight="1" x14ac:dyDescent="0.25">
      <c r="A91" s="29">
        <v>0.61</v>
      </c>
      <c r="B91" s="30">
        <v>0.19926675580969788</v>
      </c>
      <c r="C91" s="31">
        <v>3.65676740227402E-2</v>
      </c>
      <c r="L91" s="25">
        <f t="shared" si="3"/>
        <v>0.20073324419030214</v>
      </c>
      <c r="M91" s="25">
        <f t="shared" si="4"/>
        <v>0.61</v>
      </c>
    </row>
    <row r="92" spans="1:13" ht="15" customHeight="1" x14ac:dyDescent="0.25">
      <c r="A92" s="29">
        <v>0.62</v>
      </c>
      <c r="B92" s="30">
        <v>0.1957817850378121</v>
      </c>
      <c r="C92" s="31">
        <v>3.659234314766216E-2</v>
      </c>
      <c r="L92" s="25">
        <f t="shared" si="3"/>
        <v>0.20421821496218792</v>
      </c>
      <c r="M92" s="25">
        <f t="shared" si="4"/>
        <v>0.62</v>
      </c>
    </row>
    <row r="93" spans="1:13" ht="15" customHeight="1" x14ac:dyDescent="0.25">
      <c r="A93" s="29">
        <v>0.63</v>
      </c>
      <c r="B93" s="30">
        <v>0.19238946842071836</v>
      </c>
      <c r="C93" s="31">
        <v>3.6613487204102325E-2</v>
      </c>
      <c r="L93" s="25">
        <f t="shared" si="3"/>
        <v>0.20761053157928167</v>
      </c>
      <c r="M93" s="25">
        <f t="shared" si="4"/>
        <v>0.63</v>
      </c>
    </row>
    <row r="94" spans="1:13" ht="15" customHeight="1" x14ac:dyDescent="0.25">
      <c r="A94" s="29">
        <v>0.64</v>
      </c>
      <c r="B94" s="30">
        <v>0.18908652906521431</v>
      </c>
      <c r="C94" s="31">
        <v>3.6631283449749211E-2</v>
      </c>
      <c r="L94" s="25">
        <f t="shared" ref="L94:L157" si="5">ABS(B94-$B$20/100)</f>
        <v>0.21091347093478571</v>
      </c>
      <c r="M94" s="25">
        <f t="shared" ref="M94:M157" si="6">A94</f>
        <v>0.64</v>
      </c>
    </row>
    <row r="95" spans="1:13" ht="15" customHeight="1" x14ac:dyDescent="0.25">
      <c r="A95" s="29">
        <v>0.65</v>
      </c>
      <c r="B95" s="30">
        <v>0.18586983487978351</v>
      </c>
      <c r="C95" s="31">
        <v>3.6645899780483548E-2</v>
      </c>
      <c r="L95" s="25">
        <f t="shared" si="5"/>
        <v>0.21413016512021651</v>
      </c>
      <c r="M95" s="25">
        <f t="shared" si="6"/>
        <v>0.65</v>
      </c>
    </row>
    <row r="96" spans="1:13" ht="15" customHeight="1" x14ac:dyDescent="0.25">
      <c r="A96" s="29">
        <v>0.66</v>
      </c>
      <c r="B96" s="30">
        <v>0.1827363909071173</v>
      </c>
      <c r="C96" s="31">
        <v>3.6657495285115846E-2</v>
      </c>
      <c r="L96" s="25">
        <f t="shared" si="5"/>
        <v>0.21726360909288273</v>
      </c>
      <c r="M96" s="25">
        <f t="shared" si="6"/>
        <v>0.66</v>
      </c>
    </row>
    <row r="97" spans="1:13" ht="15" customHeight="1" x14ac:dyDescent="0.25">
      <c r="A97" s="29">
        <v>0.67</v>
      </c>
      <c r="B97" s="30">
        <v>0.17968333212830681</v>
      </c>
      <c r="C97" s="31">
        <v>3.6666220763187027E-2</v>
      </c>
      <c r="L97" s="25">
        <f t="shared" si="5"/>
        <v>0.22031666787169321</v>
      </c>
      <c r="M97" s="25">
        <f t="shared" si="6"/>
        <v>0.67</v>
      </c>
    </row>
    <row r="98" spans="1:13" ht="15" customHeight="1" x14ac:dyDescent="0.25">
      <c r="A98" s="29">
        <v>0.68</v>
      </c>
      <c r="B98" s="30">
        <v>0.17670791670575484</v>
      </c>
      <c r="C98" s="31">
        <v>3.6672219208570951E-2</v>
      </c>
      <c r="L98" s="25">
        <f t="shared" si="5"/>
        <v>0.22329208329424519</v>
      </c>
      <c r="M98" s="25">
        <f t="shared" si="6"/>
        <v>0.68</v>
      </c>
    </row>
    <row r="99" spans="1:13" ht="15" customHeight="1" x14ac:dyDescent="0.25">
      <c r="A99" s="29">
        <v>0.69</v>
      </c>
      <c r="B99" s="30">
        <v>0.17380751963442487</v>
      </c>
      <c r="C99" s="31">
        <v>3.6675626261392653E-2</v>
      </c>
      <c r="L99" s="25">
        <f t="shared" si="5"/>
        <v>0.22619248036557515</v>
      </c>
      <c r="M99" s="25">
        <f t="shared" si="6"/>
        <v>0.69</v>
      </c>
    </row>
    <row r="100" spans="1:13" ht="15" customHeight="1" x14ac:dyDescent="0.25">
      <c r="A100" s="29">
        <v>0.7</v>
      </c>
      <c r="B100" s="30">
        <v>0.17097962677339942</v>
      </c>
      <c r="C100" s="31">
        <v>3.6676570630573536E-2</v>
      </c>
      <c r="L100" s="25">
        <f t="shared" si="5"/>
        <v>0.2290203732266006</v>
      </c>
      <c r="M100" s="25">
        <f t="shared" si="6"/>
        <v>0.7</v>
      </c>
    </row>
    <row r="101" spans="1:13" ht="15" customHeight="1" x14ac:dyDescent="0.25">
      <c r="A101" s="29">
        <v>0.71</v>
      </c>
      <c r="B101" s="30">
        <v>0.16822182923186543</v>
      </c>
      <c r="C101" s="31">
        <v>3.6675174489128624E-2</v>
      </c>
      <c r="L101" s="25">
        <f t="shared" si="5"/>
        <v>0.23177817076813459</v>
      </c>
      <c r="M101" s="25">
        <f t="shared" si="6"/>
        <v>0.71</v>
      </c>
    </row>
    <row r="102" spans="1:13" ht="15" customHeight="1" x14ac:dyDescent="0.25">
      <c r="A102" s="29">
        <v>0.72</v>
      </c>
      <c r="B102" s="30">
        <v>0.16553181808561276</v>
      </c>
      <c r="C102" s="31">
        <v>3.6671553844171194E-2</v>
      </c>
      <c r="L102" s="25">
        <f t="shared" si="5"/>
        <v>0.23446818191438726</v>
      </c>
      <c r="M102" s="25">
        <f t="shared" si="6"/>
        <v>0.72</v>
      </c>
    </row>
    <row r="103" spans="1:13" ht="15" customHeight="1" x14ac:dyDescent="0.25">
      <c r="A103" s="29">
        <v>0.73</v>
      </c>
      <c r="B103" s="30">
        <v>0.16290737940193675</v>
      </c>
      <c r="C103" s="31">
        <v>3.6665818883426606E-2</v>
      </c>
      <c r="L103" s="25">
        <f t="shared" si="5"/>
        <v>0.23709262059806327</v>
      </c>
      <c r="M103" s="25">
        <f t="shared" si="6"/>
        <v>0.73</v>
      </c>
    </row>
    <row r="104" spans="1:13" ht="15" customHeight="1" x14ac:dyDescent="0.25">
      <c r="A104" s="29">
        <v>0.74</v>
      </c>
      <c r="B104" s="30">
        <v>0.16034638955248445</v>
      </c>
      <c r="C104" s="31">
        <v>3.6658074299914419E-2</v>
      </c>
      <c r="L104" s="25">
        <f t="shared" si="5"/>
        <v>0.23965361044751557</v>
      </c>
      <c r="M104" s="25">
        <f t="shared" si="6"/>
        <v>0.74</v>
      </c>
    </row>
    <row r="105" spans="1:13" ht="15" customHeight="1" x14ac:dyDescent="0.25">
      <c r="A105" s="29">
        <v>0.75</v>
      </c>
      <c r="B105" s="30">
        <v>0.15784681079510507</v>
      </c>
      <c r="C105" s="31">
        <v>3.6648419596329793E-2</v>
      </c>
      <c r="L105" s="25">
        <f t="shared" si="5"/>
        <v>0.24215318920489495</v>
      </c>
      <c r="M105" s="25">
        <f t="shared" si="6"/>
        <v>0.75</v>
      </c>
    </row>
    <row r="106" spans="1:13" ht="15" customHeight="1" x14ac:dyDescent="0.25">
      <c r="A106" s="29">
        <v>0.76</v>
      </c>
      <c r="B106" s="30">
        <v>0.15540668710715308</v>
      </c>
      <c r="C106" s="31">
        <v>3.6636949370536506E-2</v>
      </c>
      <c r="L106" s="25">
        <f t="shared" si="5"/>
        <v>0.24459331289284694</v>
      </c>
      <c r="M106" s="25">
        <f t="shared" si="6"/>
        <v>0.76</v>
      </c>
    </row>
    <row r="107" spans="1:13" ht="15" customHeight="1" x14ac:dyDescent="0.25">
      <c r="A107" s="29">
        <v>0.77</v>
      </c>
      <c r="B107" s="30">
        <v>0.15302414025397582</v>
      </c>
      <c r="C107" s="31">
        <v>3.6623753583475499E-2</v>
      </c>
      <c r="L107" s="25">
        <f t="shared" si="5"/>
        <v>0.24697585974602421</v>
      </c>
      <c r="M107" s="25">
        <f t="shared" si="6"/>
        <v>0.77</v>
      </c>
    </row>
    <row r="108" spans="1:13" ht="15" customHeight="1" x14ac:dyDescent="0.25">
      <c r="A108" s="29">
        <v>0.78</v>
      </c>
      <c r="B108" s="30">
        <v>0.15069736607749068</v>
      </c>
      <c r="C108" s="31">
        <v>3.6608917810693899E-2</v>
      </c>
      <c r="L108" s="25">
        <f t="shared" si="5"/>
        <v>0.24930263392250934</v>
      </c>
      <c r="M108" s="25">
        <f t="shared" si="6"/>
        <v>0.78</v>
      </c>
    </row>
    <row r="109" spans="1:13" ht="15" customHeight="1" x14ac:dyDescent="0.25">
      <c r="A109" s="29">
        <v>0.79</v>
      </c>
      <c r="B109" s="30">
        <v>0.14842463099084291</v>
      </c>
      <c r="C109" s="31">
        <v>3.6592523478608766E-2</v>
      </c>
      <c r="L109" s="25">
        <f t="shared" si="5"/>
        <v>0.25157536900915711</v>
      </c>
      <c r="M109" s="25">
        <f t="shared" si="6"/>
        <v>0.79</v>
      </c>
    </row>
    <row r="110" spans="1:13" ht="15" customHeight="1" x14ac:dyDescent="0.25">
      <c r="A110" s="29">
        <v>0.8</v>
      </c>
      <c r="B110" s="30">
        <v>0.14620426866612815</v>
      </c>
      <c r="C110" s="31">
        <v>3.6574648086535502E-2</v>
      </c>
      <c r="L110" s="25">
        <f t="shared" si="5"/>
        <v>0.2537957313338719</v>
      </c>
      <c r="M110" s="25">
        <f t="shared" si="6"/>
        <v>0.8</v>
      </c>
    </row>
    <row r="111" spans="1:13" ht="15" customHeight="1" x14ac:dyDescent="0.25">
      <c r="A111" s="29">
        <v>0.81</v>
      </c>
      <c r="B111" s="30">
        <v>0.14403467690308663</v>
      </c>
      <c r="C111" s="31">
        <v>3.6555365415435179E-2</v>
      </c>
      <c r="L111" s="25">
        <f t="shared" si="5"/>
        <v>0.25596532309691339</v>
      </c>
      <c r="M111" s="25">
        <f t="shared" si="6"/>
        <v>0.81</v>
      </c>
    </row>
    <row r="112" spans="1:13" ht="15" customHeight="1" x14ac:dyDescent="0.25">
      <c r="A112" s="29">
        <v>0.82</v>
      </c>
      <c r="B112" s="30">
        <v>0.14191431466752027</v>
      </c>
      <c r="C112" s="31">
        <v>3.6534745724263955E-2</v>
      </c>
      <c r="L112" s="25">
        <f t="shared" si="5"/>
        <v>0.25808568533247978</v>
      </c>
      <c r="M112" s="25">
        <f t="shared" si="6"/>
        <v>0.82</v>
      </c>
    </row>
    <row r="113" spans="1:13" ht="15" customHeight="1" x14ac:dyDescent="0.25">
      <c r="A113" s="29">
        <v>0.83</v>
      </c>
      <c r="B113" s="30">
        <v>0.13984169928896562</v>
      </c>
      <c r="C113" s="31">
        <v>3.6512855934743377E-2</v>
      </c>
      <c r="L113" s="25">
        <f t="shared" si="5"/>
        <v>0.26015830071103441</v>
      </c>
      <c r="M113" s="25">
        <f t="shared" si="6"/>
        <v>0.83</v>
      </c>
    </row>
    <row r="114" spans="1:13" ht="15" customHeight="1" x14ac:dyDescent="0.25">
      <c r="A114" s="29">
        <v>0.84</v>
      </c>
      <c r="B114" s="30">
        <v>0.1378154038078801</v>
      </c>
      <c r="C114" s="31">
        <v>3.6489759805310558E-2</v>
      </c>
      <c r="L114" s="25">
        <f t="shared" si="5"/>
        <v>0.26218459619211992</v>
      </c>
      <c r="M114" s="25">
        <f t="shared" si="6"/>
        <v>0.84</v>
      </c>
    </row>
    <row r="115" spans="1:13" ht="15" customHeight="1" x14ac:dyDescent="0.25">
      <c r="A115" s="29">
        <v>0.85</v>
      </c>
      <c r="B115" s="30">
        <v>0.13583405446326158</v>
      </c>
      <c r="C115" s="31">
        <v>3.6465518094952631E-2</v>
      </c>
      <c r="L115" s="25">
        <f t="shared" si="5"/>
        <v>0.26416594553673844</v>
      </c>
      <c r="M115" s="25">
        <f t="shared" si="6"/>
        <v>0.85</v>
      </c>
    </row>
    <row r="116" spans="1:13" ht="15" customHeight="1" x14ac:dyDescent="0.25">
      <c r="A116" s="29">
        <v>0.86</v>
      </c>
      <c r="B116" s="30">
        <v>0.13389632831224157</v>
      </c>
      <c r="C116" s="31">
        <v>3.6440188717579043E-2</v>
      </c>
      <c r="L116" s="25">
        <f t="shared" si="5"/>
        <v>0.26610367168775845</v>
      </c>
      <c r="M116" s="25">
        <f t="shared" si="6"/>
        <v>0.86</v>
      </c>
    </row>
    <row r="117" spans="1:13" ht="15" customHeight="1" x14ac:dyDescent="0.25">
      <c r="A117" s="29">
        <v>0.87</v>
      </c>
      <c r="B117" s="30">
        <v>0.13200095097376027</v>
      </c>
      <c r="C117" s="31">
        <v>3.641382688753917E-2</v>
      </c>
      <c r="L117" s="25">
        <f t="shared" si="5"/>
        <v>0.26799904902623972</v>
      </c>
      <c r="M117" s="25">
        <f t="shared" si="6"/>
        <v>0.87</v>
      </c>
    </row>
    <row r="118" spans="1:13" ht="15" customHeight="1" x14ac:dyDescent="0.25">
      <c r="A118" s="29">
        <v>0.88</v>
      </c>
      <c r="B118" s="30">
        <v>0.13014669448895982</v>
      </c>
      <c r="C118" s="31">
        <v>3.6386485256849233E-2</v>
      </c>
      <c r="L118" s="25">
        <f t="shared" si="5"/>
        <v>0.2698533055110402</v>
      </c>
      <c r="M118" s="25">
        <f t="shared" si="6"/>
        <v>0.88</v>
      </c>
    </row>
    <row r="119" spans="1:13" ht="15" customHeight="1" x14ac:dyDescent="0.25">
      <c r="A119" s="29">
        <v>0.89</v>
      </c>
      <c r="B119" s="30">
        <v>0.12833237529142205</v>
      </c>
      <c r="C119" s="31">
        <v>3.635821404465342E-2</v>
      </c>
      <c r="L119" s="25">
        <f t="shared" si="5"/>
        <v>0.27166762470857797</v>
      </c>
      <c r="M119" s="25">
        <f t="shared" si="6"/>
        <v>0.89</v>
      </c>
    </row>
    <row r="120" spans="1:13" ht="15" customHeight="1" x14ac:dyDescent="0.25">
      <c r="A120" s="29">
        <v>0.9</v>
      </c>
      <c r="B120" s="30">
        <v>0.12655685228082902</v>
      </c>
      <c r="C120" s="31">
        <v>3.6329061159407205E-2</v>
      </c>
      <c r="L120" s="25">
        <f t="shared" si="5"/>
        <v>0.273443147719171</v>
      </c>
      <c r="M120" s="25">
        <f t="shared" si="6"/>
        <v>0.9</v>
      </c>
    </row>
    <row r="121" spans="1:13" ht="15" customHeight="1" x14ac:dyDescent="0.25">
      <c r="A121" s="29">
        <v>0.91</v>
      </c>
      <c r="B121" s="30">
        <v>0.12481902499404432</v>
      </c>
      <c r="C121" s="31">
        <v>3.6299072314236999E-2</v>
      </c>
      <c r="L121" s="25">
        <f t="shared" si="5"/>
        <v>0.27518097500595573</v>
      </c>
      <c r="M121" s="25">
        <f t="shared" si="6"/>
        <v>0.91</v>
      </c>
    </row>
    <row r="122" spans="1:13" ht="15" customHeight="1" x14ac:dyDescent="0.25">
      <c r="A122" s="29">
        <v>0.92</v>
      </c>
      <c r="B122" s="30">
        <v>0.12311783186800448</v>
      </c>
      <c r="C122" s="31">
        <v>3.6268291135899411E-2</v>
      </c>
      <c r="L122" s="25">
        <f t="shared" si="5"/>
        <v>0.27688216813199551</v>
      </c>
      <c r="M122" s="25">
        <f t="shared" si="6"/>
        <v>0.92</v>
      </c>
    </row>
    <row r="123" spans="1:13" ht="15" customHeight="1" x14ac:dyDescent="0.25">
      <c r="A123" s="29">
        <v>0.93</v>
      </c>
      <c r="B123" s="30">
        <v>0.12145224858916968</v>
      </c>
      <c r="C123" s="31">
        <v>3.6236759267734245E-2</v>
      </c>
      <c r="L123" s="25">
        <f t="shared" si="5"/>
        <v>0.27854775141083032</v>
      </c>
      <c r="M123" s="25">
        <f t="shared" si="6"/>
        <v>0.93</v>
      </c>
    </row>
    <row r="124" spans="1:13" ht="15" customHeight="1" x14ac:dyDescent="0.25">
      <c r="A124" s="29">
        <v>0.94</v>
      </c>
      <c r="B124" s="30">
        <v>0.11982128652462072</v>
      </c>
      <c r="C124" s="31">
        <v>3.620451646697833E-2</v>
      </c>
      <c r="L124" s="25">
        <f t="shared" si="5"/>
        <v>0.28017871347537932</v>
      </c>
      <c r="M124" s="25">
        <f t="shared" si="6"/>
        <v>0.94</v>
      </c>
    </row>
    <row r="125" spans="1:13" ht="15" customHeight="1" x14ac:dyDescent="0.25">
      <c r="A125" s="29">
        <v>0.95</v>
      </c>
      <c r="B125" s="30">
        <v>0.11822399123019942</v>
      </c>
      <c r="C125" s="31">
        <v>3.6171600696783351E-2</v>
      </c>
      <c r="L125" s="25">
        <f t="shared" si="5"/>
        <v>0.28177600876980058</v>
      </c>
      <c r="M125" s="25">
        <f t="shared" si="6"/>
        <v>0.95</v>
      </c>
    </row>
    <row r="126" spans="1:13" ht="15" customHeight="1" x14ac:dyDescent="0.25">
      <c r="A126" s="29">
        <v>0.96</v>
      </c>
      <c r="B126" s="30">
        <v>0.11665944103138232</v>
      </c>
      <c r="C126" s="31">
        <v>3.6138048213256793E-2</v>
      </c>
      <c r="L126" s="25">
        <f t="shared" si="5"/>
        <v>0.28334055896861771</v>
      </c>
      <c r="M126" s="25">
        <f t="shared" si="6"/>
        <v>0.96</v>
      </c>
    </row>
    <row r="127" spans="1:13" ht="15" customHeight="1" x14ac:dyDescent="0.25">
      <c r="A127" s="29">
        <v>0.97</v>
      </c>
      <c r="B127" s="30">
        <v>0.1151267456728463</v>
      </c>
      <c r="C127" s="31">
        <v>3.6103893647825139E-2</v>
      </c>
      <c r="L127" s="25">
        <f t="shared" si="5"/>
        <v>0.28487325432715371</v>
      </c>
      <c r="M127" s="25">
        <f t="shared" si="6"/>
        <v>0.97</v>
      </c>
    </row>
    <row r="128" spans="1:13" ht="15" customHeight="1" x14ac:dyDescent="0.25">
      <c r="A128" s="29">
        <v>0.98</v>
      </c>
      <c r="B128" s="30">
        <v>0.11362504503293572</v>
      </c>
      <c r="C128" s="31">
        <v>3.6069170085197381E-2</v>
      </c>
      <c r="L128" s="25">
        <f t="shared" si="5"/>
        <v>0.28637495496706433</v>
      </c>
      <c r="M128" s="25">
        <f t="shared" si="6"/>
        <v>0.98</v>
      </c>
    </row>
    <row r="129" spans="1:13" ht="15" customHeight="1" x14ac:dyDescent="0.25">
      <c r="A129" s="29">
        <v>0.99</v>
      </c>
      <c r="B129" s="30">
        <v>0.11215350789947565</v>
      </c>
      <c r="C129" s="31">
        <v>3.6033909137189797E-2</v>
      </c>
      <c r="L129" s="25">
        <f t="shared" si="5"/>
        <v>0.28784649210052438</v>
      </c>
      <c r="M129" s="25">
        <f t="shared" si="6"/>
        <v>0.99</v>
      </c>
    </row>
    <row r="130" spans="1:13" ht="15" customHeight="1" x14ac:dyDescent="0.25">
      <c r="A130" s="29">
        <v>1</v>
      </c>
      <c r="B130" s="30">
        <v>0.11071133080359519</v>
      </c>
      <c r="C130" s="31">
        <v>3.5998141012655263E-2</v>
      </c>
      <c r="L130" s="25">
        <f t="shared" si="5"/>
        <v>0.28928866919640484</v>
      </c>
      <c r="M130" s="25">
        <f t="shared" si="6"/>
        <v>1</v>
      </c>
    </row>
    <row r="131" spans="1:13" ht="15" customHeight="1" x14ac:dyDescent="0.25">
      <c r="A131" s="29">
        <v>1.01</v>
      </c>
      <c r="B131" s="30">
        <v>0.10929773690842412</v>
      </c>
      <c r="C131" s="31">
        <v>3.5961894583744748E-2</v>
      </c>
      <c r="L131" s="25">
        <f t="shared" si="5"/>
        <v>0.29070226309157587</v>
      </c>
      <c r="M131" s="25">
        <f t="shared" si="6"/>
        <v>1.01</v>
      </c>
    </row>
    <row r="132" spans="1:13" ht="15" customHeight="1" x14ac:dyDescent="0.25">
      <c r="A132" s="29">
        <v>1.02</v>
      </c>
      <c r="B132" s="30">
        <v>0.1079119749497213</v>
      </c>
      <c r="C132" s="31">
        <v>3.5925197448714148E-2</v>
      </c>
      <c r="L132" s="25">
        <f t="shared" si="5"/>
        <v>0.29208802505027875</v>
      </c>
      <c r="M132" s="25">
        <f t="shared" si="6"/>
        <v>1.02</v>
      </c>
    </row>
    <row r="133" spans="1:13" ht="15" customHeight="1" x14ac:dyDescent="0.25">
      <c r="A133" s="29">
        <v>1.03</v>
      </c>
      <c r="B133" s="30">
        <v>0.1065533182256652</v>
      </c>
      <c r="C133" s="31">
        <v>3.5888075991475893E-2</v>
      </c>
      <c r="L133" s="25">
        <f t="shared" si="5"/>
        <v>0.29344668177433481</v>
      </c>
      <c r="M133" s="25">
        <f t="shared" si="6"/>
        <v>1.03</v>
      </c>
    </row>
    <row r="134" spans="1:13" ht="15" customHeight="1" x14ac:dyDescent="0.25">
      <c r="A134" s="29">
        <v>1.04</v>
      </c>
      <c r="B134" s="30">
        <v>0.1052210636332062</v>
      </c>
      <c r="C134" s="31">
        <v>3.5850555438081889E-2</v>
      </c>
      <c r="L134" s="25">
        <f t="shared" si="5"/>
        <v>0.29477893636679381</v>
      </c>
      <c r="M134" s="25">
        <f t="shared" si="6"/>
        <v>1.04</v>
      </c>
    </row>
    <row r="135" spans="1:13" ht="15" customHeight="1" x14ac:dyDescent="0.25">
      <c r="A135" s="29">
        <v>1.05</v>
      </c>
      <c r="B135" s="30">
        <v>0.10391453074853127</v>
      </c>
      <c r="C135" s="31">
        <v>3.5812659910313023E-2</v>
      </c>
      <c r="L135" s="25">
        <f t="shared" si="5"/>
        <v>0.29608546925146872</v>
      </c>
      <c r="M135" s="25">
        <f t="shared" si="6"/>
        <v>1.05</v>
      </c>
    </row>
    <row r="136" spans="1:13" ht="15" customHeight="1" x14ac:dyDescent="0.25">
      <c r="A136" s="29">
        <v>1.06</v>
      </c>
      <c r="B136" s="30">
        <v>0.10263306094933849</v>
      </c>
      <c r="C136" s="31">
        <v>3.5774412476538814E-2</v>
      </c>
      <c r="L136" s="25">
        <f t="shared" si="5"/>
        <v>0.29736693905066153</v>
      </c>
      <c r="M136" s="25">
        <f t="shared" si="6"/>
        <v>1.06</v>
      </c>
    </row>
    <row r="137" spans="1:13" ht="15" customHeight="1" x14ac:dyDescent="0.25">
      <c r="A137" s="29">
        <v>1.07</v>
      </c>
      <c r="B137" s="30">
        <v>0.1013760165767526</v>
      </c>
      <c r="C137" s="31">
        <v>3.5735835200001509E-2</v>
      </c>
      <c r="L137" s="25">
        <f t="shared" si="5"/>
        <v>0.29862398342324742</v>
      </c>
      <c r="M137" s="25">
        <f t="shared" si="6"/>
        <v>1.07</v>
      </c>
    </row>
    <row r="138" spans="1:13" ht="15" customHeight="1" x14ac:dyDescent="0.25">
      <c r="A138" s="29">
        <v>1.08</v>
      </c>
      <c r="B138" s="30">
        <v>0.10014278013483779</v>
      </c>
      <c r="C138" s="31">
        <v>3.5696949184668189E-2</v>
      </c>
      <c r="L138" s="25">
        <f t="shared" si="5"/>
        <v>0.29985721986516223</v>
      </c>
      <c r="M138" s="25">
        <f t="shared" si="6"/>
        <v>1.08</v>
      </c>
    </row>
    <row r="139" spans="1:13" ht="15" customHeight="1" x14ac:dyDescent="0.25">
      <c r="A139" s="29">
        <v>1.0900000000000001</v>
      </c>
      <c r="B139" s="30">
        <v>9.8932753525784664E-2</v>
      </c>
      <c r="C139" s="31">
        <v>3.5657774618786789E-2</v>
      </c>
      <c r="L139" s="25">
        <f t="shared" si="5"/>
        <v>0.30106724647421534</v>
      </c>
      <c r="M139" s="25">
        <f t="shared" si="6"/>
        <v>1.0900000000000001</v>
      </c>
    </row>
    <row r="140" spans="1:13" ht="15" customHeight="1" x14ac:dyDescent="0.25">
      <c r="A140" s="29">
        <v>1.1000000000000001</v>
      </c>
      <c r="B140" s="30">
        <v>9.7745357318956186E-2</v>
      </c>
      <c r="C140" s="31">
        <v>3.5618330816272713E-2</v>
      </c>
      <c r="L140" s="25">
        <f t="shared" si="5"/>
        <v>0.30225464268104385</v>
      </c>
      <c r="M140" s="25">
        <f t="shared" si="6"/>
        <v>1.1000000000000001</v>
      </c>
    </row>
    <row r="141" spans="1:13" ht="15" customHeight="1" x14ac:dyDescent="0.25">
      <c r="A141" s="29">
        <v>1.1100000000000001</v>
      </c>
      <c r="B141" s="30">
        <v>9.6580030052081406E-2</v>
      </c>
      <c r="C141" s="31">
        <v>3.5578636256045397E-2</v>
      </c>
      <c r="L141" s="25">
        <f t="shared" si="5"/>
        <v>0.30341996994791864</v>
      </c>
      <c r="M141" s="25">
        <f t="shared" si="6"/>
        <v>1.1100000000000001</v>
      </c>
    </row>
    <row r="142" spans="1:13" ht="15" customHeight="1" x14ac:dyDescent="0.25">
      <c r="A142" s="29">
        <v>1.1200000000000001</v>
      </c>
      <c r="B142" s="30">
        <v>9.5436227562984366E-2</v>
      </c>
      <c r="C142" s="31">
        <v>3.5538708619427158E-2</v>
      </c>
      <c r="L142" s="25">
        <f t="shared" si="5"/>
        <v>0.30456377243701566</v>
      </c>
      <c r="M142" s="25">
        <f t="shared" si="6"/>
        <v>1.1200000000000001</v>
      </c>
    </row>
    <row r="143" spans="1:13" ht="15" customHeight="1" x14ac:dyDescent="0.25">
      <c r="A143" s="29">
        <v>1.1299999999999999</v>
      </c>
      <c r="B143" s="30">
        <v>9.4313422350324513E-2</v>
      </c>
      <c r="C143" s="31">
        <v>3.5498564825709393E-2</v>
      </c>
      <c r="L143" s="25">
        <f t="shared" si="5"/>
        <v>0.30568657764967549</v>
      </c>
      <c r="M143" s="25">
        <f t="shared" si="6"/>
        <v>1.1299999999999999</v>
      </c>
    </row>
    <row r="144" spans="1:13" ht="15" customHeight="1" x14ac:dyDescent="0.25">
      <c r="A144" s="29">
        <v>1.1399999999999999</v>
      </c>
      <c r="B144" s="30">
        <v>9.3211102961910278E-2</v>
      </c>
      <c r="C144" s="31">
        <v>3.5458221065985208E-2</v>
      </c>
      <c r="L144" s="25">
        <f t="shared" si="5"/>
        <v>0.30678889703808976</v>
      </c>
      <c r="M144" s="25">
        <f t="shared" si="6"/>
        <v>1.1399999999999999</v>
      </c>
    </row>
    <row r="145" spans="1:13" ht="15" customHeight="1" x14ac:dyDescent="0.25">
      <c r="A145" s="29">
        <v>1.1499999999999999</v>
      </c>
      <c r="B145" s="30">
        <v>9.2128773409229162E-2</v>
      </c>
      <c r="C145" s="31">
        <v>3.5417692835341977E-2</v>
      </c>
      <c r="L145" s="25">
        <f t="shared" si="5"/>
        <v>0.30787122659077087</v>
      </c>
      <c r="M145" s="25">
        <f t="shared" si="6"/>
        <v>1.1499999999999999</v>
      </c>
    </row>
    <row r="146" spans="1:13" ht="15" customHeight="1" x14ac:dyDescent="0.25">
      <c r="A146" s="29">
        <v>1.1599999999999999</v>
      </c>
      <c r="B146" s="30">
        <v>9.106595260691018E-2</v>
      </c>
      <c r="C146" s="31">
        <v>3.5376994963500816E-2</v>
      </c>
      <c r="L146" s="25">
        <f t="shared" si="5"/>
        <v>0.30893404739308983</v>
      </c>
      <c r="M146" s="25">
        <f t="shared" si="6"/>
        <v>1.1599999999999999</v>
      </c>
    </row>
    <row r="147" spans="1:13" ht="15" customHeight="1" x14ac:dyDescent="0.25">
      <c r="A147" s="29">
        <v>1.17</v>
      </c>
      <c r="B147" s="30">
        <v>9.002217383590766E-2</v>
      </c>
      <c r="C147" s="31">
        <v>3.5336141643986421E-2</v>
      </c>
      <c r="L147" s="25">
        <f t="shared" si="5"/>
        <v>0.30997782616409236</v>
      </c>
      <c r="M147" s="25">
        <f t="shared" si="6"/>
        <v>1.17</v>
      </c>
    </row>
    <row r="148" spans="1:13" ht="15" customHeight="1" x14ac:dyDescent="0.25">
      <c r="A148" s="29">
        <v>1.18</v>
      </c>
      <c r="B148" s="30">
        <v>8.8996984229258322E-2</v>
      </c>
      <c r="C148" s="31">
        <v>3.5295146461903924E-2</v>
      </c>
      <c r="L148" s="25">
        <f t="shared" si="5"/>
        <v>0.31100301577074169</v>
      </c>
      <c r="M148" s="25">
        <f t="shared" si="6"/>
        <v>1.18</v>
      </c>
    </row>
    <row r="149" spans="1:13" ht="15" customHeight="1" x14ac:dyDescent="0.25">
      <c r="A149" s="29">
        <v>1.19</v>
      </c>
      <c r="B149" s="30">
        <v>8.7989944279329255E-2</v>
      </c>
      <c r="C149" s="31">
        <v>3.5254022420396817E-2</v>
      </c>
      <c r="L149" s="25">
        <f t="shared" si="5"/>
        <v>0.31201005572067075</v>
      </c>
      <c r="M149" s="25">
        <f t="shared" si="6"/>
        <v>1.19</v>
      </c>
    </row>
    <row r="150" spans="1:13" ht="15" customHeight="1" x14ac:dyDescent="0.25">
      <c r="A150" s="29">
        <v>1.2</v>
      </c>
      <c r="B150" s="30">
        <v>8.7000627365529895E-2</v>
      </c>
      <c r="C150" s="31">
        <v>3.5212781965854402E-2</v>
      </c>
      <c r="L150" s="25">
        <f t="shared" si="5"/>
        <v>0.31299937263447014</v>
      </c>
      <c r="M150" s="25">
        <f t="shared" si="6"/>
        <v>1.2</v>
      </c>
    </row>
    <row r="151" spans="1:13" ht="15" customHeight="1" x14ac:dyDescent="0.25">
      <c r="A151" s="29">
        <v>1.21</v>
      </c>
      <c r="B151" s="30">
        <v>8.6028619301517895E-2</v>
      </c>
      <c r="C151" s="31">
        <v>3.5171437011933926E-2</v>
      </c>
      <c r="L151" s="25">
        <f t="shared" si="5"/>
        <v>0.31397138069848213</v>
      </c>
      <c r="M151" s="25">
        <f t="shared" si="6"/>
        <v>1.21</v>
      </c>
    </row>
    <row r="152" spans="1:13" ht="15" customHeight="1" x14ac:dyDescent="0.25">
      <c r="A152" s="29">
        <v>1.22</v>
      </c>
      <c r="B152" s="30">
        <v>8.5073517900979223E-2</v>
      </c>
      <c r="C152" s="31">
        <v>3.5129998962458497E-2</v>
      </c>
      <c r="L152" s="25">
        <f t="shared" si="5"/>
        <v>0.3149264820990208</v>
      </c>
      <c r="M152" s="25">
        <f t="shared" si="6"/>
        <v>1.22</v>
      </c>
    </row>
    <row r="153" spans="1:13" ht="15" customHeight="1" x14ac:dyDescent="0.25">
      <c r="A153" s="29">
        <v>1.23</v>
      </c>
      <c r="B153" s="30">
        <v>8.4134932561112749E-2</v>
      </c>
      <c r="C153" s="31">
        <v>3.50884787332491E-2</v>
      </c>
      <c r="L153" s="25">
        <f t="shared" si="5"/>
        <v>0.31586506743888726</v>
      </c>
      <c r="M153" s="25">
        <f t="shared" si="6"/>
        <v>1.23</v>
      </c>
    </row>
    <row r="154" spans="1:13" ht="15" customHeight="1" x14ac:dyDescent="0.25">
      <c r="A154" s="29">
        <v>1.24</v>
      </c>
      <c r="B154" s="30">
        <v>8.3212483862993875E-2</v>
      </c>
      <c r="C154" s="31">
        <v>3.5046886772944486E-2</v>
      </c>
      <c r="L154" s="25">
        <f t="shared" si="5"/>
        <v>0.31678751613700618</v>
      </c>
      <c r="M154" s="25">
        <f t="shared" si="6"/>
        <v>1.24</v>
      </c>
    </row>
    <row r="155" spans="1:13" ht="15" customHeight="1" x14ac:dyDescent="0.25">
      <c r="A155" s="29">
        <v>1.25</v>
      </c>
      <c r="B155" s="30">
        <v>8.2305803188036375E-2</v>
      </c>
      <c r="C155" s="31">
        <v>3.5005233082861152E-2</v>
      </c>
      <c r="L155" s="25">
        <f t="shared" si="5"/>
        <v>0.31769419681196365</v>
      </c>
      <c r="M155" s="25">
        <f t="shared" si="6"/>
        <v>1.25</v>
      </c>
    </row>
    <row r="156" spans="1:13" ht="15" customHeight="1" x14ac:dyDescent="0.25">
      <c r="A156" s="29">
        <v>1.26</v>
      </c>
      <c r="B156" s="30">
        <v>8.1414532349811275E-2</v>
      </c>
      <c r="C156" s="31">
        <v>3.4963527235941427E-2</v>
      </c>
      <c r="L156" s="25">
        <f t="shared" si="5"/>
        <v>0.31858546765018875</v>
      </c>
      <c r="M156" s="25">
        <f t="shared" si="6"/>
        <v>1.26</v>
      </c>
    </row>
    <row r="157" spans="1:13" ht="15" customHeight="1" x14ac:dyDescent="0.25">
      <c r="A157" s="29">
        <v>1.27</v>
      </c>
      <c r="B157" s="30">
        <v>8.0538323240519641E-2</v>
      </c>
      <c r="C157" s="31">
        <v>3.4921778394836039E-2</v>
      </c>
      <c r="L157" s="25">
        <f t="shared" si="5"/>
        <v>0.3194616767594804</v>
      </c>
      <c r="M157" s="25">
        <f t="shared" si="6"/>
        <v>1.27</v>
      </c>
    </row>
    <row r="158" spans="1:13" ht="15" customHeight="1" x14ac:dyDescent="0.25">
      <c r="A158" s="29">
        <v>1.28</v>
      </c>
      <c r="B158" s="30">
        <v>7.9676837491453864E-2</v>
      </c>
      <c r="C158" s="31">
        <v>3.4879995329164137E-2</v>
      </c>
      <c r="L158" s="25">
        <f t="shared" ref="L158:L221" si="7">ABS(B158-$B$20/100)</f>
        <v>0.32032316250854614</v>
      </c>
      <c r="M158" s="25">
        <f t="shared" ref="M158:M221" si="8">A158</f>
        <v>1.28</v>
      </c>
    </row>
    <row r="159" spans="1:13" ht="15" customHeight="1" x14ac:dyDescent="0.25">
      <c r="A159" s="29">
        <v>1.29</v>
      </c>
      <c r="B159" s="30">
        <v>7.8829746146813942E-2</v>
      </c>
      <c r="C159" s="31">
        <v>3.4838186431992046E-2</v>
      </c>
      <c r="L159" s="25">
        <f t="shared" si="7"/>
        <v>0.32117025385318609</v>
      </c>
      <c r="M159" s="25">
        <f t="shared" si="8"/>
        <v>1.29</v>
      </c>
    </row>
    <row r="160" spans="1:13" ht="15" customHeight="1" x14ac:dyDescent="0.25">
      <c r="A160" s="29">
        <v>1.3</v>
      </c>
      <c r="B160" s="30">
        <v>7.7996729350278682E-2</v>
      </c>
      <c r="C160" s="31">
        <v>3.4796359735569382E-2</v>
      </c>
      <c r="L160" s="25">
        <f t="shared" si="7"/>
        <v>0.32200327064972134</v>
      </c>
      <c r="M160" s="25">
        <f t="shared" si="8"/>
        <v>1.3</v>
      </c>
    </row>
    <row r="161" spans="1:13" ht="15" customHeight="1" x14ac:dyDescent="0.25">
      <c r="A161" s="29">
        <v>1.31</v>
      </c>
      <c r="B161" s="30">
        <v>7.7177476043762169E-2</v>
      </c>
      <c r="C161" s="31">
        <v>3.4754522926358958E-2</v>
      </c>
      <c r="L161" s="25">
        <f t="shared" si="7"/>
        <v>0.32282252395623784</v>
      </c>
      <c r="M161" s="25">
        <f t="shared" si="8"/>
        <v>1.31</v>
      </c>
    </row>
    <row r="162" spans="1:13" ht="15" customHeight="1" x14ac:dyDescent="0.25">
      <c r="A162" s="29">
        <v>1.32</v>
      </c>
      <c r="B162" s="30">
        <v>7.6371683677813468E-2</v>
      </c>
      <c r="C162" s="31">
        <v>3.4712683359395743E-2</v>
      </c>
      <c r="L162" s="25">
        <f t="shared" si="7"/>
        <v>0.32362831632218658</v>
      </c>
      <c r="M162" s="25">
        <f t="shared" si="8"/>
        <v>1.32</v>
      </c>
    </row>
    <row r="163" spans="1:13" ht="15" customHeight="1" x14ac:dyDescent="0.25">
      <c r="A163" s="29">
        <v>1.33</v>
      </c>
      <c r="B163" s="30">
        <v>7.5579057933145746E-2</v>
      </c>
      <c r="C163" s="31">
        <v>3.4670848072006884E-2</v>
      </c>
      <c r="L163" s="25">
        <f t="shared" si="7"/>
        <v>0.32442094206685429</v>
      </c>
      <c r="M163" s="25">
        <f t="shared" si="8"/>
        <v>1.33</v>
      </c>
    </row>
    <row r="164" spans="1:13" ht="15" customHeight="1" x14ac:dyDescent="0.25">
      <c r="A164" s="29">
        <v>1.34</v>
      </c>
      <c r="B164" s="30">
        <v>7.4799312452805286E-2</v>
      </c>
      <c r="C164" s="31">
        <v>3.4629023796924438E-2</v>
      </c>
      <c r="L164" s="25">
        <f t="shared" si="7"/>
        <v>0.32520068754719472</v>
      </c>
      <c r="M164" s="25">
        <f t="shared" si="8"/>
        <v>1.34</v>
      </c>
    </row>
    <row r="165" spans="1:13" ht="15" customHeight="1" x14ac:dyDescent="0.25">
      <c r="A165" s="29">
        <v>1.35</v>
      </c>
      <c r="B165" s="30">
        <v>7.4032168584516042E-2</v>
      </c>
      <c r="C165" s="31">
        <v>3.4587216974819875E-2</v>
      </c>
      <c r="L165" s="25">
        <f t="shared" si="7"/>
        <v>0.32596783141548397</v>
      </c>
      <c r="M165" s="25">
        <f t="shared" si="8"/>
        <v>1.35</v>
      </c>
    </row>
    <row r="166" spans="1:13" ht="15" customHeight="1" x14ac:dyDescent="0.25">
      <c r="A166" s="29">
        <v>1.36</v>
      </c>
      <c r="B166" s="30">
        <v>7.3277355132758112E-2</v>
      </c>
      <c r="C166" s="31">
        <v>3.4545433766288325E-2</v>
      </c>
      <c r="L166" s="25">
        <f t="shared" si="7"/>
        <v>0.3267226448672419</v>
      </c>
      <c r="M166" s="25">
        <f t="shared" si="8"/>
        <v>1.36</v>
      </c>
    </row>
    <row r="167" spans="1:13" ht="15" customHeight="1" x14ac:dyDescent="0.25">
      <c r="A167" s="29">
        <v>1.37</v>
      </c>
      <c r="B167" s="30">
        <v>7.2534608120158744E-2</v>
      </c>
      <c r="C167" s="31">
        <v>3.4503680063308881E-2</v>
      </c>
      <c r="L167" s="25">
        <f t="shared" si="7"/>
        <v>0.32746539187984125</v>
      </c>
      <c r="M167" s="25">
        <f t="shared" si="8"/>
        <v>1.37</v>
      </c>
    </row>
    <row r="168" spans="1:13" ht="15" customHeight="1" x14ac:dyDescent="0.25">
      <c r="A168" s="29">
        <v>1.38</v>
      </c>
      <c r="B168" s="30">
        <v>7.1803670557796961E-2</v>
      </c>
      <c r="C168" s="31">
        <v>3.4461961500205918E-2</v>
      </c>
      <c r="L168" s="25">
        <f t="shared" si="7"/>
        <v>0.32819632944220306</v>
      </c>
      <c r="M168" s="25">
        <f t="shared" si="8"/>
        <v>1.38</v>
      </c>
    </row>
    <row r="169" spans="1:13" ht="15" customHeight="1" x14ac:dyDescent="0.25">
      <c r="A169" s="29">
        <v>1.39</v>
      </c>
      <c r="B169" s="30">
        <v>7.1084292224040529E-2</v>
      </c>
      <c r="C169" s="31">
        <v>3.4420283464135157E-2</v>
      </c>
      <c r="L169" s="25">
        <f t="shared" si="7"/>
        <v>0.32891570777595946</v>
      </c>
      <c r="M169" s="25">
        <f t="shared" si="8"/>
        <v>1.39</v>
      </c>
    </row>
    <row r="170" spans="1:13" ht="15" customHeight="1" x14ac:dyDescent="0.25">
      <c r="A170" s="29">
        <v>1.4</v>
      </c>
      <c r="B170" s="30">
        <v>7.0376229451553057E-2</v>
      </c>
      <c r="C170" s="31">
        <v>3.4378651105116884E-2</v>
      </c>
      <c r="L170" s="25">
        <f t="shared" si="7"/>
        <v>0.32962377054844694</v>
      </c>
      <c r="M170" s="25">
        <f t="shared" si="8"/>
        <v>1.4</v>
      </c>
    </row>
    <row r="171" spans="1:13" ht="15" customHeight="1" x14ac:dyDescent="0.25">
      <c r="A171" s="29">
        <v>1.41</v>
      </c>
      <c r="B171" s="30">
        <v>6.9679244922125974E-2</v>
      </c>
      <c r="C171" s="31">
        <v>3.4337069345637551E-2</v>
      </c>
      <c r="L171" s="25">
        <f t="shared" si="7"/>
        <v>0.33032075507787406</v>
      </c>
      <c r="M171" s="25">
        <f t="shared" si="8"/>
        <v>1.41</v>
      </c>
    </row>
    <row r="172" spans="1:13" ht="15" customHeight="1" x14ac:dyDescent="0.25">
      <c r="A172" s="29">
        <v>1.42</v>
      </c>
      <c r="B172" s="30">
        <v>6.8993107469006928E-2</v>
      </c>
      <c r="C172" s="31">
        <v>3.4295542889840255E-2</v>
      </c>
      <c r="L172" s="25">
        <f t="shared" si="7"/>
        <v>0.33100689253099308</v>
      </c>
      <c r="M172" s="25">
        <f t="shared" si="8"/>
        <v>1.42</v>
      </c>
    </row>
    <row r="173" spans="1:13" ht="15" customHeight="1" x14ac:dyDescent="0.25">
      <c r="A173" s="29">
        <v>1.43</v>
      </c>
      <c r="B173" s="30">
        <v>6.8317591886411205E-2</v>
      </c>
      <c r="C173" s="31">
        <v>3.4254076232322642E-2</v>
      </c>
      <c r="L173" s="25">
        <f t="shared" si="7"/>
        <v>0.33168240811358884</v>
      </c>
      <c r="M173" s="25">
        <f t="shared" si="8"/>
        <v>1.43</v>
      </c>
    </row>
    <row r="174" spans="1:13" ht="15" customHeight="1" x14ac:dyDescent="0.25">
      <c r="A174" s="29">
        <v>1.44</v>
      </c>
      <c r="B174" s="30">
        <v>6.7652478745917649E-2</v>
      </c>
      <c r="C174" s="31">
        <v>3.4212673666561194E-2</v>
      </c>
      <c r="L174" s="25">
        <f t="shared" si="7"/>
        <v>0.3323475212540824</v>
      </c>
      <c r="M174" s="25">
        <f t="shared" si="8"/>
        <v>1.44</v>
      </c>
    </row>
    <row r="175" spans="1:13" ht="15" customHeight="1" x14ac:dyDescent="0.25">
      <c r="A175" s="29">
        <v>1.45</v>
      </c>
      <c r="B175" s="30">
        <v>6.6997554219464753E-2</v>
      </c>
      <c r="C175" s="31">
        <v>3.4171339292978525E-2</v>
      </c>
      <c r="L175" s="25">
        <f t="shared" si="7"/>
        <v>0.33300244578053528</v>
      </c>
      <c r="M175" s="25">
        <f t="shared" si="8"/>
        <v>1.45</v>
      </c>
    </row>
    <row r="176" spans="1:13" ht="15" customHeight="1" x14ac:dyDescent="0.25">
      <c r="A176" s="29">
        <v>1.46</v>
      </c>
      <c r="B176" s="30">
        <v>6.6352609908675364E-2</v>
      </c>
      <c r="C176" s="31">
        <v>3.4130077026670418E-2</v>
      </c>
      <c r="L176" s="25">
        <f t="shared" si="7"/>
        <v>0.33364739009132466</v>
      </c>
      <c r="M176" s="25">
        <f t="shared" si="8"/>
        <v>1.46</v>
      </c>
    </row>
    <row r="177" spans="1:13" ht="15" customHeight="1" x14ac:dyDescent="0.25">
      <c r="A177" s="29">
        <v>1.47</v>
      </c>
      <c r="B177" s="30">
        <v>6.5717442680251384E-2</v>
      </c>
      <c r="C177" s="31">
        <v>3.4088890604807999E-2</v>
      </c>
      <c r="L177" s="25">
        <f t="shared" si="7"/>
        <v>0.33428255731974865</v>
      </c>
      <c r="M177" s="25">
        <f t="shared" si="8"/>
        <v>1.47</v>
      </c>
    </row>
    <row r="178" spans="1:13" ht="15" customHeight="1" x14ac:dyDescent="0.25">
      <c r="A178" s="29">
        <v>1.48</v>
      </c>
      <c r="B178" s="30">
        <v>6.5091854507191488E-2</v>
      </c>
      <c r="C178" s="31">
        <v>3.4047783593730105E-2</v>
      </c>
      <c r="L178" s="25">
        <f t="shared" si="7"/>
        <v>0.33490814549280856</v>
      </c>
      <c r="M178" s="25">
        <f t="shared" si="8"/>
        <v>1.48</v>
      </c>
    </row>
    <row r="179" spans="1:13" ht="15" customHeight="1" x14ac:dyDescent="0.25">
      <c r="A179" s="29">
        <v>1.49</v>
      </c>
      <c r="B179" s="30">
        <v>6.4475652315596252E-2</v>
      </c>
      <c r="C179" s="31">
        <v>3.4006759395739619E-2</v>
      </c>
      <c r="L179" s="25">
        <f t="shared" si="7"/>
        <v>0.33552434768440376</v>
      </c>
      <c r="M179" s="25">
        <f t="shared" si="8"/>
        <v>1.49</v>
      </c>
    </row>
    <row r="180" spans="1:13" ht="15" customHeight="1" x14ac:dyDescent="0.25">
      <c r="A180" s="29">
        <v>1.5</v>
      </c>
      <c r="B180" s="30">
        <v>6.3868647836835962E-2</v>
      </c>
      <c r="C180" s="31">
        <v>3.3965821255617049E-2</v>
      </c>
      <c r="L180" s="25">
        <f t="shared" si="7"/>
        <v>0.33613135216316403</v>
      </c>
      <c r="M180" s="25">
        <f t="shared" si="8"/>
        <v>1.5</v>
      </c>
    </row>
    <row r="181" spans="1:13" ht="15" customHeight="1" x14ac:dyDescent="0.25">
      <c r="A181" s="29">
        <v>1.51</v>
      </c>
      <c r="B181" s="30">
        <v>6.327065746486614E-2</v>
      </c>
      <c r="C181" s="31">
        <v>3.3924972266864729E-2</v>
      </c>
      <c r="L181" s="25">
        <f t="shared" si="7"/>
        <v>0.33672934253513387</v>
      </c>
      <c r="M181" s="25">
        <f t="shared" si="8"/>
        <v>1.51</v>
      </c>
    </row>
    <row r="182" spans="1:13" ht="15" customHeight="1" x14ac:dyDescent="0.25">
      <c r="A182" s="29">
        <v>1.52</v>
      </c>
      <c r="B182" s="30">
        <v>6.2681502118486027E-2</v>
      </c>
      <c r="C182" s="31">
        <v>3.3884215377692754E-2</v>
      </c>
      <c r="L182" s="25">
        <f t="shared" si="7"/>
        <v>0.33731849788151402</v>
      </c>
      <c r="M182" s="25">
        <f t="shared" si="8"/>
        <v>1.52</v>
      </c>
    </row>
    <row r="183" spans="1:13" ht="15" customHeight="1" x14ac:dyDescent="0.25">
      <c r="A183" s="29">
        <v>1.53</v>
      </c>
      <c r="B183" s="30">
        <v>6.2101007108344021E-2</v>
      </c>
      <c r="C183" s="31">
        <v>3.3843553396758888E-2</v>
      </c>
      <c r="L183" s="25">
        <f t="shared" si="7"/>
        <v>0.33789899289165598</v>
      </c>
      <c r="M183" s="25">
        <f t="shared" si="8"/>
        <v>1.53</v>
      </c>
    </row>
    <row r="184" spans="1:13" ht="15" customHeight="1" x14ac:dyDescent="0.25">
      <c r="A184" s="29">
        <v>1.54</v>
      </c>
      <c r="B184" s="30">
        <v>6.1529002008503031E-2</v>
      </c>
      <c r="C184" s="31">
        <v>3.3802988998673122E-2</v>
      </c>
      <c r="L184" s="25">
        <f t="shared" si="7"/>
        <v>0.33847099799149699</v>
      </c>
      <c r="M184" s="25">
        <f t="shared" si="8"/>
        <v>1.54</v>
      </c>
    </row>
    <row r="185" spans="1:13" ht="15" customHeight="1" x14ac:dyDescent="0.25">
      <c r="A185" s="29">
        <v>1.55</v>
      </c>
      <c r="B185" s="30">
        <v>6.096532053238668E-2</v>
      </c>
      <c r="C185" s="31">
        <v>3.3762524729277293E-2</v>
      </c>
      <c r="L185" s="25">
        <f t="shared" si="7"/>
        <v>0.33903467946761334</v>
      </c>
      <c r="M185" s="25">
        <f t="shared" si="8"/>
        <v>1.55</v>
      </c>
    </row>
    <row r="186" spans="1:13" ht="15" customHeight="1" x14ac:dyDescent="0.25">
      <c r="A186" s="29">
        <v>1.56</v>
      </c>
      <c r="B186" s="30">
        <v>6.0409800412935824E-2</v>
      </c>
      <c r="C186" s="31">
        <v>3.3722163010709433E-2</v>
      </c>
      <c r="L186" s="25">
        <f t="shared" si="7"/>
        <v>0.33959019958706421</v>
      </c>
      <c r="M186" s="25">
        <f t="shared" si="8"/>
        <v>1.56</v>
      </c>
    </row>
    <row r="187" spans="1:13" ht="15" customHeight="1" x14ac:dyDescent="0.25">
      <c r="A187" s="29">
        <v>1.57</v>
      </c>
      <c r="B187" s="30">
        <v>5.9862283286811716E-2</v>
      </c>
      <c r="C187" s="31">
        <v>3.3681906146262965E-2</v>
      </c>
      <c r="L187" s="25">
        <f t="shared" si="7"/>
        <v>0.34013771671318832</v>
      </c>
      <c r="M187" s="25">
        <f t="shared" si="8"/>
        <v>1.57</v>
      </c>
    </row>
    <row r="188" spans="1:13" ht="15" customHeight="1" x14ac:dyDescent="0.25">
      <c r="A188" s="29">
        <v>1.58</v>
      </c>
      <c r="B188" s="30">
        <v>5.9322614582489316E-2</v>
      </c>
      <c r="C188" s="31">
        <v>3.3641756325048844E-2</v>
      </c>
      <c r="L188" s="25">
        <f t="shared" si="7"/>
        <v>0.34067738541751069</v>
      </c>
      <c r="M188" s="25">
        <f t="shared" si="8"/>
        <v>1.58</v>
      </c>
    </row>
    <row r="189" spans="1:13" ht="15" customHeight="1" x14ac:dyDescent="0.25">
      <c r="A189" s="29">
        <v>1.59</v>
      </c>
      <c r="B189" s="30">
        <v>5.8790643412091712E-2</v>
      </c>
      <c r="C189" s="31">
        <v>3.3601715626469866E-2</v>
      </c>
      <c r="L189" s="25">
        <f t="shared" si="7"/>
        <v>0.3412093565879083</v>
      </c>
      <c r="M189" s="25">
        <f t="shared" si="8"/>
        <v>1.59</v>
      </c>
    </row>
    <row r="190" spans="1:13" ht="15" customHeight="1" x14ac:dyDescent="0.25">
      <c r="A190" s="29">
        <v>1.6</v>
      </c>
      <c r="B190" s="30">
        <v>5.8266222466822358E-2</v>
      </c>
      <c r="C190" s="31">
        <v>3.3561786024515011E-2</v>
      </c>
      <c r="L190" s="25">
        <f t="shared" si="7"/>
        <v>0.34173377753317769</v>
      </c>
      <c r="M190" s="25">
        <f t="shared" si="8"/>
        <v>1.6</v>
      </c>
    </row>
    <row r="191" spans="1:13" ht="15" customHeight="1" x14ac:dyDescent="0.25">
      <c r="A191" s="29">
        <v>1.61</v>
      </c>
      <c r="B191" s="30">
        <v>5.7749207915857852E-2</v>
      </c>
      <c r="C191" s="31">
        <v>3.3521969391881637E-2</v>
      </c>
      <c r="L191" s="25">
        <f t="shared" si="7"/>
        <v>0.34225079208414216</v>
      </c>
      <c r="M191" s="25">
        <f t="shared" si="8"/>
        <v>1.61</v>
      </c>
    </row>
    <row r="192" spans="1:13" ht="15" customHeight="1" x14ac:dyDescent="0.25">
      <c r="A192" s="29">
        <v>1.62</v>
      </c>
      <c r="B192" s="30">
        <v>5.7239459308571126E-2</v>
      </c>
      <c r="C192" s="31">
        <v>3.3482267503932871E-2</v>
      </c>
      <c r="L192" s="25">
        <f t="shared" si="7"/>
        <v>0.34276054069142892</v>
      </c>
      <c r="M192" s="25">
        <f t="shared" si="8"/>
        <v>1.62</v>
      </c>
    </row>
    <row r="193" spans="1:13" ht="15" customHeight="1" x14ac:dyDescent="0.25">
      <c r="A193" s="29">
        <v>1.63</v>
      </c>
      <c r="B193" s="30">
        <v>5.6736839479958716E-2</v>
      </c>
      <c r="C193" s="31">
        <v>3.3442682042497375E-2</v>
      </c>
      <c r="L193" s="25">
        <f t="shared" si="7"/>
        <v>0.3432631605200413</v>
      </c>
      <c r="M193" s="25">
        <f t="shared" si="8"/>
        <v>1.63</v>
      </c>
    </row>
    <row r="194" spans="1:13" ht="15" customHeight="1" x14ac:dyDescent="0.25">
      <c r="A194" s="29">
        <v>1.64</v>
      </c>
      <c r="B194" s="30">
        <v>5.6241214459152485E-2</v>
      </c>
      <c r="C194" s="31">
        <v>3.3403214599518165E-2</v>
      </c>
      <c r="L194" s="25">
        <f t="shared" si="7"/>
        <v>0.34375878554084754</v>
      </c>
      <c r="M194" s="25">
        <f t="shared" si="8"/>
        <v>1.64</v>
      </c>
    </row>
    <row r="195" spans="1:13" ht="15" customHeight="1" x14ac:dyDescent="0.25">
      <c r="A195" s="29">
        <v>1.65</v>
      </c>
      <c r="B195" s="30">
        <v>5.5752453380900409E-2</v>
      </c>
      <c r="C195" s="31">
        <v>3.3363866680556784E-2</v>
      </c>
      <c r="L195" s="25">
        <f t="shared" si="7"/>
        <v>0.34424754661909962</v>
      </c>
      <c r="M195" s="25">
        <f t="shared" si="8"/>
        <v>1.65</v>
      </c>
    </row>
    <row r="196" spans="1:13" ht="15" customHeight="1" x14ac:dyDescent="0.25">
      <c r="A196" s="29">
        <v>1.66</v>
      </c>
      <c r="B196" s="30">
        <v>5.5270428399906701E-2</v>
      </c>
      <c r="C196" s="31">
        <v>3.3324639708159125E-2</v>
      </c>
      <c r="L196" s="25">
        <f t="shared" si="7"/>
        <v>0.34472957160009332</v>
      </c>
      <c r="M196" s="25">
        <f t="shared" si="8"/>
        <v>1.66</v>
      </c>
    </row>
    <row r="197" spans="1:13" ht="15" customHeight="1" x14ac:dyDescent="0.25">
      <c r="A197" s="29">
        <v>1.67</v>
      </c>
      <c r="B197" s="30">
        <v>5.4795014607924963E-2</v>
      </c>
      <c r="C197" s="31">
        <v>3.3285535025088658E-2</v>
      </c>
      <c r="L197" s="25">
        <f t="shared" si="7"/>
        <v>0.34520498539207506</v>
      </c>
      <c r="M197" s="25">
        <f t="shared" si="8"/>
        <v>1.67</v>
      </c>
    </row>
    <row r="198" spans="1:13" ht="15" customHeight="1" x14ac:dyDescent="0.25">
      <c r="A198" s="29">
        <v>1.68</v>
      </c>
      <c r="B198" s="30">
        <v>5.4326089953503638E-2</v>
      </c>
      <c r="C198" s="31">
        <v>3.3246553897432668E-2</v>
      </c>
      <c r="L198" s="25">
        <f t="shared" si="7"/>
        <v>0.34567391004649639</v>
      </c>
      <c r="M198" s="25">
        <f t="shared" si="8"/>
        <v>1.68</v>
      </c>
    </row>
    <row r="199" spans="1:13" ht="15" customHeight="1" x14ac:dyDescent="0.25">
      <c r="A199" s="29">
        <v>1.69</v>
      </c>
      <c r="B199" s="30">
        <v>5.3863535164286561E-2</v>
      </c>
      <c r="C199" s="31">
        <v>3.3207697517586704E-2</v>
      </c>
      <c r="L199" s="25">
        <f t="shared" si="7"/>
        <v>0.34613646483571348</v>
      </c>
      <c r="M199" s="25">
        <f t="shared" si="8"/>
        <v>1.69</v>
      </c>
    </row>
    <row r="200" spans="1:13" ht="15" customHeight="1" x14ac:dyDescent="0.25">
      <c r="A200" s="29">
        <v>1.7</v>
      </c>
      <c r="B200" s="30">
        <v>5.3407233671775425E-2</v>
      </c>
      <c r="C200" s="31">
        <v>3.3168967007122539E-2</v>
      </c>
      <c r="L200" s="25">
        <f t="shared" si="7"/>
        <v>0.34659276632822461</v>
      </c>
      <c r="M200" s="25">
        <f t="shared" si="8"/>
        <v>1.7</v>
      </c>
    </row>
    <row r="201" spans="1:13" ht="15" customHeight="1" x14ac:dyDescent="0.25">
      <c r="A201" s="29">
        <v>1.71</v>
      </c>
      <c r="B201" s="30">
        <v>5.2957071538465163E-2</v>
      </c>
      <c r="C201" s="31">
        <v>3.3130363419544319E-2</v>
      </c>
      <c r="L201" s="25">
        <f t="shared" si="7"/>
        <v>0.34704292846153484</v>
      </c>
      <c r="M201" s="25">
        <f t="shared" si="8"/>
        <v>1.71</v>
      </c>
    </row>
    <row r="202" spans="1:13" ht="15" customHeight="1" x14ac:dyDescent="0.25">
      <c r="A202" s="29">
        <v>1.72</v>
      </c>
      <c r="B202" s="30">
        <v>5.2512937387266444E-2</v>
      </c>
      <c r="C202" s="31">
        <v>3.3091887742937545E-2</v>
      </c>
      <c r="L202" s="25">
        <f t="shared" si="7"/>
        <v>0.3474870626127336</v>
      </c>
      <c r="M202" s="25">
        <f t="shared" si="8"/>
        <v>1.72</v>
      </c>
    </row>
    <row r="203" spans="1:13" ht="15" customHeight="1" x14ac:dyDescent="0.25">
      <c r="A203" s="29">
        <v>1.73</v>
      </c>
      <c r="B203" s="30">
        <v>5.2074722333133226E-2</v>
      </c>
      <c r="C203" s="31">
        <v>3.305354090251536E-2</v>
      </c>
      <c r="L203" s="25">
        <f t="shared" si="7"/>
        <v>0.34792527766686682</v>
      </c>
      <c r="M203" s="25">
        <f t="shared" si="8"/>
        <v>1.73</v>
      </c>
    </row>
    <row r="204" spans="1:13" ht="15" customHeight="1" x14ac:dyDescent="0.25">
      <c r="A204" s="29">
        <v>1.74</v>
      </c>
      <c r="B204" s="30">
        <v>5.1642319916816642E-2</v>
      </c>
      <c r="C204" s="31">
        <v>3.3015323763066401E-2</v>
      </c>
      <c r="L204" s="25">
        <f t="shared" si="7"/>
        <v>0.34835768008318335</v>
      </c>
      <c r="M204" s="25">
        <f t="shared" si="8"/>
        <v>1.74</v>
      </c>
    </row>
    <row r="205" spans="1:13" ht="15" customHeight="1" x14ac:dyDescent="0.25">
      <c r="A205" s="29">
        <v>1.75</v>
      </c>
      <c r="B205" s="30">
        <v>5.121562604066935E-2</v>
      </c>
      <c r="C205" s="31">
        <v>3.2977237131308172E-2</v>
      </c>
      <c r="L205" s="25">
        <f t="shared" si="7"/>
        <v>0.34878437395933065</v>
      </c>
      <c r="M205" s="25">
        <f t="shared" si="8"/>
        <v>1.75</v>
      </c>
    </row>
    <row r="206" spans="1:13" ht="15" customHeight="1" x14ac:dyDescent="0.25">
      <c r="A206" s="29">
        <v>1.76</v>
      </c>
      <c r="B206" s="30">
        <v>5.0794538906428197E-2</v>
      </c>
      <c r="C206" s="31">
        <v>3.2939281758149787E-2</v>
      </c>
      <c r="L206" s="25">
        <f t="shared" si="7"/>
        <v>0.34920546109357181</v>
      </c>
      <c r="M206" s="25">
        <f t="shared" si="8"/>
        <v>1.76</v>
      </c>
    </row>
    <row r="207" spans="1:13" ht="15" customHeight="1" x14ac:dyDescent="0.25">
      <c r="A207" s="29">
        <v>1.77</v>
      </c>
      <c r="B207" s="30">
        <v>5.0378958954904823E-2</v>
      </c>
      <c r="C207" s="31">
        <v>3.2901458340867912E-2</v>
      </c>
      <c r="L207" s="25">
        <f t="shared" si="7"/>
        <v>0.34962104104509517</v>
      </c>
      <c r="M207" s="25">
        <f t="shared" si="8"/>
        <v>1.77</v>
      </c>
    </row>
    <row r="208" spans="1:13" ht="15" customHeight="1" x14ac:dyDescent="0.25">
      <c r="A208" s="29">
        <v>1.78</v>
      </c>
      <c r="B208" s="30">
        <v>4.9968788807517824E-2</v>
      </c>
      <c r="C208" s="31">
        <v>3.2863767525199275E-2</v>
      </c>
      <c r="L208" s="25">
        <f t="shared" si="7"/>
        <v>0.35003121119248221</v>
      </c>
      <c r="M208" s="25">
        <f t="shared" si="8"/>
        <v>1.78</v>
      </c>
    </row>
    <row r="209" spans="1:13" ht="15" customHeight="1" x14ac:dyDescent="0.25">
      <c r="A209" s="29">
        <v>1.79</v>
      </c>
      <c r="B209" s="30">
        <v>4.9563933209602028E-2</v>
      </c>
      <c r="C209" s="31">
        <v>3.2826209907353195E-2</v>
      </c>
      <c r="L209" s="25">
        <f t="shared" si="7"/>
        <v>0.35043606679039802</v>
      </c>
      <c r="M209" s="25">
        <f t="shared" si="8"/>
        <v>1.79</v>
      </c>
    </row>
    <row r="210" spans="1:13" ht="15" customHeight="1" x14ac:dyDescent="0.25">
      <c r="A210" s="29">
        <v>1.8</v>
      </c>
      <c r="B210" s="30">
        <v>4.9164298975432764E-2</v>
      </c>
      <c r="C210" s="31">
        <v>3.2788786035947357E-2</v>
      </c>
      <c r="L210" s="25">
        <f t="shared" si="7"/>
        <v>0.35083570102456724</v>
      </c>
      <c r="M210" s="25">
        <f t="shared" si="8"/>
        <v>1.8</v>
      </c>
    </row>
    <row r="211" spans="1:13" ht="15" customHeight="1" x14ac:dyDescent="0.25">
      <c r="A211" s="29">
        <v>1.81</v>
      </c>
      <c r="B211" s="30">
        <v>4.8769794934906421E-2</v>
      </c>
      <c r="C211" s="31">
        <v>3.2751496413869874E-2</v>
      </c>
      <c r="L211" s="25">
        <f t="shared" si="7"/>
        <v>0.35123020506509361</v>
      </c>
      <c r="M211" s="25">
        <f t="shared" si="8"/>
        <v>1.81</v>
      </c>
    </row>
    <row r="212" spans="1:13" ht="15" customHeight="1" x14ac:dyDescent="0.25">
      <c r="A212" s="29">
        <v>1.82</v>
      </c>
      <c r="B212" s="30">
        <v>4.8380331881819477E-2</v>
      </c>
      <c r="C212" s="31">
        <v>3.2714341500070666E-2</v>
      </c>
      <c r="L212" s="25">
        <f t="shared" si="7"/>
        <v>0.35161966811818057</v>
      </c>
      <c r="M212" s="25">
        <f t="shared" si="8"/>
        <v>1.82</v>
      </c>
    </row>
    <row r="213" spans="1:13" ht="15" customHeight="1" x14ac:dyDescent="0.25">
      <c r="A213" s="29">
        <v>1.83</v>
      </c>
      <c r="B213" s="30">
        <v>4.7995822523691833E-2</v>
      </c>
      <c r="C213" s="31">
        <v>3.2677321711284874E-2</v>
      </c>
      <c r="L213" s="25">
        <f t="shared" si="7"/>
        <v>0.35200417747630819</v>
      </c>
      <c r="M213" s="25">
        <f t="shared" si="8"/>
        <v>1.83</v>
      </c>
    </row>
    <row r="214" spans="1:13" ht="15" customHeight="1" x14ac:dyDescent="0.25">
      <c r="A214" s="29">
        <v>1.84</v>
      </c>
      <c r="B214" s="30">
        <v>4.7616181433081432E-2</v>
      </c>
      <c r="C214" s="31">
        <v>3.2640437423691153E-2</v>
      </c>
      <c r="L214" s="25">
        <f t="shared" si="7"/>
        <v>0.35238381856691858</v>
      </c>
      <c r="M214" s="25">
        <f t="shared" si="8"/>
        <v>1.84</v>
      </c>
    </row>
    <row r="215" spans="1:13" ht="15" customHeight="1" x14ac:dyDescent="0.25">
      <c r="A215" s="29">
        <v>1.85</v>
      </c>
      <c r="B215" s="30">
        <v>4.7241325000339292E-2</v>
      </c>
      <c r="C215" s="31">
        <v>3.2603688974507293E-2</v>
      </c>
      <c r="L215" s="25">
        <f t="shared" si="7"/>
        <v>0.35275867499966074</v>
      </c>
      <c r="M215" s="25">
        <f t="shared" si="8"/>
        <v>1.85</v>
      </c>
    </row>
    <row r="216" spans="1:13" ht="15" customHeight="1" x14ac:dyDescent="0.25">
      <c r="A216" s="29">
        <v>1.86</v>
      </c>
      <c r="B216" s="30">
        <v>4.6871171387756684E-2</v>
      </c>
      <c r="C216" s="31">
        <v>3.2567076663525686E-2</v>
      </c>
      <c r="L216" s="25">
        <f t="shared" si="7"/>
        <v>0.35312882861224332</v>
      </c>
      <c r="M216" s="25">
        <f t="shared" si="8"/>
        <v>1.86</v>
      </c>
    </row>
    <row r="217" spans="1:13" ht="15" customHeight="1" x14ac:dyDescent="0.25">
      <c r="A217" s="29">
        <v>1.87</v>
      </c>
      <c r="B217" s="30">
        <v>4.6505640485057023E-2</v>
      </c>
      <c r="C217" s="31">
        <v>3.2530600754591098E-2</v>
      </c>
      <c r="L217" s="25">
        <f t="shared" si="7"/>
        <v>0.35349435951494301</v>
      </c>
      <c r="M217" s="25">
        <f t="shared" si="8"/>
        <v>1.87</v>
      </c>
    </row>
    <row r="218" spans="1:13" ht="15" customHeight="1" x14ac:dyDescent="0.25">
      <c r="A218" s="29">
        <v>1.88</v>
      </c>
      <c r="B218" s="30">
        <v>4.6144653866187844E-2</v>
      </c>
      <c r="C218" s="31">
        <v>3.2494261477022925E-2</v>
      </c>
      <c r="L218" s="25">
        <f t="shared" si="7"/>
        <v>0.3538553461338122</v>
      </c>
      <c r="M218" s="25">
        <f t="shared" si="8"/>
        <v>1.88</v>
      </c>
    </row>
    <row r="219" spans="1:13" ht="15" customHeight="1" x14ac:dyDescent="0.25">
      <c r="A219" s="29">
        <v>1.89</v>
      </c>
      <c r="B219" s="30">
        <v>4.578813474736905E-2</v>
      </c>
      <c r="C219" s="31">
        <v>3.2458059026984093E-2</v>
      </c>
      <c r="L219" s="25">
        <f t="shared" si="7"/>
        <v>0.35421186525263099</v>
      </c>
      <c r="M219" s="25">
        <f t="shared" si="8"/>
        <v>1.89</v>
      </c>
    </row>
    <row r="220" spans="1:13" ht="15" customHeight="1" x14ac:dyDescent="0.25">
      <c r="A220" s="29">
        <v>1.9</v>
      </c>
      <c r="B220" s="30">
        <v>4.5436007946355904E-2</v>
      </c>
      <c r="C220" s="31">
        <v>3.2421993568798817E-2</v>
      </c>
      <c r="L220" s="25">
        <f t="shared" si="7"/>
        <v>0.35456399205364414</v>
      </c>
      <c r="M220" s="25">
        <f t="shared" si="8"/>
        <v>1.9</v>
      </c>
    </row>
    <row r="221" spans="1:13" ht="15" customHeight="1" x14ac:dyDescent="0.25">
      <c r="A221" s="29">
        <v>1.91</v>
      </c>
      <c r="B221" s="30">
        <v>4.5088199842876424E-2</v>
      </c>
      <c r="C221" s="31">
        <v>3.2386065236221034E-2</v>
      </c>
      <c r="L221" s="25">
        <f t="shared" si="7"/>
        <v>0.35491180015712359</v>
      </c>
      <c r="M221" s="25">
        <f t="shared" si="8"/>
        <v>1.91</v>
      </c>
    </row>
    <row r="222" spans="1:13" ht="15" customHeight="1" x14ac:dyDescent="0.25">
      <c r="A222" s="29">
        <v>1.92</v>
      </c>
      <c r="B222" s="30">
        <v>4.4744638340204632E-2</v>
      </c>
      <c r="C222" s="31">
        <v>3.2350274133655599E-2</v>
      </c>
      <c r="L222" s="25">
        <f t="shared" ref="L222:L280" si="9">ABS(B222-$B$20/100)</f>
        <v>0.35525536165979538</v>
      </c>
      <c r="M222" s="25">
        <f t="shared" ref="M222:M280" si="10">A222</f>
        <v>1.92</v>
      </c>
    </row>
    <row r="223" spans="1:13" ht="15" customHeight="1" x14ac:dyDescent="0.25">
      <c r="A223" s="29">
        <v>1.93</v>
      </c>
      <c r="B223" s="30">
        <v>4.440525282783199E-2</v>
      </c>
      <c r="C223" s="31">
        <v>3.2314620337333906E-2</v>
      </c>
      <c r="L223" s="25">
        <f t="shared" si="9"/>
        <v>0.35559474717216805</v>
      </c>
      <c r="M223" s="25">
        <f t="shared" si="10"/>
        <v>1.93</v>
      </c>
    </row>
    <row r="224" spans="1:13" ht="15" customHeight="1" x14ac:dyDescent="0.25">
      <c r="A224" s="29">
        <v>1.94</v>
      </c>
      <c r="B224" s="30">
        <v>4.4069974145201765E-2</v>
      </c>
      <c r="C224" s="31">
        <v>3.2279103896445914E-2</v>
      </c>
      <c r="L224" s="25">
        <f t="shared" si="9"/>
        <v>0.35593002585479827</v>
      </c>
      <c r="M224" s="25">
        <f t="shared" si="10"/>
        <v>1.94</v>
      </c>
    </row>
    <row r="225" spans="1:13" ht="15" customHeight="1" x14ac:dyDescent="0.25">
      <c r="A225" s="29">
        <v>1.95</v>
      </c>
      <c r="B225" s="30">
        <v>4.3738734546470925E-2</v>
      </c>
      <c r="C225" s="31">
        <v>3.224372483423002E-2</v>
      </c>
      <c r="L225" s="25">
        <f t="shared" si="9"/>
        <v>0.3562612654535291</v>
      </c>
      <c r="M225" s="25">
        <f t="shared" si="10"/>
        <v>1.95</v>
      </c>
    </row>
    <row r="226" spans="1:13" ht="15" customHeight="1" x14ac:dyDescent="0.25">
      <c r="A226" s="29">
        <v>1.96</v>
      </c>
      <c r="B226" s="30">
        <v>4.3411467666267106E-2</v>
      </c>
      <c r="C226" s="31">
        <v>3.2208483149022589E-2</v>
      </c>
      <c r="L226" s="25">
        <f t="shared" si="9"/>
        <v>0.35658853233373289</v>
      </c>
      <c r="M226" s="25">
        <f t="shared" si="10"/>
        <v>1.96</v>
      </c>
    </row>
    <row r="227" spans="1:13" ht="15" customHeight="1" x14ac:dyDescent="0.25">
      <c r="A227" s="29">
        <v>1.97</v>
      </c>
      <c r="B227" s="30">
        <v>4.3088108486407831E-2</v>
      </c>
      <c r="C227" s="31">
        <v>3.2173378815268501E-2</v>
      </c>
      <c r="L227" s="25">
        <f t="shared" si="9"/>
        <v>0.35691189151359221</v>
      </c>
      <c r="M227" s="25">
        <f t="shared" si="10"/>
        <v>1.97</v>
      </c>
    </row>
    <row r="228" spans="1:13" ht="15" customHeight="1" x14ac:dyDescent="0.25">
      <c r="A228" s="29">
        <v>1.98</v>
      </c>
      <c r="B228" s="30">
        <v>4.2768593303551469E-2</v>
      </c>
      <c r="C228" s="31">
        <v>3.2138411784494489E-2</v>
      </c>
      <c r="L228" s="25">
        <f t="shared" si="9"/>
        <v>0.35723140669644854</v>
      </c>
      <c r="M228" s="25">
        <f t="shared" si="10"/>
        <v>1.98</v>
      </c>
    </row>
    <row r="229" spans="1:13" ht="15" customHeight="1" x14ac:dyDescent="0.25">
      <c r="A229" s="29">
        <v>1.99</v>
      </c>
      <c r="B229" s="30">
        <v>4.2452859697750076E-2</v>
      </c>
      <c r="C229" s="31">
        <v>3.2103581986246368E-2</v>
      </c>
      <c r="L229" s="25">
        <f t="shared" si="9"/>
        <v>0.35754714030224993</v>
      </c>
      <c r="M229" s="25">
        <f t="shared" si="10"/>
        <v>1.99</v>
      </c>
    </row>
    <row r="230" spans="1:13" ht="15" customHeight="1" x14ac:dyDescent="0.25">
      <c r="A230" s="29">
        <v>2</v>
      </c>
      <c r="B230" s="30">
        <v>4.2140846501875169E-2</v>
      </c>
      <c r="C230" s="31">
        <v>3.2068889328991719E-2</v>
      </c>
      <c r="L230" s="25">
        <f t="shared" si="9"/>
        <v>0.35785915349812486</v>
      </c>
      <c r="M230" s="25">
        <f t="shared" si="10"/>
        <v>2</v>
      </c>
    </row>
    <row r="231" spans="1:13" ht="15" customHeight="1" x14ac:dyDescent="0.25">
      <c r="A231" s="29">
        <v>2.0099999999999998</v>
      </c>
      <c r="B231" s="30">
        <v>4.1832493771888878E-2</v>
      </c>
      <c r="C231" s="31">
        <v>3.2034333700989286E-2</v>
      </c>
      <c r="L231" s="25">
        <f t="shared" si="9"/>
        <v>0.35816750622811117</v>
      </c>
      <c r="M231" s="25">
        <f t="shared" si="10"/>
        <v>2.0099999999999998</v>
      </c>
    </row>
    <row r="232" spans="1:13" ht="15" customHeight="1" x14ac:dyDescent="0.25">
      <c r="A232" s="29">
        <v>2.02</v>
      </c>
      <c r="B232" s="30">
        <v>4.152774275793391E-2</v>
      </c>
      <c r="C232" s="31">
        <v>3.1999914971126468E-2</v>
      </c>
      <c r="L232" s="25">
        <f t="shared" si="9"/>
        <v>0.35847225724206611</v>
      </c>
      <c r="M232" s="25">
        <f t="shared" si="10"/>
        <v>2.02</v>
      </c>
    </row>
    <row r="233" spans="1:13" ht="15" customHeight="1" x14ac:dyDescent="0.25">
      <c r="A233" s="29">
        <v>2.0299999999999998</v>
      </c>
      <c r="B233" s="30">
        <v>4.1226535876216219E-2</v>
      </c>
      <c r="C233" s="31">
        <v>3.1965632989725795E-2</v>
      </c>
      <c r="L233" s="25">
        <f t="shared" si="9"/>
        <v>0.3587734641237838</v>
      </c>
      <c r="M233" s="25">
        <f t="shared" si="10"/>
        <v>2.0299999999999998</v>
      </c>
    </row>
    <row r="234" spans="1:13" ht="15" customHeight="1" x14ac:dyDescent="0.25">
      <c r="A234" s="29">
        <v>2.04</v>
      </c>
      <c r="B234" s="30">
        <v>4.0928816681655732E-2</v>
      </c>
      <c r="C234" s="31">
        <v>3.1931487589321919E-2</v>
      </c>
      <c r="L234" s="25">
        <f t="shared" si="9"/>
        <v>0.35907118331834431</v>
      </c>
      <c r="M234" s="25">
        <f t="shared" si="10"/>
        <v>2.04</v>
      </c>
    </row>
    <row r="235" spans="1:13" ht="15" customHeight="1" x14ac:dyDescent="0.25">
      <c r="A235" s="29">
        <v>2.0499999999999998</v>
      </c>
      <c r="B235" s="30">
        <v>4.0634529841281262E-2</v>
      </c>
      <c r="C235" s="31">
        <v>3.1897478585410026E-2</v>
      </c>
      <c r="L235" s="25">
        <f t="shared" si="9"/>
        <v>0.35936547015871878</v>
      </c>
      <c r="M235" s="25">
        <f t="shared" si="10"/>
        <v>2.0499999999999998</v>
      </c>
    </row>
    <row r="236" spans="1:13" ht="15" customHeight="1" x14ac:dyDescent="0.25">
      <c r="A236" s="29">
        <v>2.06</v>
      </c>
      <c r="B236" s="30">
        <v>4.0343621108346085E-2</v>
      </c>
      <c r="C236" s="31">
        <v>3.1863605777166744E-2</v>
      </c>
      <c r="L236" s="25">
        <f t="shared" si="9"/>
        <v>0.35965637889165392</v>
      </c>
      <c r="M236" s="25">
        <f t="shared" si="10"/>
        <v>2.06</v>
      </c>
    </row>
    <row r="237" spans="1:13" ht="15" customHeight="1" x14ac:dyDescent="0.25">
      <c r="A237" s="29">
        <v>2.0699999999999998</v>
      </c>
      <c r="B237" s="30">
        <v>4.005603729714239E-2</v>
      </c>
      <c r="C237" s="31">
        <v>3.1829868948144685E-2</v>
      </c>
      <c r="L237" s="25">
        <f t="shared" si="9"/>
        <v>0.35994396270285761</v>
      </c>
      <c r="M237" s="25">
        <f t="shared" si="10"/>
        <v>2.0699999999999998</v>
      </c>
    </row>
    <row r="238" spans="1:13" ht="15" customHeight="1" x14ac:dyDescent="0.25">
      <c r="A238" s="29">
        <v>2.08</v>
      </c>
      <c r="B238" s="30">
        <v>3.9771726258492561E-2</v>
      </c>
      <c r="C238" s="31">
        <v>3.1796267866941487E-2</v>
      </c>
      <c r="L238" s="25">
        <f t="shared" si="9"/>
        <v>0.36022827374150745</v>
      </c>
      <c r="M238" s="25">
        <f t="shared" si="10"/>
        <v>2.08</v>
      </c>
    </row>
    <row r="239" spans="1:13" ht="15" customHeight="1" x14ac:dyDescent="0.25">
      <c r="A239" s="29">
        <v>2.09</v>
      </c>
      <c r="B239" s="30">
        <v>3.9490636855896863E-2</v>
      </c>
      <c r="C239" s="31">
        <v>3.1762802287844311E-2</v>
      </c>
      <c r="L239" s="25">
        <f t="shared" si="9"/>
        <v>0.36050936314410315</v>
      </c>
      <c r="M239" s="25">
        <f t="shared" si="10"/>
        <v>2.09</v>
      </c>
    </row>
    <row r="240" spans="1:13" ht="15" customHeight="1" x14ac:dyDescent="0.25">
      <c r="A240" s="29">
        <v>2.1</v>
      </c>
      <c r="B240" s="30">
        <v>3.9212718942317176E-2</v>
      </c>
      <c r="C240" s="31">
        <v>3.1729471951450913E-2</v>
      </c>
      <c r="L240" s="25">
        <f t="shared" si="9"/>
        <v>0.36078728105768287</v>
      </c>
      <c r="M240" s="25">
        <f t="shared" si="10"/>
        <v>2.1</v>
      </c>
    </row>
    <row r="241" spans="1:13" ht="15" customHeight="1" x14ac:dyDescent="0.25">
      <c r="A241" s="29">
        <v>2.11</v>
      </c>
      <c r="B241" s="30">
        <v>3.8937923337577646E-2</v>
      </c>
      <c r="C241" s="31">
        <v>3.1696276585267788E-2</v>
      </c>
      <c r="L241" s="25">
        <f t="shared" si="9"/>
        <v>0.3610620766624224</v>
      </c>
      <c r="M241" s="25">
        <f t="shared" si="10"/>
        <v>2.11</v>
      </c>
    </row>
    <row r="242" spans="1:13" ht="15" customHeight="1" x14ac:dyDescent="0.25">
      <c r="A242" s="29">
        <v>2.12</v>
      </c>
      <c r="B242" s="30">
        <v>3.8666201806363279E-2</v>
      </c>
      <c r="C242" s="31">
        <v>3.1663215904286585E-2</v>
      </c>
      <c r="L242" s="25">
        <f t="shared" si="9"/>
        <v>0.36133379819363676</v>
      </c>
      <c r="M242" s="25">
        <f t="shared" si="10"/>
        <v>2.12</v>
      </c>
    </row>
    <row r="243" spans="1:13" ht="15" customHeight="1" x14ac:dyDescent="0.25">
      <c r="A243" s="29">
        <v>2.13</v>
      </c>
      <c r="B243" s="30">
        <v>3.8397507036798582E-2</v>
      </c>
      <c r="C243" s="31">
        <v>3.1630289611539381E-2</v>
      </c>
      <c r="L243" s="25">
        <f t="shared" si="9"/>
        <v>0.36160249296320146</v>
      </c>
      <c r="M243" s="25">
        <f t="shared" si="10"/>
        <v>2.13</v>
      </c>
    </row>
    <row r="244" spans="1:13" ht="15" customHeight="1" x14ac:dyDescent="0.25">
      <c r="A244" s="29">
        <v>2.14</v>
      </c>
      <c r="B244" s="30">
        <v>3.8131792619588781E-2</v>
      </c>
      <c r="C244" s="31">
        <v>3.1597497398633684E-2</v>
      </c>
      <c r="L244" s="25">
        <f t="shared" si="9"/>
        <v>0.36186820738041126</v>
      </c>
      <c r="M244" s="25">
        <f t="shared" si="10"/>
        <v>2.14</v>
      </c>
    </row>
    <row r="245" spans="1:13" ht="15" customHeight="1" x14ac:dyDescent="0.25">
      <c r="A245" s="29">
        <v>2.15</v>
      </c>
      <c r="B245" s="30">
        <v>3.7869013027706518E-2</v>
      </c>
      <c r="C245" s="31">
        <v>3.1564838946267867E-2</v>
      </c>
      <c r="L245" s="25">
        <f t="shared" si="9"/>
        <v>0.36213098697229351</v>
      </c>
      <c r="M245" s="25">
        <f t="shared" si="10"/>
        <v>2.15</v>
      </c>
    </row>
    <row r="246" spans="1:13" ht="15" customHeight="1" x14ac:dyDescent="0.25">
      <c r="A246" s="29">
        <v>2.16</v>
      </c>
      <c r="B246" s="30">
        <v>3.7609123596608111E-2</v>
      </c>
      <c r="C246" s="31">
        <v>3.1532313924727821E-2</v>
      </c>
      <c r="L246" s="25">
        <f t="shared" si="9"/>
        <v>0.3623908764033919</v>
      </c>
      <c r="M246" s="25">
        <f t="shared" si="10"/>
        <v>2.16</v>
      </c>
    </row>
    <row r="247" spans="1:13" ht="15" customHeight="1" x14ac:dyDescent="0.25">
      <c r="A247" s="29">
        <v>2.17</v>
      </c>
      <c r="B247" s="30">
        <v>3.735208050496322E-2</v>
      </c>
      <c r="C247" s="31">
        <v>3.1499921994365417E-2</v>
      </c>
      <c r="L247" s="25">
        <f t="shared" si="9"/>
        <v>0.36264791949503683</v>
      </c>
      <c r="M247" s="25">
        <f t="shared" si="10"/>
        <v>2.17</v>
      </c>
    </row>
    <row r="248" spans="1:13" ht="15" customHeight="1" x14ac:dyDescent="0.25">
      <c r="A248" s="29">
        <v>2.1800000000000002</v>
      </c>
      <c r="B248" s="30">
        <v>3.709784075588303E-2</v>
      </c>
      <c r="C248" s="31">
        <v>3.1467662806059525E-2</v>
      </c>
      <c r="L248" s="25">
        <f t="shared" si="9"/>
        <v>0.36290215924411701</v>
      </c>
      <c r="M248" s="25">
        <f t="shared" si="10"/>
        <v>2.1800000000000002</v>
      </c>
    </row>
    <row r="249" spans="1:13" ht="15" customHeight="1" x14ac:dyDescent="0.25">
      <c r="A249" s="29">
        <v>2.19</v>
      </c>
      <c r="B249" s="30">
        <v>3.6846362158631872E-2</v>
      </c>
      <c r="C249" s="31">
        <v>3.143553600166011E-2</v>
      </c>
      <c r="L249" s="25">
        <f t="shared" si="9"/>
        <v>0.36315363784136817</v>
      </c>
      <c r="M249" s="25">
        <f t="shared" si="10"/>
        <v>2.19</v>
      </c>
    </row>
    <row r="250" spans="1:13" ht="15" customHeight="1" x14ac:dyDescent="0.25">
      <c r="A250" s="29">
        <v>2.2000000000000002</v>
      </c>
      <c r="B250" s="30">
        <v>3.6597603310808496E-2</v>
      </c>
      <c r="C250" s="31">
        <v>3.140354121441627E-2</v>
      </c>
      <c r="L250" s="25">
        <f t="shared" si="9"/>
        <v>0.3634023966891915</v>
      </c>
      <c r="M250" s="25">
        <f t="shared" si="10"/>
        <v>2.2000000000000002</v>
      </c>
    </row>
    <row r="251" spans="1:13" ht="15" customHeight="1" x14ac:dyDescent="0.25">
      <c r="A251" s="29">
        <v>2.21</v>
      </c>
      <c r="B251" s="30">
        <v>3.6351523580982863E-2</v>
      </c>
      <c r="C251" s="31">
        <v>3.1371678069388419E-2</v>
      </c>
      <c r="L251" s="25">
        <f t="shared" si="9"/>
        <v>0.36364847641901715</v>
      </c>
      <c r="M251" s="25">
        <f t="shared" si="10"/>
        <v>2.21</v>
      </c>
    </row>
    <row r="252" spans="1:13" ht="15" customHeight="1" x14ac:dyDescent="0.25">
      <c r="A252" s="29">
        <v>2.2200000000000002</v>
      </c>
      <c r="B252" s="30">
        <v>3.6108083091775274E-2</v>
      </c>
      <c r="C252" s="31">
        <v>3.1339946183845543E-2</v>
      </c>
      <c r="L252" s="25">
        <f t="shared" si="9"/>
        <v>0.36389191690822476</v>
      </c>
      <c r="M252" s="25">
        <f t="shared" si="10"/>
        <v>2.2200000000000002</v>
      </c>
    </row>
    <row r="253" spans="1:13" ht="15" customHeight="1" x14ac:dyDescent="0.25">
      <c r="A253" s="29">
        <v>2.23</v>
      </c>
      <c r="B253" s="30">
        <v>3.5867242703365089E-2</v>
      </c>
      <c r="C253" s="31">
        <v>3.1308345167647973E-2</v>
      </c>
      <c r="L253" s="25">
        <f t="shared" si="9"/>
        <v>0.36413275729663491</v>
      </c>
      <c r="M253" s="25">
        <f t="shared" si="10"/>
        <v>2.23</v>
      </c>
    </row>
    <row r="254" spans="1:13" ht="15" customHeight="1" x14ac:dyDescent="0.25">
      <c r="A254" s="29">
        <v>2.2400000000000002</v>
      </c>
      <c r="B254" s="30">
        <v>3.5628963997416399E-2</v>
      </c>
      <c r="C254" s="31">
        <v>3.1276874623615891E-2</v>
      </c>
      <c r="L254" s="25">
        <f t="shared" si="9"/>
        <v>0.36437103600258364</v>
      </c>
      <c r="M254" s="25">
        <f t="shared" si="10"/>
        <v>2.2400000000000002</v>
      </c>
    </row>
    <row r="255" spans="1:13" ht="15" customHeight="1" x14ac:dyDescent="0.25">
      <c r="A255" s="29">
        <v>2.25</v>
      </c>
      <c r="B255" s="30">
        <v>3.5393209261408744E-2</v>
      </c>
      <c r="C255" s="31">
        <v>3.1245534147884783E-2</v>
      </c>
      <c r="L255" s="25">
        <f t="shared" si="9"/>
        <v>0.36460679073859126</v>
      </c>
      <c r="M255" s="25">
        <f t="shared" si="10"/>
        <v>2.25</v>
      </c>
    </row>
    <row r="256" spans="1:13" ht="15" customHeight="1" x14ac:dyDescent="0.25">
      <c r="A256" s="29">
        <v>2.2599999999999998</v>
      </c>
      <c r="B256" s="30">
        <v>3.5159941473361225E-2</v>
      </c>
      <c r="C256" s="31">
        <v>3.1214323330247401E-2</v>
      </c>
      <c r="L256" s="25">
        <f t="shared" si="9"/>
        <v>0.36484005852663881</v>
      </c>
      <c r="M256" s="25">
        <f t="shared" si="10"/>
        <v>2.2599999999999998</v>
      </c>
    </row>
    <row r="257" spans="1:13" ht="15" customHeight="1" x14ac:dyDescent="0.25">
      <c r="A257" s="29">
        <v>2.27</v>
      </c>
      <c r="B257" s="30">
        <v>3.4929124286938527E-2</v>
      </c>
      <c r="C257" s="31">
        <v>3.1183241754483518E-2</v>
      </c>
      <c r="L257" s="25">
        <f t="shared" si="9"/>
        <v>0.36507087571306152</v>
      </c>
      <c r="M257" s="25">
        <f t="shared" si="10"/>
        <v>2.27</v>
      </c>
    </row>
    <row r="258" spans="1:13" ht="15" customHeight="1" x14ac:dyDescent="0.25">
      <c r="A258" s="29">
        <v>2.2799999999999998</v>
      </c>
      <c r="B258" s="30">
        <v>3.4700722016928434E-2</v>
      </c>
      <c r="C258" s="31">
        <v>3.115228899867746E-2</v>
      </c>
      <c r="L258" s="25">
        <f t="shared" si="9"/>
        <v>0.3652992779830716</v>
      </c>
      <c r="M258" s="25">
        <f t="shared" si="10"/>
        <v>2.2799999999999998</v>
      </c>
    </row>
    <row r="259" spans="1:13" ht="15" customHeight="1" x14ac:dyDescent="0.25">
      <c r="A259" s="29">
        <v>2.29</v>
      </c>
      <c r="B259" s="30">
        <v>3.4474699625079583E-2</v>
      </c>
      <c r="C259" s="31">
        <v>3.112146463552401E-2</v>
      </c>
      <c r="L259" s="25">
        <f t="shared" si="9"/>
        <v>0.36552530037492043</v>
      </c>
      <c r="M259" s="25">
        <f t="shared" si="10"/>
        <v>2.29</v>
      </c>
    </row>
    <row r="260" spans="1:13" ht="15" customHeight="1" x14ac:dyDescent="0.25">
      <c r="A260" s="29">
        <v>2.2999999999999998</v>
      </c>
      <c r="B260" s="30">
        <v>3.4251022706290039E-2</v>
      </c>
      <c r="C260" s="31">
        <v>3.1090768232623061E-2</v>
      </c>
      <c r="L260" s="25">
        <f t="shared" si="9"/>
        <v>0.36574897729370998</v>
      </c>
      <c r="M260" s="25">
        <f t="shared" si="10"/>
        <v>2.2999999999999998</v>
      </c>
    </row>
    <row r="261" spans="1:13" ht="15" customHeight="1" x14ac:dyDescent="0.25">
      <c r="A261" s="29">
        <v>2.31</v>
      </c>
      <c r="B261" s="30">
        <v>3.4029657475135963E-2</v>
      </c>
      <c r="C261" s="31">
        <v>3.1060199352763426E-2</v>
      </c>
      <c r="L261" s="25">
        <f t="shared" si="9"/>
        <v>0.36597034252486405</v>
      </c>
      <c r="M261" s="25">
        <f t="shared" si="10"/>
        <v>2.31</v>
      </c>
    </row>
    <row r="262" spans="1:13" ht="15" customHeight="1" x14ac:dyDescent="0.25">
      <c r="A262" s="29">
        <v>2.3199999999999998</v>
      </c>
      <c r="B262" s="30">
        <v>3.3810570752731611E-2</v>
      </c>
      <c r="C262" s="31">
        <v>3.1029757554196222E-2</v>
      </c>
      <c r="L262" s="25">
        <f t="shared" si="9"/>
        <v>0.36618942924726838</v>
      </c>
      <c r="M262" s="25">
        <f t="shared" si="10"/>
        <v>2.3199999999999998</v>
      </c>
    </row>
    <row r="263" spans="1:13" ht="15" customHeight="1" x14ac:dyDescent="0.25">
      <c r="A263" s="29">
        <v>2.33</v>
      </c>
      <c r="B263" s="30">
        <v>3.3593729953910641E-2</v>
      </c>
      <c r="C263" s="31">
        <v>3.0999442390898139E-2</v>
      </c>
      <c r="L263" s="25">
        <f t="shared" si="9"/>
        <v>0.36640627004608939</v>
      </c>
      <c r="M263" s="25">
        <f t="shared" si="10"/>
        <v>2.33</v>
      </c>
    </row>
    <row r="264" spans="1:13" ht="15" customHeight="1" x14ac:dyDescent="0.25">
      <c r="A264" s="29">
        <v>2.34</v>
      </c>
      <c r="B264" s="30">
        <v>3.3379103074720397E-2</v>
      </c>
      <c r="C264" s="31">
        <v>3.0969253412824995E-2</v>
      </c>
      <c r="L264" s="25">
        <f t="shared" si="9"/>
        <v>0.3666208969252796</v>
      </c>
      <c r="M264" s="25">
        <f t="shared" si="10"/>
        <v>2.34</v>
      </c>
    </row>
    <row r="265" spans="1:13" ht="15" customHeight="1" x14ac:dyDescent="0.25">
      <c r="A265" s="29">
        <v>2.35</v>
      </c>
      <c r="B265" s="30">
        <v>3.316665868021991E-2</v>
      </c>
      <c r="C265" s="31">
        <v>3.093919016615598E-2</v>
      </c>
      <c r="L265" s="25">
        <f t="shared" si="9"/>
        <v>0.36683334131978013</v>
      </c>
      <c r="M265" s="25">
        <f t="shared" si="10"/>
        <v>2.35</v>
      </c>
    </row>
    <row r="266" spans="1:13" ht="15" customHeight="1" x14ac:dyDescent="0.25">
      <c r="A266" s="29">
        <v>2.36</v>
      </c>
      <c r="B266" s="30">
        <v>3.2956365892573766E-2</v>
      </c>
      <c r="C266" s="31">
        <v>3.0909252193528733E-2</v>
      </c>
      <c r="L266" s="25">
        <f t="shared" si="9"/>
        <v>0.36704363410742624</v>
      </c>
      <c r="M266" s="25">
        <f t="shared" si="10"/>
        <v>2.36</v>
      </c>
    </row>
    <row r="267" spans="1:13" ht="15" customHeight="1" x14ac:dyDescent="0.25">
      <c r="A267" s="29">
        <v>2.37</v>
      </c>
      <c r="B267" s="30">
        <v>3.2748194379432959E-2</v>
      </c>
      <c r="C267" s="31">
        <v>3.0879439034265814E-2</v>
      </c>
      <c r="L267" s="25">
        <f t="shared" si="9"/>
        <v>0.36725180562056708</v>
      </c>
      <c r="M267" s="25">
        <f t="shared" si="10"/>
        <v>2.37</v>
      </c>
    </row>
    <row r="268" spans="1:13" ht="15" customHeight="1" x14ac:dyDescent="0.25">
      <c r="A268" s="29">
        <v>2.38</v>
      </c>
      <c r="B268" s="30">
        <v>3.2542114342595657E-2</v>
      </c>
      <c r="C268" s="31">
        <v>3.0849750224592774E-2</v>
      </c>
      <c r="L268" s="25">
        <f t="shared" si="9"/>
        <v>0.36745788565740434</v>
      </c>
      <c r="M268" s="25">
        <f t="shared" si="10"/>
        <v>2.38</v>
      </c>
    </row>
    <row r="269" spans="1:13" ht="15" customHeight="1" x14ac:dyDescent="0.25">
      <c r="A269" s="29">
        <v>2.39</v>
      </c>
      <c r="B269" s="30">
        <v>3.233809650693939E-2</v>
      </c>
      <c r="C269" s="31">
        <v>3.0820185297847909E-2</v>
      </c>
      <c r="L269" s="25">
        <f t="shared" si="9"/>
        <v>0.3676619034930606</v>
      </c>
      <c r="M269" s="25">
        <f t="shared" si="10"/>
        <v>2.39</v>
      </c>
    </row>
    <row r="270" spans="1:13" ht="15" customHeight="1" x14ac:dyDescent="0.25">
      <c r="A270" s="29">
        <v>2.4</v>
      </c>
      <c r="B270" s="30">
        <v>3.213611210961799E-2</v>
      </c>
      <c r="C270" s="31">
        <v>3.079074378468449E-2</v>
      </c>
      <c r="L270" s="25">
        <f t="shared" si="9"/>
        <v>0.36786388789038205</v>
      </c>
      <c r="M270" s="25">
        <f t="shared" si="10"/>
        <v>2.4</v>
      </c>
    </row>
    <row r="271" spans="1:13" ht="15" customHeight="1" x14ac:dyDescent="0.25">
      <c r="A271" s="29">
        <v>2.41</v>
      </c>
      <c r="B271" s="30">
        <v>3.1936132889515322E-2</v>
      </c>
      <c r="C271" s="31">
        <v>3.0761425213265171E-2</v>
      </c>
      <c r="L271" s="25">
        <f t="shared" si="9"/>
        <v>0.36806386711048472</v>
      </c>
      <c r="M271" s="25">
        <f t="shared" si="10"/>
        <v>2.41</v>
      </c>
    </row>
    <row r="272" spans="1:13" ht="15" customHeight="1" x14ac:dyDescent="0.25">
      <c r="A272" s="29">
        <v>2.42</v>
      </c>
      <c r="B272" s="30">
        <v>3.1738131076949644E-2</v>
      </c>
      <c r="C272" s="31">
        <v>3.073222910944929E-2</v>
      </c>
      <c r="L272" s="25">
        <f t="shared" si="9"/>
        <v>0.36826186892305035</v>
      </c>
      <c r="M272" s="25">
        <f t="shared" si="10"/>
        <v>2.42</v>
      </c>
    </row>
    <row r="273" spans="1:13" ht="15" customHeight="1" x14ac:dyDescent="0.25">
      <c r="A273" s="29">
        <v>2.4300000000000002</v>
      </c>
      <c r="B273" s="30">
        <v>3.1542079383621038E-2</v>
      </c>
      <c r="C273" s="31">
        <v>3.0703154996973066E-2</v>
      </c>
      <c r="L273" s="25">
        <f t="shared" si="9"/>
        <v>0.368457920616379</v>
      </c>
      <c r="M273" s="25">
        <f t="shared" si="10"/>
        <v>2.4300000000000002</v>
      </c>
    </row>
    <row r="274" spans="1:13" ht="15" customHeight="1" x14ac:dyDescent="0.25">
      <c r="A274" s="29">
        <v>2.44</v>
      </c>
      <c r="B274" s="30">
        <v>3.1347950992796005E-2</v>
      </c>
      <c r="C274" s="31">
        <v>3.0674202397623029E-2</v>
      </c>
      <c r="L274" s="25">
        <f t="shared" si="9"/>
        <v>0.368652049007204</v>
      </c>
      <c r="M274" s="25">
        <f t="shared" si="10"/>
        <v>2.44</v>
      </c>
    </row>
    <row r="275" spans="1:13" ht="15" customHeight="1" x14ac:dyDescent="0.25">
      <c r="A275" s="29">
        <v>2.4500000000000002</v>
      </c>
      <c r="B275" s="30">
        <v>3.1155719549722433E-2</v>
      </c>
      <c r="C275" s="31">
        <v>3.0645370831402913E-2</v>
      </c>
      <c r="L275" s="25">
        <f t="shared" si="9"/>
        <v>0.36884428045027762</v>
      </c>
      <c r="M275" s="25">
        <f t="shared" si="10"/>
        <v>2.4500000000000002</v>
      </c>
    </row>
    <row r="276" spans="1:13" ht="15" customHeight="1" x14ac:dyDescent="0.25">
      <c r="A276" s="29">
        <v>2.46</v>
      </c>
      <c r="B276" s="30">
        <v>3.0965359152268872E-2</v>
      </c>
      <c r="C276" s="31">
        <v>3.0616659816694154E-2</v>
      </c>
      <c r="L276" s="25">
        <f t="shared" si="9"/>
        <v>0.36903464084773113</v>
      </c>
      <c r="M276" s="25">
        <f t="shared" si="10"/>
        <v>2.46</v>
      </c>
    </row>
    <row r="277" spans="1:13" ht="15" customHeight="1" x14ac:dyDescent="0.25">
      <c r="A277" s="29">
        <v>2.4700000000000002</v>
      </c>
      <c r="B277" s="30">
        <v>3.0776844341782381E-2</v>
      </c>
      <c r="C277" s="31">
        <v>3.0588068870410524E-2</v>
      </c>
      <c r="L277" s="25">
        <f t="shared" si="9"/>
        <v>0.36922315565821762</v>
      </c>
      <c r="M277" s="25">
        <f t="shared" si="10"/>
        <v>2.4700000000000002</v>
      </c>
    </row>
    <row r="278" spans="1:13" ht="15" customHeight="1" x14ac:dyDescent="0.25">
      <c r="A278" s="29">
        <v>2.48</v>
      </c>
      <c r="B278" s="30">
        <v>3.0590150094158771E-2</v>
      </c>
      <c r="C278" s="31">
        <v>3.0559597508146609E-2</v>
      </c>
      <c r="L278" s="25">
        <f t="shared" si="9"/>
        <v>0.36940984990584125</v>
      </c>
      <c r="M278" s="25">
        <f t="shared" si="10"/>
        <v>2.48</v>
      </c>
    </row>
    <row r="279" spans="1:13" ht="15" customHeight="1" x14ac:dyDescent="0.25">
      <c r="A279" s="29">
        <v>2.4900000000000002</v>
      </c>
      <c r="B279" s="30">
        <v>3.0405251811119725E-2</v>
      </c>
      <c r="C279" s="31">
        <v>3.0531245244320753E-2</v>
      </c>
      <c r="L279" s="25">
        <f t="shared" si="9"/>
        <v>0.36959474818888027</v>
      </c>
      <c r="M279" s="25">
        <f t="shared" si="10"/>
        <v>2.4900000000000002</v>
      </c>
    </row>
    <row r="280" spans="1:13" ht="15" customHeight="1" x14ac:dyDescent="0.25">
      <c r="A280" s="32">
        <v>2.5</v>
      </c>
      <c r="B280" s="33">
        <v>3.0222125311691803E-2</v>
      </c>
      <c r="C280" s="34">
        <v>3.0503011592312643E-2</v>
      </c>
      <c r="L280" s="25">
        <f t="shared" si="9"/>
        <v>0.36977787468830819</v>
      </c>
      <c r="M280" s="25">
        <f t="shared" si="10"/>
        <v>2.5</v>
      </c>
    </row>
  </sheetData>
  <mergeCells count="4">
    <mergeCell ref="A1:A2"/>
    <mergeCell ref="C18:C19"/>
    <mergeCell ref="C21:C22"/>
    <mergeCell ref="A8:A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84"/>
  <sheetViews>
    <sheetView workbookViewId="0">
      <selection activeCell="E8" sqref="E8:O8"/>
    </sheetView>
  </sheetViews>
  <sheetFormatPr defaultRowHeight="15" customHeight="1" x14ac:dyDescent="0.25"/>
  <cols>
    <col min="1" max="1" width="32.28515625" customWidth="1"/>
    <col min="3" max="3" width="30.140625" bestFit="1" customWidth="1"/>
    <col min="5" max="5" width="9.140625" customWidth="1"/>
  </cols>
  <sheetData>
    <row r="1" spans="1:17" ht="15" customHeight="1" x14ac:dyDescent="0.25">
      <c r="A1" s="55" t="s">
        <v>56</v>
      </c>
    </row>
    <row r="2" spans="1:17" ht="15" customHeight="1" x14ac:dyDescent="0.25">
      <c r="A2" s="55"/>
      <c r="C2" t="s">
        <v>0</v>
      </c>
      <c r="E2" s="8">
        <v>1</v>
      </c>
      <c r="F2" s="8">
        <v>2</v>
      </c>
      <c r="G2" s="8">
        <v>3</v>
      </c>
      <c r="H2" s="8">
        <v>4</v>
      </c>
      <c r="I2" s="8">
        <v>5</v>
      </c>
      <c r="J2" s="8">
        <v>6</v>
      </c>
      <c r="K2" s="8">
        <v>7</v>
      </c>
      <c r="L2" s="8">
        <v>8</v>
      </c>
      <c r="M2" s="8">
        <v>9</v>
      </c>
      <c r="N2" s="8">
        <v>10</v>
      </c>
      <c r="O2" s="8" t="s">
        <v>2</v>
      </c>
      <c r="P2" t="s">
        <v>3</v>
      </c>
      <c r="Q2" t="s">
        <v>16</v>
      </c>
    </row>
    <row r="3" spans="1:17" ht="15" customHeight="1" x14ac:dyDescent="0.25">
      <c r="C3" t="s">
        <v>27</v>
      </c>
      <c r="D3" s="1" t="s">
        <v>12</v>
      </c>
      <c r="E3" s="2">
        <v>1.4514176135884901E-2</v>
      </c>
      <c r="F3" s="2">
        <v>4.2231692167386099E-2</v>
      </c>
      <c r="G3" s="2">
        <v>0.100220341134515</v>
      </c>
      <c r="H3" s="2">
        <v>0.15438522658595899</v>
      </c>
      <c r="I3" s="2">
        <v>0.19563793191647399</v>
      </c>
      <c r="J3" s="2">
        <v>0.229635088002342</v>
      </c>
      <c r="K3" s="2">
        <v>0.258843108246047</v>
      </c>
      <c r="L3" s="2">
        <v>0.28409739334216999</v>
      </c>
      <c r="M3" s="2">
        <v>0.304429102114741</v>
      </c>
      <c r="N3" s="2">
        <v>0.31988238382748702</v>
      </c>
      <c r="O3" s="2">
        <v>0.335993044231645</v>
      </c>
      <c r="P3" s="1" t="s">
        <v>85</v>
      </c>
      <c r="Q3" t="s">
        <v>43</v>
      </c>
    </row>
    <row r="4" spans="1:17" ht="15" customHeight="1" x14ac:dyDescent="0.25">
      <c r="C4" s="3" t="s">
        <v>6</v>
      </c>
      <c r="D4" s="3" t="s">
        <v>13</v>
      </c>
      <c r="E4" s="2">
        <v>5.4683991579589E-3</v>
      </c>
      <c r="F4" s="2">
        <v>3.6348653443286097E-2</v>
      </c>
      <c r="G4" s="2">
        <v>0.39111465512684201</v>
      </c>
      <c r="H4" s="2">
        <v>0.88567802012647301</v>
      </c>
      <c r="I4" s="2">
        <v>0.98410828528553496</v>
      </c>
      <c r="J4" s="2">
        <v>0.99653236907821396</v>
      </c>
      <c r="K4" s="2">
        <v>0.99897673122860797</v>
      </c>
      <c r="L4" s="2">
        <v>0.99966407393052303</v>
      </c>
      <c r="M4" s="2">
        <v>0.99988524555633795</v>
      </c>
      <c r="N4" s="2">
        <v>0.99996003551778501</v>
      </c>
      <c r="O4" s="2">
        <v>0.99998592618896298</v>
      </c>
      <c r="P4" s="5" t="s">
        <v>5</v>
      </c>
      <c r="Q4" t="s">
        <v>43</v>
      </c>
    </row>
    <row r="5" spans="1:17" ht="15" customHeight="1" x14ac:dyDescent="0.25">
      <c r="A5" s="38" t="s">
        <v>45</v>
      </c>
      <c r="B5" s="17">
        <v>0.1</v>
      </c>
      <c r="C5" s="1" t="s">
        <v>7</v>
      </c>
      <c r="D5" s="1" t="s">
        <v>9</v>
      </c>
      <c r="E5" s="2">
        <v>0.35</v>
      </c>
      <c r="F5" s="2">
        <v>0.35</v>
      </c>
      <c r="G5" s="2">
        <v>0.35</v>
      </c>
      <c r="H5" s="2">
        <v>0.35</v>
      </c>
      <c r="I5" s="2">
        <v>0.35</v>
      </c>
      <c r="J5" s="2">
        <v>0.35</v>
      </c>
      <c r="K5" s="2">
        <v>0.35</v>
      </c>
      <c r="L5" s="2">
        <v>0.35</v>
      </c>
      <c r="M5" s="2">
        <v>0.35</v>
      </c>
      <c r="N5" s="2">
        <v>0.35</v>
      </c>
      <c r="O5" s="2">
        <v>0.35</v>
      </c>
      <c r="P5" s="4" t="s">
        <v>5</v>
      </c>
      <c r="Q5" t="s">
        <v>44</v>
      </c>
    </row>
    <row r="6" spans="1:17" ht="15" customHeight="1" x14ac:dyDescent="0.35">
      <c r="C6" s="11" t="s">
        <v>8</v>
      </c>
      <c r="D6" s="11" t="s">
        <v>24</v>
      </c>
      <c r="E6" s="19">
        <v>1</v>
      </c>
      <c r="F6">
        <f>E6*EXP(-E5)</f>
        <v>0.70468808971871344</v>
      </c>
      <c r="G6">
        <f t="shared" ref="G6:N6" si="0">F6*EXP(-F5)</f>
        <v>0.49658530379140953</v>
      </c>
      <c r="H6">
        <f t="shared" si="0"/>
        <v>0.34993774911115538</v>
      </c>
      <c r="I6">
        <f t="shared" si="0"/>
        <v>0.24659696394160649</v>
      </c>
      <c r="J6">
        <f t="shared" si="0"/>
        <v>0.17377394345044514</v>
      </c>
      <c r="K6">
        <f t="shared" si="0"/>
        <v>0.12245642825298192</v>
      </c>
      <c r="L6">
        <f t="shared" si="0"/>
        <v>8.6293586499370523E-2</v>
      </c>
      <c r="M6">
        <f t="shared" si="0"/>
        <v>6.0810062625217973E-2</v>
      </c>
      <c r="N6">
        <f t="shared" si="0"/>
        <v>4.2852126867040187E-2</v>
      </c>
      <c r="O6" s="20">
        <f>N6*EXP(-N5)/(1-EXP(-O5))</f>
        <v>0.10225589409365608</v>
      </c>
      <c r="P6" s="7" t="s">
        <v>5</v>
      </c>
      <c r="Q6" t="s">
        <v>17</v>
      </c>
    </row>
    <row r="7" spans="1:17" ht="15" customHeight="1" x14ac:dyDescent="0.35">
      <c r="C7" s="12" t="s">
        <v>11</v>
      </c>
      <c r="D7" s="15" t="s">
        <v>22</v>
      </c>
      <c r="E7">
        <f>SUMPRODUCT(E6:O6,E3:O3,E4:O4)</f>
        <v>0.27846452131696486</v>
      </c>
      <c r="P7" s="1" t="s">
        <v>86</v>
      </c>
    </row>
    <row r="8" spans="1:17" ht="15" customHeight="1" x14ac:dyDescent="0.25">
      <c r="A8" s="55" t="s">
        <v>63</v>
      </c>
      <c r="C8" s="3" t="s">
        <v>4</v>
      </c>
      <c r="D8" s="3" t="s">
        <v>14</v>
      </c>
      <c r="E8" s="2">
        <v>3.6261919131430301E-2</v>
      </c>
      <c r="F8" s="2">
        <v>0.442038807084495</v>
      </c>
      <c r="G8" s="2">
        <v>0.953383075836302</v>
      </c>
      <c r="H8" s="2">
        <v>0.97124383638185796</v>
      </c>
      <c r="I8" s="2">
        <v>0.98163231396893003</v>
      </c>
      <c r="J8" s="2">
        <v>0.979759308829527</v>
      </c>
      <c r="K8" s="2">
        <v>0.97361862431421398</v>
      </c>
      <c r="L8" s="2">
        <v>0.96596967900267705</v>
      </c>
      <c r="M8" s="2">
        <v>0.95949060754709004</v>
      </c>
      <c r="N8" s="2">
        <v>0.95474833216409505</v>
      </c>
      <c r="O8" s="2">
        <v>0.951256923690879</v>
      </c>
      <c r="P8" s="4" t="s">
        <v>5</v>
      </c>
      <c r="Q8" t="s">
        <v>46</v>
      </c>
    </row>
    <row r="9" spans="1:17" ht="15" customHeight="1" x14ac:dyDescent="0.25">
      <c r="A9" s="55"/>
      <c r="C9" t="s">
        <v>21</v>
      </c>
      <c r="D9" t="s">
        <v>20</v>
      </c>
      <c r="E9" s="6">
        <f>B5</f>
        <v>0.1</v>
      </c>
      <c r="P9" s="4" t="s">
        <v>5</v>
      </c>
    </row>
    <row r="10" spans="1:17" ht="15" customHeight="1" x14ac:dyDescent="0.35">
      <c r="C10" s="13" t="s">
        <v>18</v>
      </c>
      <c r="D10" s="13" t="s">
        <v>25</v>
      </c>
      <c r="E10" s="20">
        <v>1</v>
      </c>
      <c r="F10">
        <f>E10*EXP(-E5-$E$9*E8)</f>
        <v>0.70213738293763173</v>
      </c>
      <c r="G10">
        <f t="shared" ref="G10:N10" si="1">F10*EXP(-F5-$E$9*F8)</f>
        <v>0.47339266675026376</v>
      </c>
      <c r="H10">
        <f t="shared" si="1"/>
        <v>0.30325890080704587</v>
      </c>
      <c r="I10">
        <f t="shared" si="1"/>
        <v>0.19392326026043458</v>
      </c>
      <c r="J10">
        <f t="shared" si="1"/>
        <v>0.12387825685179521</v>
      </c>
      <c r="K10">
        <f t="shared" si="1"/>
        <v>7.9148303559177235E-2</v>
      </c>
      <c r="L10">
        <f t="shared" si="1"/>
        <v>5.0600501657669258E-2</v>
      </c>
      <c r="M10">
        <f t="shared" si="1"/>
        <v>3.2374287839012965E-2</v>
      </c>
      <c r="N10">
        <f t="shared" si="1"/>
        <v>2.0726549474486308E-2</v>
      </c>
      <c r="O10" s="20">
        <f>N10*EXP(-N5-$E$9*N8)/(1-EXP(-O5-$E$9*O8))</f>
        <v>3.6953484345372316E-2</v>
      </c>
      <c r="P10" s="4" t="s">
        <v>5</v>
      </c>
    </row>
    <row r="11" spans="1:17" ht="15" customHeight="1" x14ac:dyDescent="0.35">
      <c r="C11" s="14" t="s">
        <v>19</v>
      </c>
      <c r="D11" s="14" t="s">
        <v>23</v>
      </c>
      <c r="E11">
        <f>SUMPRODUCT(E10:O10,E3:O3,E4:O4)</f>
        <v>0.19060029400935319</v>
      </c>
      <c r="P11" s="1" t="s">
        <v>86</v>
      </c>
    </row>
    <row r="12" spans="1:17" ht="15" customHeight="1" x14ac:dyDescent="0.25">
      <c r="C12" s="14" t="s">
        <v>52</v>
      </c>
      <c r="D12" s="14" t="s">
        <v>26</v>
      </c>
      <c r="E12">
        <f>E11/E7</f>
        <v>0.68446886198619394</v>
      </c>
      <c r="P12" s="4" t="s">
        <v>5</v>
      </c>
    </row>
    <row r="13" spans="1:17" ht="15" customHeight="1" x14ac:dyDescent="0.25">
      <c r="C13" s="14" t="s">
        <v>55</v>
      </c>
      <c r="D13" s="14" t="s">
        <v>54</v>
      </c>
      <c r="E13">
        <f>E10*E3*$E$9*E8*(1-EXP(-$E$9*E8-E5))/($E$9*E8+E5)</f>
        <v>4.433173728069964E-5</v>
      </c>
      <c r="F13">
        <f t="shared" ref="F13:O13" si="2">F10*F3*$E$9*F8*(1-EXP(-$E$9*F8-F5))/($E$9*F8+F5)</f>
        <v>1.083250896845982E-3</v>
      </c>
      <c r="G13">
        <f t="shared" si="2"/>
        <v>3.6502598019605152E-3</v>
      </c>
      <c r="H13">
        <f t="shared" si="2"/>
        <v>3.6666327602132513E-3</v>
      </c>
      <c r="I13">
        <f t="shared" si="2"/>
        <v>3.0015310989262001E-3</v>
      </c>
      <c r="J13">
        <f t="shared" si="2"/>
        <v>2.2464740751173017E-3</v>
      </c>
      <c r="K13">
        <f t="shared" si="2"/>
        <v>1.608196808347475E-3</v>
      </c>
      <c r="L13">
        <f t="shared" si="2"/>
        <v>1.1199830090050794E-3</v>
      </c>
      <c r="M13">
        <f t="shared" si="2"/>
        <v>7.6292746191224049E-4</v>
      </c>
      <c r="N13">
        <f t="shared" si="2"/>
        <v>5.1080803707729064E-4</v>
      </c>
      <c r="O13">
        <f t="shared" si="2"/>
        <v>9.5324645916366189E-4</v>
      </c>
      <c r="P13" t="s">
        <v>85</v>
      </c>
    </row>
    <row r="14" spans="1:17" ht="15" customHeight="1" x14ac:dyDescent="0.25">
      <c r="C14" s="14" t="s">
        <v>51</v>
      </c>
      <c r="D14" s="14" t="s">
        <v>53</v>
      </c>
      <c r="E14">
        <f>SUM(E13:O13)</f>
        <v>1.8647642145849699E-2</v>
      </c>
      <c r="P14" t="s">
        <v>85</v>
      </c>
    </row>
    <row r="15" spans="1:17" ht="15" customHeight="1" x14ac:dyDescent="0.25">
      <c r="C15" s="63" t="s">
        <v>99</v>
      </c>
      <c r="D15" s="64" t="s">
        <v>97</v>
      </c>
      <c r="E15" s="17">
        <f>3.505041*1000</f>
        <v>3505.0409999999997</v>
      </c>
      <c r="P15" t="s">
        <v>89</v>
      </c>
      <c r="Q15" t="s">
        <v>46</v>
      </c>
    </row>
    <row r="16" spans="1:17" ht="15" customHeight="1" x14ac:dyDescent="0.25">
      <c r="C16" s="63"/>
      <c r="E16" s="25"/>
      <c r="P16" s="7"/>
    </row>
    <row r="17" spans="1:30" ht="15" customHeight="1" x14ac:dyDescent="0.25">
      <c r="C17" s="63"/>
      <c r="D17" s="10"/>
      <c r="P17" s="7"/>
    </row>
    <row r="18" spans="1:30" ht="15" customHeight="1" x14ac:dyDescent="0.25">
      <c r="C18" s="63"/>
      <c r="D18" s="1"/>
      <c r="P18" s="7"/>
    </row>
    <row r="19" spans="1:30" ht="15" customHeight="1" x14ac:dyDescent="0.25">
      <c r="A19" s="21" t="s">
        <v>57</v>
      </c>
      <c r="C19" s="1"/>
      <c r="D19" s="1"/>
      <c r="F19" s="43">
        <v>0</v>
      </c>
    </row>
    <row r="20" spans="1:30" ht="15" customHeight="1" x14ac:dyDescent="0.25">
      <c r="A20" s="39" t="s">
        <v>58</v>
      </c>
      <c r="B20" s="17">
        <v>40</v>
      </c>
      <c r="C20" s="1" t="s">
        <v>59</v>
      </c>
      <c r="D20" s="1"/>
    </row>
    <row r="21" spans="1:30" ht="15" customHeight="1" x14ac:dyDescent="0.25">
      <c r="A21" s="38" t="s">
        <v>60</v>
      </c>
      <c r="B21" s="42">
        <f>VLOOKUP(L31,L34:M284,2,FALSE)</f>
        <v>0.28000000000000003</v>
      </c>
      <c r="C21" s="1"/>
      <c r="D21" s="1"/>
    </row>
    <row r="22" spans="1:30" ht="15" customHeight="1" x14ac:dyDescent="0.25">
      <c r="C22" s="1"/>
      <c r="D22" s="1"/>
    </row>
    <row r="23" spans="1:30" ht="15" customHeight="1" x14ac:dyDescent="0.35">
      <c r="C23" s="63" t="s">
        <v>98</v>
      </c>
      <c r="D23" s="65" t="s">
        <v>74</v>
      </c>
      <c r="E23">
        <f>VLOOKUP(B5,A34:E284,5,FALSE)</f>
        <v>668.0618451148373</v>
      </c>
      <c r="P23" t="s">
        <v>67</v>
      </c>
      <c r="Q23" t="s">
        <v>108</v>
      </c>
    </row>
    <row r="24" spans="1:30" ht="15" customHeight="1" x14ac:dyDescent="0.25">
      <c r="C24" s="63"/>
    </row>
    <row r="26" spans="1:30" ht="15" customHeight="1" x14ac:dyDescent="0.25">
      <c r="A26" s="55" t="s">
        <v>100</v>
      </c>
    </row>
    <row r="27" spans="1:30" ht="15" customHeight="1" x14ac:dyDescent="0.25">
      <c r="A27" s="55"/>
      <c r="C27" s="57" t="str">
        <f>CONCATENATE("Equilibrium SSB at F at ",B20,"% SPR")</f>
        <v>Equilibrium SSB at F at 40% SPR</v>
      </c>
      <c r="D27" s="62" t="str">
        <f>CONCATENATE("SSB F",B20,"%")</f>
        <v>SSB F40%</v>
      </c>
      <c r="E27">
        <f>VLOOKUP(B21,A34:E284,5,FALSE)</f>
        <v>392.07521508585063</v>
      </c>
      <c r="P27" t="s">
        <v>67</v>
      </c>
    </row>
    <row r="28" spans="1:30" ht="15" customHeight="1" x14ac:dyDescent="0.25">
      <c r="A28" s="55"/>
      <c r="C28" s="10"/>
    </row>
    <row r="29" spans="1:30" ht="15" customHeight="1" x14ac:dyDescent="0.25">
      <c r="C29" s="10"/>
      <c r="L29" s="51" t="s">
        <v>82</v>
      </c>
      <c r="M29" s="51"/>
      <c r="N29" s="51"/>
    </row>
    <row r="30" spans="1:30" ht="15" customHeight="1" x14ac:dyDescent="0.25">
      <c r="C30" s="10"/>
      <c r="L30" t="s">
        <v>62</v>
      </c>
    </row>
    <row r="31" spans="1:30" s="25" customFormat="1" ht="15" customHeight="1" x14ac:dyDescent="0.25">
      <c r="A31" s="60" t="s">
        <v>94</v>
      </c>
      <c r="B31" s="61"/>
      <c r="C31" s="61"/>
      <c r="D31" s="61"/>
      <c r="E31"/>
      <c r="F31"/>
      <c r="G31"/>
      <c r="H31"/>
      <c r="I31"/>
      <c r="L31" s="25">
        <f>MIN(L34:L284)</f>
        <v>1.7042407753039002E-3</v>
      </c>
      <c r="AD31"/>
    </row>
    <row r="32" spans="1:30" ht="15" customHeight="1" x14ac:dyDescent="0.35">
      <c r="A32" s="35" t="s">
        <v>20</v>
      </c>
      <c r="B32" s="36" t="s">
        <v>26</v>
      </c>
      <c r="C32" s="36" t="s">
        <v>53</v>
      </c>
      <c r="D32" s="37" t="s">
        <v>23</v>
      </c>
      <c r="E32" s="41" t="s">
        <v>74</v>
      </c>
      <c r="L32" t="s">
        <v>61</v>
      </c>
      <c r="M32" t="s">
        <v>20</v>
      </c>
    </row>
    <row r="33" spans="1:30" s="25" customFormat="1" ht="15" customHeight="1" x14ac:dyDescent="0.25">
      <c r="A33" s="26"/>
      <c r="B33" s="49">
        <f>E12</f>
        <v>0.68446886198619394</v>
      </c>
      <c r="C33" s="49">
        <f>E14</f>
        <v>1.8647642145849699E-2</v>
      </c>
      <c r="D33" s="50">
        <f>E11</f>
        <v>0.19060029400935319</v>
      </c>
      <c r="E33"/>
      <c r="F33"/>
      <c r="G33"/>
      <c r="H33"/>
      <c r="I33"/>
      <c r="AD33"/>
    </row>
    <row r="34" spans="1:30" ht="15" customHeight="1" x14ac:dyDescent="0.25">
      <c r="A34" s="29">
        <v>1E-4</v>
      </c>
      <c r="B34" s="30">
        <f t="dataTable" ref="B34:D284" dt2D="0" dtr="0" r1="B5"/>
        <v>0.99957921186715459</v>
      </c>
      <c r="C34" s="30">
        <v>2.6831243809218875E-5</v>
      </c>
      <c r="D34" s="31">
        <v>0.27834734675097622</v>
      </c>
      <c r="E34">
        <f>D34*$E$15</f>
        <v>975.61886260338838</v>
      </c>
      <c r="L34" s="25">
        <f>ABS(B34-$B$20/100)</f>
        <v>0.59957921186715457</v>
      </c>
      <c r="M34" s="25">
        <f t="shared" ref="M34:M97" si="3">A34</f>
        <v>1E-4</v>
      </c>
    </row>
    <row r="35" spans="1:30" ht="15" customHeight="1" x14ac:dyDescent="0.25">
      <c r="A35" s="29">
        <v>0.01</v>
      </c>
      <c r="B35" s="30">
        <v>0.95923692764839574</v>
      </c>
      <c r="C35" s="30">
        <v>2.5782733080532043E-3</v>
      </c>
      <c r="D35" s="31">
        <v>0.26711345188716656</v>
      </c>
      <c r="E35">
        <f t="shared" ref="E35:E98" si="4">D35*$E$15</f>
        <v>936.24360051604606</v>
      </c>
      <c r="L35" s="25">
        <f t="shared" ref="L35:L98" si="5">ABS(B35-$B$20/100)</f>
        <v>0.55923692764839572</v>
      </c>
      <c r="M35" s="25">
        <f t="shared" si="3"/>
        <v>0.01</v>
      </c>
    </row>
    <row r="36" spans="1:30" ht="15" customHeight="1" x14ac:dyDescent="0.25">
      <c r="A36" s="29">
        <v>0.02</v>
      </c>
      <c r="B36" s="30">
        <v>0.92098392015969677</v>
      </c>
      <c r="C36" s="30">
        <v>4.9577543154900811E-3</v>
      </c>
      <c r="D36" s="31">
        <v>0.25646134646789176</v>
      </c>
      <c r="E36">
        <f t="shared" si="4"/>
        <v>898.90753428516575</v>
      </c>
      <c r="L36" s="25">
        <f t="shared" si="5"/>
        <v>0.52098392015969675</v>
      </c>
      <c r="M36" s="25">
        <f t="shared" si="3"/>
        <v>0.02</v>
      </c>
    </row>
    <row r="37" spans="1:30" ht="15" customHeight="1" x14ac:dyDescent="0.25">
      <c r="A37" s="29">
        <v>0.03</v>
      </c>
      <c r="B37" s="30">
        <v>0.8850352768045644</v>
      </c>
      <c r="C37" s="30">
        <v>7.1564693829870487E-3</v>
      </c>
      <c r="D37" s="31">
        <v>0.24645092470401053</v>
      </c>
      <c r="E37">
        <f t="shared" si="4"/>
        <v>863.82059557546972</v>
      </c>
      <c r="L37" s="25">
        <f t="shared" si="5"/>
        <v>0.48503527680456437</v>
      </c>
      <c r="M37" s="25">
        <f t="shared" si="3"/>
        <v>0.03</v>
      </c>
    </row>
    <row r="38" spans="1:30" ht="15" customHeight="1" x14ac:dyDescent="0.25">
      <c r="A38" s="29">
        <v>0.04</v>
      </c>
      <c r="B38" s="30">
        <v>0.85120627324999176</v>
      </c>
      <c r="C38" s="30">
        <v>9.1905063333097767E-3</v>
      </c>
      <c r="D38" s="31">
        <v>0.23703074742255656</v>
      </c>
      <c r="E38">
        <f t="shared" si="4"/>
        <v>830.80248797670504</v>
      </c>
      <c r="L38" s="25">
        <f t="shared" si="5"/>
        <v>0.45120627324999174</v>
      </c>
      <c r="M38" s="25">
        <f t="shared" si="3"/>
        <v>0.04</v>
      </c>
    </row>
    <row r="39" spans="1:30" ht="15" customHeight="1" x14ac:dyDescent="0.25">
      <c r="A39" s="29">
        <v>0.05</v>
      </c>
      <c r="B39" s="30">
        <v>0.81933060785614542</v>
      </c>
      <c r="C39" s="30">
        <v>1.107425715962243E-2</v>
      </c>
      <c r="D39" s="31">
        <v>0.2281545055169994</v>
      </c>
      <c r="E39">
        <f t="shared" si="4"/>
        <v>799.69089617180896</v>
      </c>
      <c r="L39" s="25">
        <f t="shared" si="5"/>
        <v>0.4193306078561454</v>
      </c>
      <c r="M39" s="25">
        <f t="shared" si="3"/>
        <v>0.05</v>
      </c>
    </row>
    <row r="40" spans="1:30" ht="15" customHeight="1" x14ac:dyDescent="0.25">
      <c r="A40" s="29">
        <v>0.06</v>
      </c>
      <c r="B40" s="30">
        <v>0.78925820861960994</v>
      </c>
      <c r="C40" s="30">
        <v>1.2820625972301701E-2</v>
      </c>
      <c r="D40" s="31">
        <v>0.21978040925874487</v>
      </c>
      <c r="E40">
        <f t="shared" si="4"/>
        <v>770.33934544868032</v>
      </c>
      <c r="L40" s="25">
        <f t="shared" si="5"/>
        <v>0.38925820861960991</v>
      </c>
      <c r="M40" s="25">
        <f t="shared" si="3"/>
        <v>0.06</v>
      </c>
    </row>
    <row r="41" spans="1:30" ht="15" customHeight="1" x14ac:dyDescent="0.25">
      <c r="A41" s="29">
        <v>7.0000000000000007E-2</v>
      </c>
      <c r="B41" s="30">
        <v>0.76085334295682439</v>
      </c>
      <c r="C41" s="30">
        <v>1.4441207792607399E-2</v>
      </c>
      <c r="D41" s="31">
        <v>0.2118706619388846</v>
      </c>
      <c r="E41">
        <f t="shared" si="4"/>
        <v>742.6153567929299</v>
      </c>
      <c r="L41" s="25">
        <f t="shared" si="5"/>
        <v>0.36085334295682436</v>
      </c>
      <c r="M41" s="25">
        <f t="shared" si="3"/>
        <v>7.0000000000000007E-2</v>
      </c>
    </row>
    <row r="42" spans="1:30" ht="15" customHeight="1" x14ac:dyDescent="0.25">
      <c r="A42" s="29">
        <v>0.08</v>
      </c>
      <c r="B42" s="30">
        <v>0.7339929828557693</v>
      </c>
      <c r="C42" s="30">
        <v>1.5946442796102703E-2</v>
      </c>
      <c r="D42" s="31">
        <v>0.20439100462094301</v>
      </c>
      <c r="E42">
        <f t="shared" si="4"/>
        <v>716.39885122759461</v>
      </c>
      <c r="L42" s="25">
        <f t="shared" si="5"/>
        <v>0.33399298285576928</v>
      </c>
      <c r="M42" s="25">
        <f t="shared" si="3"/>
        <v>0.08</v>
      </c>
    </row>
    <row r="43" spans="1:30" ht="15" customHeight="1" x14ac:dyDescent="0.25">
      <c r="A43" s="29">
        <v>0.09</v>
      </c>
      <c r="B43" s="30">
        <v>0.70856538622649956</v>
      </c>
      <c r="C43" s="30">
        <v>1.7345749801153023E-2</v>
      </c>
      <c r="D43" s="31">
        <v>0.19731032109733254</v>
      </c>
      <c r="E43">
        <f t="shared" si="4"/>
        <v>691.58076516931544</v>
      </c>
      <c r="L43" s="25">
        <f t="shared" si="5"/>
        <v>0.30856538622649954</v>
      </c>
      <c r="M43" s="25">
        <f t="shared" si="3"/>
        <v>0.09</v>
      </c>
    </row>
    <row r="44" spans="1:30" ht="15" customHeight="1" x14ac:dyDescent="0.25">
      <c r="A44" s="29">
        <v>0.1</v>
      </c>
      <c r="B44" s="30">
        <v>0.68446886198619394</v>
      </c>
      <c r="C44" s="30">
        <v>1.8647642145849699E-2</v>
      </c>
      <c r="D44" s="31">
        <v>0.19060029400935319</v>
      </c>
      <c r="E44">
        <f t="shared" si="4"/>
        <v>668.0618451148373</v>
      </c>
      <c r="L44" s="25">
        <f t="shared" si="5"/>
        <v>0.28446886198619392</v>
      </c>
      <c r="M44" s="25">
        <f t="shared" si="3"/>
        <v>0.1</v>
      </c>
    </row>
    <row r="45" spans="1:30" ht="15" customHeight="1" x14ac:dyDescent="0.25">
      <c r="A45" s="29">
        <v>0.11</v>
      </c>
      <c r="B45" s="30">
        <v>0.66161069185628396</v>
      </c>
      <c r="C45" s="30">
        <v>1.9859828567731084E-2</v>
      </c>
      <c r="D45" s="31">
        <v>0.18423510460594605</v>
      </c>
      <c r="E45">
        <f t="shared" si="4"/>
        <v>645.75159528312975</v>
      </c>
      <c r="L45" s="25">
        <f t="shared" si="5"/>
        <v>0.26161069185628394</v>
      </c>
      <c r="M45" s="25">
        <f t="shared" si="3"/>
        <v>0.11</v>
      </c>
    </row>
    <row r="46" spans="1:30" ht="15" customHeight="1" x14ac:dyDescent="0.25">
      <c r="A46" s="29">
        <v>0.12</v>
      </c>
      <c r="B46" s="30">
        <v>0.63990618628682094</v>
      </c>
      <c r="C46" s="30">
        <v>2.0989301269480565E-2</v>
      </c>
      <c r="D46" s="31">
        <v>0.17819116985212413</v>
      </c>
      <c r="E46">
        <f t="shared" si="4"/>
        <v>624.56735616965898</v>
      </c>
      <c r="L46" s="25">
        <f t="shared" si="5"/>
        <v>0.23990618628682092</v>
      </c>
      <c r="M46" s="25">
        <f t="shared" si="3"/>
        <v>0.12</v>
      </c>
    </row>
    <row r="47" spans="1:30" ht="15" customHeight="1" x14ac:dyDescent="0.25">
      <c r="A47" s="29">
        <v>0.13</v>
      </c>
      <c r="B47" s="30">
        <v>0.61927785555832326</v>
      </c>
      <c r="C47" s="30">
        <v>2.2042413000715765E-2</v>
      </c>
      <c r="D47" s="31">
        <v>0.172446911610245</v>
      </c>
      <c r="E47">
        <f t="shared" si="4"/>
        <v>604.43349551728465</v>
      </c>
      <c r="L47" s="25">
        <f t="shared" si="5"/>
        <v>0.21927785555832324</v>
      </c>
      <c r="M47" s="25">
        <f t="shared" si="3"/>
        <v>0.13</v>
      </c>
    </row>
    <row r="48" spans="1:30" ht="15" customHeight="1" x14ac:dyDescent="0.25">
      <c r="A48" s="29">
        <v>0.14000000000000001</v>
      </c>
      <c r="B48" s="30">
        <v>0.59965468010187983</v>
      </c>
      <c r="C48" s="30">
        <v>2.302494469564919E-2</v>
      </c>
      <c r="D48" s="31">
        <v>0.16698255345004767</v>
      </c>
      <c r="E48">
        <f t="shared" si="4"/>
        <v>585.28069612710851</v>
      </c>
      <c r="L48" s="25">
        <f t="shared" si="5"/>
        <v>0.19965468010187981</v>
      </c>
      <c r="M48" s="25">
        <f t="shared" si="3"/>
        <v>0.14000000000000001</v>
      </c>
    </row>
    <row r="49" spans="1:13" ht="15" customHeight="1" x14ac:dyDescent="0.25">
      <c r="A49" s="29">
        <v>0.15</v>
      </c>
      <c r="B49" s="30">
        <v>0.58097146654880893</v>
      </c>
      <c r="C49" s="30">
        <v>2.3942164966673545E-2</v>
      </c>
      <c r="D49" s="31">
        <v>0.16177994133132914</v>
      </c>
      <c r="E49">
        <f t="shared" si="4"/>
        <v>567.04532734390318</v>
      </c>
      <c r="L49" s="25">
        <f t="shared" si="5"/>
        <v>0.18097146654880891</v>
      </c>
      <c r="M49" s="25">
        <f t="shared" si="3"/>
        <v>0.15</v>
      </c>
    </row>
    <row r="50" spans="1:13" ht="15" customHeight="1" x14ac:dyDescent="0.25">
      <c r="A50" s="29">
        <v>0.16</v>
      </c>
      <c r="B50" s="30">
        <v>0.56316827807014747</v>
      </c>
      <c r="C50" s="30">
        <v>2.4798882555206347E-2</v>
      </c>
      <c r="D50" s="31">
        <v>0.15682238497370299</v>
      </c>
      <c r="E50">
        <f t="shared" si="4"/>
        <v>549.66888905061285</v>
      </c>
      <c r="L50" s="25">
        <f t="shared" si="5"/>
        <v>0.16316827807014744</v>
      </c>
      <c r="M50" s="25">
        <f t="shared" si="3"/>
        <v>0.16</v>
      </c>
    </row>
    <row r="51" spans="1:13" ht="15" customHeight="1" x14ac:dyDescent="0.25">
      <c r="A51" s="29">
        <v>0.17</v>
      </c>
      <c r="B51" s="30">
        <v>0.54618992927210608</v>
      </c>
      <c r="C51" s="30">
        <v>2.5599492675784891E-2</v>
      </c>
      <c r="D51" s="31">
        <v>0.15209451720290393</v>
      </c>
      <c r="E51">
        <f t="shared" si="4"/>
        <v>533.09751867138357</v>
      </c>
      <c r="L51" s="25">
        <f t="shared" si="5"/>
        <v>0.14618992927210606</v>
      </c>
      <c r="M51" s="25">
        <f t="shared" si="3"/>
        <v>0.17</v>
      </c>
    </row>
    <row r="52" spans="1:13" ht="15" customHeight="1" x14ac:dyDescent="0.25">
      <c r="A52" s="29">
        <v>0.18</v>
      </c>
      <c r="B52" s="30">
        <v>0.529985537338996</v>
      </c>
      <c r="C52" s="30">
        <v>2.6348018051333116E-2</v>
      </c>
      <c r="D52" s="31">
        <v>0.14758216896001794</v>
      </c>
      <c r="E52">
        <f t="shared" si="4"/>
        <v>517.28155307379018</v>
      </c>
      <c r="L52" s="25">
        <f t="shared" si="5"/>
        <v>0.12998553733899598</v>
      </c>
      <c r="M52" s="25">
        <f t="shared" si="3"/>
        <v>0.18</v>
      </c>
    </row>
    <row r="53" spans="1:13" ht="15" customHeight="1" x14ac:dyDescent="0.25">
      <c r="A53" s="29">
        <v>0.19</v>
      </c>
      <c r="B53" s="30">
        <v>0.51450812231029308</v>
      </c>
      <c r="C53" s="30">
        <v>2.7048145321829226E-2</v>
      </c>
      <c r="D53" s="31">
        <v>0.14327225799282617</v>
      </c>
      <c r="E53">
        <f t="shared" si="4"/>
        <v>502.17513842743341</v>
      </c>
      <c r="L53" s="25">
        <f t="shared" si="5"/>
        <v>0.11450812231029306</v>
      </c>
      <c r="M53" s="25">
        <f t="shared" si="3"/>
        <v>0.19</v>
      </c>
    </row>
    <row r="54" spans="1:13" ht="15" customHeight="1" x14ac:dyDescent="0.25">
      <c r="A54" s="29">
        <v>0.2</v>
      </c>
      <c r="B54" s="30">
        <v>0.49971425038404899</v>
      </c>
      <c r="C54" s="30">
        <v>2.7703257411339003E-2</v>
      </c>
      <c r="D54" s="31">
        <v>0.13915268952846013</v>
      </c>
      <c r="E54">
        <f t="shared" si="4"/>
        <v>487.73588205752338</v>
      </c>
      <c r="L54" s="25">
        <f t="shared" si="5"/>
        <v>9.9714250384048964E-2</v>
      </c>
      <c r="M54" s="25">
        <f t="shared" si="3"/>
        <v>0.2</v>
      </c>
    </row>
    <row r="55" spans="1:13" ht="15" customHeight="1" x14ac:dyDescent="0.25">
      <c r="A55" s="29">
        <v>0.21</v>
      </c>
      <c r="B55" s="30">
        <v>0.48556371498754353</v>
      </c>
      <c r="C55" s="30">
        <v>2.831646235634885E-2</v>
      </c>
      <c r="D55" s="31">
        <v>0.13521226746289347</v>
      </c>
      <c r="E55">
        <f t="shared" si="4"/>
        <v>473.92454116040756</v>
      </c>
      <c r="L55" s="25">
        <f t="shared" si="5"/>
        <v>8.5563714987543504E-2</v>
      </c>
      <c r="M55" s="25">
        <f t="shared" si="3"/>
        <v>0.21</v>
      </c>
    </row>
    <row r="56" spans="1:13" ht="15" customHeight="1" x14ac:dyDescent="0.25">
      <c r="A56" s="29">
        <v>0.22</v>
      </c>
      <c r="B56" s="30">
        <v>0.47201925107466908</v>
      </c>
      <c r="C56" s="30">
        <v>2.8890619028937085E-2</v>
      </c>
      <c r="D56" s="31">
        <v>0.13144061480289998</v>
      </c>
      <c r="E56">
        <f t="shared" si="4"/>
        <v>460.70474394937133</v>
      </c>
      <c r="L56" s="25">
        <f t="shared" si="5"/>
        <v>7.2019251074669055E-2</v>
      </c>
      <c r="M56" s="25">
        <f t="shared" si="3"/>
        <v>0.22</v>
      </c>
    </row>
    <row r="57" spans="1:13" ht="15" customHeight="1" x14ac:dyDescent="0.25">
      <c r="A57" s="29">
        <v>0.23</v>
      </c>
      <c r="B57" s="30">
        <v>0.45904627871976766</v>
      </c>
      <c r="C57" s="30">
        <v>2.9428360129442985E-2</v>
      </c>
      <c r="D57" s="31">
        <v>0.12782810226603414</v>
      </c>
      <c r="E57">
        <f t="shared" si="4"/>
        <v>448.04273939464252</v>
      </c>
      <c r="L57" s="25">
        <f t="shared" si="5"/>
        <v>5.9046278719767642E-2</v>
      </c>
      <c r="M57" s="25">
        <f t="shared" si="3"/>
        <v>0.23</v>
      </c>
    </row>
    <row r="58" spans="1:13" ht="15" customHeight="1" x14ac:dyDescent="0.25">
      <c r="A58" s="29">
        <v>0.24</v>
      </c>
      <c r="B58" s="30">
        <v>0.4466126725973425</v>
      </c>
      <c r="C58" s="30">
        <v>2.9932112773194745E-2</v>
      </c>
      <c r="D58" s="31">
        <v>0.12436578408890933</v>
      </c>
      <c r="E58">
        <f t="shared" si="4"/>
        <v>435.90717222877481</v>
      </c>
      <c r="L58" s="25">
        <f t="shared" si="5"/>
        <v>4.6612672597342475E-2</v>
      </c>
      <c r="M58" s="25">
        <f t="shared" si="3"/>
        <v>0.24</v>
      </c>
    </row>
    <row r="59" spans="1:13" ht="15" customHeight="1" x14ac:dyDescent="0.25">
      <c r="A59" s="29">
        <v>0.25</v>
      </c>
      <c r="B59" s="30">
        <v>0.43468855438093951</v>
      </c>
      <c r="C59" s="30">
        <v>3.0404116953115356E-2</v>
      </c>
      <c r="D59" s="31">
        <v>0.12104534021765177</v>
      </c>
      <c r="E59">
        <f t="shared" si="4"/>
        <v>424.26888032181836</v>
      </c>
      <c r="L59" s="25">
        <f t="shared" si="5"/>
        <v>3.4688554380939485E-2</v>
      </c>
      <c r="M59" s="25">
        <f t="shared" si="3"/>
        <v>0.25</v>
      </c>
    </row>
    <row r="60" spans="1:13" ht="15" customHeight="1" x14ac:dyDescent="0.25">
      <c r="A60" s="29">
        <v>0.26</v>
      </c>
      <c r="B60" s="30">
        <v>0.42324610547457209</v>
      </c>
      <c r="C60" s="30">
        <v>3.0846442123461156E-2</v>
      </c>
      <c r="D60" s="31">
        <v>0.11785902416024634</v>
      </c>
      <c r="E60">
        <f t="shared" si="4"/>
        <v>413.10071190165394</v>
      </c>
      <c r="L60" s="25">
        <f t="shared" si="5"/>
        <v>2.3246105474572065E-2</v>
      </c>
      <c r="M60" s="25">
        <f t="shared" si="3"/>
        <v>0.26</v>
      </c>
    </row>
    <row r="61" spans="1:13" ht="15" customHeight="1" x14ac:dyDescent="0.25">
      <c r="A61" s="29">
        <v>0.27</v>
      </c>
      <c r="B61" s="30">
        <v>0.41225939781640808</v>
      </c>
      <c r="C61" s="30">
        <v>3.1261002118592375E-2</v>
      </c>
      <c r="D61" s="31">
        <v>0.11479961587136626</v>
      </c>
      <c r="E61">
        <f t="shared" si="4"/>
        <v>402.37736041338945</v>
      </c>
      <c r="L61" s="25">
        <f t="shared" si="5"/>
        <v>1.2259397816408057E-2</v>
      </c>
      <c r="M61" s="25">
        <f t="shared" si="3"/>
        <v>0.27</v>
      </c>
    </row>
    <row r="62" spans="1:13" ht="15" customHeight="1" x14ac:dyDescent="0.25">
      <c r="A62" s="29">
        <v>0.28000000000000003</v>
      </c>
      <c r="B62" s="30">
        <v>0.40170424077530392</v>
      </c>
      <c r="C62" s="30">
        <v>3.1649568593716891E-2</v>
      </c>
      <c r="D62" s="31">
        <v>0.11186037911848981</v>
      </c>
      <c r="E62">
        <f t="shared" si="4"/>
        <v>392.07521508585063</v>
      </c>
      <c r="L62" s="25">
        <f t="shared" si="5"/>
        <v>1.7042407753039002E-3</v>
      </c>
      <c r="M62" s="25">
        <f t="shared" si="3"/>
        <v>0.28000000000000003</v>
      </c>
    </row>
    <row r="63" spans="1:13" ht="15" customHeight="1" x14ac:dyDescent="0.25">
      <c r="A63" s="29">
        <v>0.28999999999999998</v>
      </c>
      <c r="B63" s="30">
        <v>0.39155804240312425</v>
      </c>
      <c r="C63" s="30">
        <v>3.2013783151319856E-2</v>
      </c>
      <c r="D63" s="31">
        <v>0.10903502284559383</v>
      </c>
      <c r="E63">
        <f t="shared" si="4"/>
        <v>382.17222550974299</v>
      </c>
      <c r="L63" s="25">
        <f t="shared" si="5"/>
        <v>8.441957596875771E-3</v>
      </c>
      <c r="M63" s="25">
        <f t="shared" si="3"/>
        <v>0.28999999999999998</v>
      </c>
    </row>
    <row r="64" spans="1:13" ht="15" customHeight="1" x14ac:dyDescent="0.25">
      <c r="A64" s="29">
        <v>0.3</v>
      </c>
      <c r="B64" s="30">
        <v>0.38179968351535931</v>
      </c>
      <c r="C64" s="30">
        <v>3.2355168296928388E-2</v>
      </c>
      <c r="D64" s="31">
        <v>0.10631766610907321</v>
      </c>
      <c r="E64">
        <f t="shared" si="4"/>
        <v>372.64777873661205</v>
      </c>
      <c r="L64" s="25">
        <f t="shared" si="5"/>
        <v>1.8200316484640711E-2</v>
      </c>
      <c r="M64" s="25">
        <f t="shared" si="3"/>
        <v>0.3</v>
      </c>
    </row>
    <row r="65" spans="1:13" ht="15" customHeight="1" x14ac:dyDescent="0.25">
      <c r="A65" s="29">
        <v>0.31</v>
      </c>
      <c r="B65" s="30">
        <v>0.37240940325421801</v>
      </c>
      <c r="C65" s="30">
        <v>3.2675137350494272E-2</v>
      </c>
      <c r="D65" s="31">
        <v>0.10370280621112235</v>
      </c>
      <c r="E65">
        <f t="shared" si="4"/>
        <v>363.48258758503846</v>
      </c>
      <c r="L65" s="25">
        <f t="shared" si="5"/>
        <v>2.7590596745782014E-2</v>
      </c>
      <c r="M65" s="25">
        <f t="shared" si="3"/>
        <v>0.31</v>
      </c>
    </row>
    <row r="66" spans="1:13" ht="15" customHeight="1" x14ac:dyDescent="0.25">
      <c r="A66" s="29">
        <v>0.32</v>
      </c>
      <c r="B66" s="30">
        <v>0.36336869494617685</v>
      </c>
      <c r="C66" s="30">
        <v>3.2975003424613757E-2</v>
      </c>
      <c r="D66" s="31">
        <v>0.10118528969975736</v>
      </c>
      <c r="E66">
        <f t="shared" si="4"/>
        <v>354.65858899452724</v>
      </c>
      <c r="L66" s="25">
        <f t="shared" si="5"/>
        <v>3.6631305053823171E-2</v>
      </c>
      <c r="M66" s="25">
        <f t="shared" si="3"/>
        <v>0.32</v>
      </c>
    </row>
    <row r="67" spans="1:13" ht="15" customHeight="1" x14ac:dyDescent="0.25">
      <c r="A67" s="29">
        <v>0.33</v>
      </c>
      <c r="B67" s="30">
        <v>0.35466021120334157</v>
      </c>
      <c r="C67" s="30">
        <v>3.3255987567709033E-2</v>
      </c>
      <c r="D67" s="31">
        <v>9.8760285942912168E-2</v>
      </c>
      <c r="E67">
        <f t="shared" si="4"/>
        <v>346.15885140163078</v>
      </c>
      <c r="L67" s="25">
        <f t="shared" si="5"/>
        <v>4.5339788796658453E-2</v>
      </c>
      <c r="M67" s="25">
        <f t="shared" si="3"/>
        <v>0.33</v>
      </c>
    </row>
    <row r="68" spans="1:13" ht="15" customHeight="1" x14ac:dyDescent="0.25">
      <c r="A68" s="29">
        <v>0.34</v>
      </c>
      <c r="B68" s="30">
        <v>0.34626767733781055</v>
      </c>
      <c r="C68" s="30">
        <v>3.3519226158892031E-2</v>
      </c>
      <c r="D68" s="31">
        <v>9.6423263017410665E-2</v>
      </c>
      <c r="E68">
        <f t="shared" si="4"/>
        <v>337.96749022980805</v>
      </c>
      <c r="L68" s="25">
        <f t="shared" si="5"/>
        <v>5.3732322662189469E-2</v>
      </c>
      <c r="M68" s="25">
        <f t="shared" si="3"/>
        <v>0.34</v>
      </c>
    </row>
    <row r="69" spans="1:13" ht="15" customHeight="1" x14ac:dyDescent="0.25">
      <c r="A69" s="29">
        <v>0.35</v>
      </c>
      <c r="B69" s="30">
        <v>0.33817581226297005</v>
      </c>
      <c r="C69" s="30">
        <v>3.3765777631279394E-2</v>
      </c>
      <c r="D69" s="31">
        <v>9.4169965682783727E-2</v>
      </c>
      <c r="E69">
        <f t="shared" si="4"/>
        <v>330.0695906867499</v>
      </c>
      <c r="L69" s="25">
        <f t="shared" si="5"/>
        <v>6.1824187737029968E-2</v>
      </c>
      <c r="M69" s="25">
        <f t="shared" si="3"/>
        <v>0.35</v>
      </c>
    </row>
    <row r="70" spans="1:13" ht="15" customHeight="1" x14ac:dyDescent="0.25">
      <c r="A70" s="29">
        <v>0.36</v>
      </c>
      <c r="B70" s="30">
        <v>0.33037025614737897</v>
      </c>
      <c r="C70" s="30">
        <v>3.399662859182636E-2</v>
      </c>
      <c r="D70" s="31">
        <v>9.1996395235442951E-2</v>
      </c>
      <c r="E70">
        <f t="shared" si="4"/>
        <v>322.45113715243218</v>
      </c>
      <c r="L70" s="25">
        <f t="shared" si="5"/>
        <v>6.9629743852621051E-2</v>
      </c>
      <c r="M70" s="25">
        <f t="shared" si="3"/>
        <v>0.36</v>
      </c>
    </row>
    <row r="71" spans="1:13" ht="15" customHeight="1" x14ac:dyDescent="0.25">
      <c r="A71" s="29">
        <v>0.37</v>
      </c>
      <c r="B71" s="30">
        <v>0.32283750416738044</v>
      </c>
      <c r="C71" s="30">
        <v>3.4212699398127683E-2</v>
      </c>
      <c r="D71" s="31">
        <v>8.9898791061133243E-2</v>
      </c>
      <c r="E71">
        <f t="shared" si="4"/>
        <v>315.09894851970552</v>
      </c>
      <c r="L71" s="25">
        <f t="shared" si="5"/>
        <v>7.7162495832619582E-2</v>
      </c>
      <c r="M71" s="25">
        <f t="shared" si="3"/>
        <v>0.37</v>
      </c>
    </row>
    <row r="72" spans="1:13" ht="15" customHeight="1" x14ac:dyDescent="0.25">
      <c r="A72" s="29">
        <v>0.38</v>
      </c>
      <c r="B72" s="30">
        <v>0.31556484577532051</v>
      </c>
      <c r="C72" s="30">
        <v>3.4414849245946968E-2</v>
      </c>
      <c r="D72" s="31">
        <v>8.7873613723286462E-2</v>
      </c>
      <c r="E72">
        <f t="shared" si="4"/>
        <v>308.0006189182817</v>
      </c>
      <c r="L72" s="25">
        <f t="shared" si="5"/>
        <v>8.4435154224679509E-2</v>
      </c>
      <c r="M72" s="25">
        <f t="shared" si="3"/>
        <v>0.38</v>
      </c>
    </row>
    <row r="73" spans="1:13" ht="15" customHeight="1" x14ac:dyDescent="0.25">
      <c r="A73" s="29">
        <v>0.39</v>
      </c>
      <c r="B73" s="30">
        <v>0.30854030896254203</v>
      </c>
      <c r="C73" s="30">
        <v>3.4603880815359998E-2</v>
      </c>
      <c r="D73" s="31">
        <v>8.5917529442242707E-2</v>
      </c>
      <c r="E73">
        <f t="shared" si="4"/>
        <v>301.1444633137678</v>
      </c>
      <c r="L73" s="25">
        <f t="shared" si="5"/>
        <v>9.1459691037457991E-2</v>
      </c>
      <c r="M73" s="25">
        <f t="shared" si="3"/>
        <v>0.39</v>
      </c>
    </row>
    <row r="74" spans="1:13" ht="15" customHeight="1" x14ac:dyDescent="0.25">
      <c r="A74" s="29">
        <v>0.4</v>
      </c>
      <c r="B74" s="30">
        <v>0.30175260905127022</v>
      </c>
      <c r="C74" s="30">
        <v>3.4780544518223849E-2</v>
      </c>
      <c r="D74" s="31">
        <v>8.4027395835607199E-2</v>
      </c>
      <c r="E74">
        <f t="shared" si="4"/>
        <v>294.51946752703248</v>
      </c>
      <c r="L74" s="25">
        <f t="shared" si="5"/>
        <v>9.8247390948729807E-2</v>
      </c>
      <c r="M74" s="25">
        <f t="shared" si="3"/>
        <v>0.4</v>
      </c>
    </row>
    <row r="75" spans="1:13" ht="15" customHeight="1" x14ac:dyDescent="0.25">
      <c r="A75" s="29">
        <v>0.41</v>
      </c>
      <c r="B75" s="30">
        <v>0.29519110159804574</v>
      </c>
      <c r="C75" s="30">
        <v>3.4945542385122895E-2</v>
      </c>
      <c r="D75" s="31">
        <v>8.2200248803527345E-2</v>
      </c>
      <c r="E75">
        <f t="shared" si="4"/>
        <v>288.11524226656428</v>
      </c>
      <c r="L75" s="25">
        <f t="shared" si="5"/>
        <v>0.10480889840195429</v>
      </c>
      <c r="M75" s="25">
        <f t="shared" si="3"/>
        <v>0.41</v>
      </c>
    </row>
    <row r="76" spans="1:13" ht="15" customHeight="1" x14ac:dyDescent="0.25">
      <c r="A76" s="29">
        <v>0.42</v>
      </c>
      <c r="B76" s="30">
        <v>0.28884573903432609</v>
      </c>
      <c r="C76" s="30">
        <v>3.509953162591363E-2</v>
      </c>
      <c r="D76" s="31">
        <v>8.0433290454638567E-2</v>
      </c>
      <c r="E76">
        <f t="shared" si="4"/>
        <v>281.92198080841678</v>
      </c>
      <c r="L76" s="25">
        <f t="shared" si="5"/>
        <v>0.11115426096567393</v>
      </c>
      <c r="M76" s="25">
        <f t="shared" si="3"/>
        <v>0.42</v>
      </c>
    </row>
    <row r="77" spans="1:13" ht="15" customHeight="1" x14ac:dyDescent="0.25">
      <c r="A77" s="29">
        <v>0.43</v>
      </c>
      <c r="B77" s="30">
        <v>0.28270703070795095</v>
      </c>
      <c r="C77" s="30">
        <v>3.5243127894427746E-2</v>
      </c>
      <c r="D77" s="31">
        <v>7.8723877979030049E-2</v>
      </c>
      <c r="E77">
        <f t="shared" si="4"/>
        <v>275.93041999549746</v>
      </c>
      <c r="L77" s="25">
        <f t="shared" si="5"/>
        <v>0.11729296929204908</v>
      </c>
      <c r="M77" s="25">
        <f t="shared" si="3"/>
        <v>0.43</v>
      </c>
    </row>
    <row r="78" spans="1:13" ht="15" customHeight="1" x14ac:dyDescent="0.25">
      <c r="A78" s="29">
        <v>0.44</v>
      </c>
      <c r="B78" s="30">
        <v>0.27676600602296936</v>
      </c>
      <c r="C78" s="30">
        <v>3.5376908284736761E-2</v>
      </c>
      <c r="D78" s="31">
        <v>7.706951338399437E-2</v>
      </c>
      <c r="E78">
        <f t="shared" si="4"/>
        <v>270.13180426094897</v>
      </c>
      <c r="L78" s="25">
        <f t="shared" si="5"/>
        <v>0.12323399397703066</v>
      </c>
      <c r="M78" s="25">
        <f t="shared" si="3"/>
        <v>0.44</v>
      </c>
    </row>
    <row r="79" spans="1:13" ht="15" customHeight="1" x14ac:dyDescent="0.25">
      <c r="A79" s="29">
        <v>0.45</v>
      </c>
      <c r="B79" s="30">
        <v>0.2710141804053825</v>
      </c>
      <c r="C79" s="30">
        <v>3.5501414083581637E-2</v>
      </c>
      <c r="D79" s="31">
        <v>7.5467834016694393E-2</v>
      </c>
      <c r="E79">
        <f t="shared" si="4"/>
        <v>264.5178524097085</v>
      </c>
      <c r="L79" s="25">
        <f t="shared" si="5"/>
        <v>0.12898581959461752</v>
      </c>
      <c r="M79" s="25">
        <f t="shared" si="3"/>
        <v>0.45</v>
      </c>
    </row>
    <row r="80" spans="1:13" ht="15" customHeight="1" x14ac:dyDescent="0.25">
      <c r="A80" s="29">
        <v>0.46</v>
      </c>
      <c r="B80" s="30">
        <v>0.26544352384910719</v>
      </c>
      <c r="C80" s="30">
        <v>3.5617153301084704E-2</v>
      </c>
      <c r="D80" s="31">
        <v>7.3916603805329981E-2</v>
      </c>
      <c r="E80">
        <f t="shared" si="4"/>
        <v>259.08072691843756</v>
      </c>
      <c r="L80" s="25">
        <f t="shared" si="5"/>
        <v>0.13455647615089283</v>
      </c>
      <c r="M80" s="25">
        <f t="shared" si="3"/>
        <v>0.46</v>
      </c>
    </row>
    <row r="81" spans="1:13" ht="15" customHeight="1" x14ac:dyDescent="0.25">
      <c r="A81" s="29">
        <v>0.47</v>
      </c>
      <c r="B81" s="30">
        <v>0.26004643182032355</v>
      </c>
      <c r="C81" s="30">
        <v>3.5724602999648344E-2</v>
      </c>
      <c r="D81" s="31">
        <v>7.2413705157031133E-2</v>
      </c>
      <c r="E81">
        <f t="shared" si="4"/>
        <v>253.81300553730554</v>
      </c>
      <c r="L81" s="25">
        <f t="shared" si="5"/>
        <v>0.13995356817967647</v>
      </c>
      <c r="M81" s="25">
        <f t="shared" si="3"/>
        <v>0.47</v>
      </c>
    </row>
    <row r="82" spans="1:13" ht="15" customHeight="1" x14ac:dyDescent="0.25">
      <c r="A82" s="29">
        <v>0.48</v>
      </c>
      <c r="B82" s="30">
        <v>0.25481569831967105</v>
      </c>
      <c r="C82" s="30">
        <v>3.5824211438975503E-2</v>
      </c>
      <c r="D82" s="31">
        <v>7.0957131456635333E-2</v>
      </c>
      <c r="E82">
        <f t="shared" si="4"/>
        <v>248.70765499789655</v>
      </c>
      <c r="L82" s="25">
        <f t="shared" si="5"/>
        <v>0.14518430168032898</v>
      </c>
      <c r="M82" s="25">
        <f t="shared" si="3"/>
        <v>0.48</v>
      </c>
    </row>
    <row r="83" spans="1:13" ht="15" customHeight="1" x14ac:dyDescent="0.25">
      <c r="A83" s="29">
        <v>0.49</v>
      </c>
      <c r="B83" s="30">
        <v>0.24974449092079545</v>
      </c>
      <c r="C83" s="30">
        <v>3.5916400053389773E-2</v>
      </c>
      <c r="D83" s="31">
        <v>6.9544980115808383E-2</v>
      </c>
      <c r="E83">
        <f t="shared" si="4"/>
        <v>243.75800665009311</v>
      </c>
      <c r="L83" s="25">
        <f t="shared" si="5"/>
        <v>0.15025550907920457</v>
      </c>
      <c r="M83" s="25">
        <f t="shared" si="3"/>
        <v>0.49</v>
      </c>
    </row>
    <row r="84" spans="1:13" ht="15" customHeight="1" x14ac:dyDescent="0.25">
      <c r="A84" s="29">
        <v>0.5</v>
      </c>
      <c r="B84" s="30">
        <v>0.24482632762079964</v>
      </c>
      <c r="C84" s="30">
        <v>3.6001565276063602E-2</v>
      </c>
      <c r="D84" s="31">
        <v>6.8175446126716388E-2</v>
      </c>
      <c r="E84">
        <f t="shared" si="4"/>
        <v>238.95773386743213</v>
      </c>
      <c r="L84" s="25">
        <f t="shared" si="5"/>
        <v>0.15517367237920038</v>
      </c>
      <c r="M84" s="25">
        <f t="shared" si="3"/>
        <v>0.5</v>
      </c>
    </row>
    <row r="85" spans="1:13" ht="15" customHeight="1" x14ac:dyDescent="0.25">
      <c r="A85" s="29">
        <v>0.51</v>
      </c>
      <c r="B85" s="30">
        <v>0.2400550553534288</v>
      </c>
      <c r="C85" s="30">
        <v>3.6080080223361281E-2</v>
      </c>
      <c r="D85" s="31">
        <v>6.6846816078710056E-2</v>
      </c>
      <c r="E85">
        <f t="shared" si="4"/>
        <v>234.30083107533795</v>
      </c>
      <c r="L85" s="25">
        <f t="shared" si="5"/>
        <v>0.15994494464657122</v>
      </c>
      <c r="M85" s="25">
        <f t="shared" si="3"/>
        <v>0.51</v>
      </c>
    </row>
    <row r="86" spans="1:13" ht="15" customHeight="1" x14ac:dyDescent="0.25">
      <c r="A86" s="29">
        <v>0.52</v>
      </c>
      <c r="B86" s="30">
        <v>0.23542483002953274</v>
      </c>
      <c r="C86" s="30">
        <v>3.6152296251246906E-2</v>
      </c>
      <c r="D86" s="31">
        <v>6.5557462600301653E-2</v>
      </c>
      <c r="E86">
        <f t="shared" si="4"/>
        <v>229.78159427002387</v>
      </c>
      <c r="L86" s="25">
        <f t="shared" si="5"/>
        <v>0.16457516997046728</v>
      </c>
      <c r="M86" s="25">
        <f t="shared" si="3"/>
        <v>0.52</v>
      </c>
    </row>
    <row r="87" spans="1:13" ht="15" customHeight="1" x14ac:dyDescent="0.25">
      <c r="A87" s="29">
        <v>0.53</v>
      </c>
      <c r="B87" s="30">
        <v>0.23093009798167222</v>
      </c>
      <c r="C87" s="30">
        <v>3.6218544394583239E-2</v>
      </c>
      <c r="D87" s="31">
        <v>6.430583919214615E-2</v>
      </c>
      <c r="E87">
        <f t="shared" si="4"/>
        <v>225.39460290787912</v>
      </c>
      <c r="L87" s="25">
        <f t="shared" si="5"/>
        <v>0.16906990201832781</v>
      </c>
      <c r="M87" s="25">
        <f t="shared" si="3"/>
        <v>0.53</v>
      </c>
    </row>
    <row r="88" spans="1:13" ht="15" customHeight="1" x14ac:dyDescent="0.25">
      <c r="A88" s="29">
        <v>0.54</v>
      </c>
      <c r="B88" s="30">
        <v>0.22656557870081895</v>
      </c>
      <c r="C88" s="30">
        <v>3.627913669913755E-2</v>
      </c>
      <c r="D88" s="31">
        <v>6.3090475419824682E-2</v>
      </c>
      <c r="E88">
        <f t="shared" si="4"/>
        <v>221.1347030559777</v>
      </c>
      <c r="L88" s="25">
        <f t="shared" si="5"/>
        <v>0.17343442129918107</v>
      </c>
      <c r="M88" s="25">
        <f t="shared" si="3"/>
        <v>0.54</v>
      </c>
    </row>
    <row r="89" spans="1:13" ht="15" customHeight="1" x14ac:dyDescent="0.25">
      <c r="A89" s="29">
        <v>0.55000000000000004</v>
      </c>
      <c r="B89" s="30">
        <v>0.22232624876308388</v>
      </c>
      <c r="C89" s="30">
        <v>3.6334367455203589E-2</v>
      </c>
      <c r="D89" s="31">
        <v>6.1909972438008602E-2</v>
      </c>
      <c r="E89">
        <f t="shared" si="4"/>
        <v>216.99699170409008</v>
      </c>
      <c r="L89" s="25">
        <f t="shared" si="5"/>
        <v>0.17767375123691614</v>
      </c>
      <c r="M89" s="25">
        <f t="shared" si="3"/>
        <v>0.55000000000000004</v>
      </c>
    </row>
    <row r="90" spans="1:13" ht="15" customHeight="1" x14ac:dyDescent="0.25">
      <c r="A90" s="29">
        <v>0.56000000000000005</v>
      </c>
      <c r="B90" s="30">
        <v>0.21820732685340971</v>
      </c>
      <c r="C90" s="30">
        <v>3.6384514340934739E-2</v>
      </c>
      <c r="D90" s="31">
        <v>6.0762998820089231E-2</v>
      </c>
      <c r="E90">
        <f t="shared" si="4"/>
        <v>212.97680214736437</v>
      </c>
      <c r="L90" s="25">
        <f t="shared" si="5"/>
        <v>0.18179267314659031</v>
      </c>
      <c r="M90" s="25">
        <f t="shared" si="3"/>
        <v>0.56000000000000005</v>
      </c>
    </row>
    <row r="91" spans="1:13" ht="15" customHeight="1" x14ac:dyDescent="0.25">
      <c r="A91" s="29">
        <v>0.56999999999999995</v>
      </c>
      <c r="B91" s="30">
        <v>0.2142042598012916</v>
      </c>
      <c r="C91" s="30">
        <v>3.6429839482748388E-2</v>
      </c>
      <c r="D91" s="31">
        <v>5.9648286669621443E-2</v>
      </c>
      <c r="E91">
        <f t="shared" si="4"/>
        <v>209.06969035677659</v>
      </c>
      <c r="L91" s="25">
        <f t="shared" si="5"/>
        <v>0.18579574019870843</v>
      </c>
      <c r="M91" s="25">
        <f t="shared" si="3"/>
        <v>0.56999999999999995</v>
      </c>
    </row>
    <row r="92" spans="1:13" ht="15" customHeight="1" x14ac:dyDescent="0.25">
      <c r="A92" s="29">
        <v>0.57999999999999996</v>
      </c>
      <c r="B92" s="30">
        <v>0.21031270955093084</v>
      </c>
      <c r="C92" s="30">
        <v>3.6470590439501113E-2</v>
      </c>
      <c r="D92" s="31">
        <v>5.8564627991973824E-2</v>
      </c>
      <c r="E92">
        <f t="shared" si="4"/>
        <v>205.2714222616159</v>
      </c>
      <c r="L92" s="25">
        <f t="shared" si="5"/>
        <v>0.18968729044906918</v>
      </c>
      <c r="M92" s="25">
        <f t="shared" si="3"/>
        <v>0.57999999999999996</v>
      </c>
    </row>
    <row r="93" spans="1:13" ht="15" customHeight="1" x14ac:dyDescent="0.25">
      <c r="A93" s="29">
        <v>0.59</v>
      </c>
      <c r="B93" s="30">
        <v>0.20652854099487075</v>
      </c>
      <c r="C93" s="30">
        <v>3.6507001116538318E-2</v>
      </c>
      <c r="D93" s="31">
        <v>5.751087130642784E-2</v>
      </c>
      <c r="E93">
        <f t="shared" si="4"/>
        <v>201.57796187475313</v>
      </c>
      <c r="L93" s="25">
        <f t="shared" si="5"/>
        <v>0.19347145900512927</v>
      </c>
      <c r="M93" s="25">
        <f t="shared" si="3"/>
        <v>0.59</v>
      </c>
    </row>
    <row r="94" spans="1:13" ht="15" customHeight="1" x14ac:dyDescent="0.25">
      <c r="A94" s="29">
        <v>0.6</v>
      </c>
      <c r="B94" s="30">
        <v>0.20284781060617973</v>
      </c>
      <c r="C94" s="30">
        <v>3.6539292615182649E-2</v>
      </c>
      <c r="D94" s="31">
        <v>5.6485918480644187E-2</v>
      </c>
      <c r="E94">
        <f t="shared" si="4"/>
        <v>197.98546019731558</v>
      </c>
      <c r="L94" s="25">
        <f t="shared" si="5"/>
        <v>0.19715218939382029</v>
      </c>
      <c r="M94" s="25">
        <f t="shared" si="3"/>
        <v>0.6</v>
      </c>
    </row>
    <row r="95" spans="1:13" ht="15" customHeight="1" x14ac:dyDescent="0.25">
      <c r="A95" s="29">
        <v>0.61</v>
      </c>
      <c r="B95" s="30">
        <v>0.19926675580969788</v>
      </c>
      <c r="C95" s="30">
        <v>3.65676740227402E-2</v>
      </c>
      <c r="D95" s="31">
        <v>5.5488721770932045E-2</v>
      </c>
      <c r="E95">
        <f t="shared" si="4"/>
        <v>194.49024484470942</v>
      </c>
      <c r="L95" s="25">
        <f t="shared" si="5"/>
        <v>0.20073324419030214</v>
      </c>
      <c r="M95" s="25">
        <f t="shared" si="3"/>
        <v>0.61</v>
      </c>
    </row>
    <row r="96" spans="1:13" ht="15" customHeight="1" x14ac:dyDescent="0.25">
      <c r="A96" s="29">
        <v>0.62</v>
      </c>
      <c r="B96" s="30">
        <v>0.1957817850378121</v>
      </c>
      <c r="C96" s="30">
        <v>3.659234314766216E-2</v>
      </c>
      <c r="D96" s="31">
        <v>5.4518281053135262E-2</v>
      </c>
      <c r="E96">
        <f t="shared" si="4"/>
        <v>191.08881034076225</v>
      </c>
      <c r="L96" s="25">
        <f t="shared" si="5"/>
        <v>0.20421821496218792</v>
      </c>
      <c r="M96" s="25">
        <f t="shared" si="3"/>
        <v>0.62</v>
      </c>
    </row>
    <row r="97" spans="1:13" ht="15" customHeight="1" x14ac:dyDescent="0.25">
      <c r="A97" s="29">
        <v>0.63</v>
      </c>
      <c r="B97" s="30">
        <v>0.19238946842071836</v>
      </c>
      <c r="C97" s="30">
        <v>3.6613487204102325E-2</v>
      </c>
      <c r="D97" s="31">
        <v>5.3573641230200662E-2</v>
      </c>
      <c r="E97">
        <f t="shared" si="4"/>
        <v>187.77780903114373</v>
      </c>
      <c r="L97" s="25">
        <f t="shared" si="5"/>
        <v>0.20761053157928167</v>
      </c>
      <c r="M97" s="25">
        <f t="shared" si="3"/>
        <v>0.63</v>
      </c>
    </row>
    <row r="98" spans="1:13" ht="15" customHeight="1" x14ac:dyDescent="0.25">
      <c r="A98" s="29">
        <v>0.64</v>
      </c>
      <c r="B98" s="30">
        <v>0.18908652906521431</v>
      </c>
      <c r="C98" s="30">
        <v>3.6631283449749211E-2</v>
      </c>
      <c r="D98" s="31">
        <v>5.2653889803631268E-2</v>
      </c>
      <c r="E98">
        <f t="shared" si="4"/>
        <v>184.55404257120952</v>
      </c>
      <c r="L98" s="25">
        <f t="shared" si="5"/>
        <v>0.21091347093478571</v>
      </c>
      <c r="M98" s="25">
        <f t="shared" ref="M98:M161" si="6">A98</f>
        <v>0.64</v>
      </c>
    </row>
    <row r="99" spans="1:13" ht="15" customHeight="1" x14ac:dyDescent="0.25">
      <c r="A99" s="29">
        <v>0.65</v>
      </c>
      <c r="B99" s="30">
        <v>0.18586983487978351</v>
      </c>
      <c r="C99" s="30">
        <v>3.6645899780483548E-2</v>
      </c>
      <c r="D99" s="31">
        <v>5.1758154597062213E-2</v>
      </c>
      <c r="E99">
        <f t="shared" ref="E99:E162" si="7">D99*$E$15</f>
        <v>181.41445394704152</v>
      </c>
      <c r="L99" s="25">
        <f t="shared" ref="L99:L162" si="8">ABS(B99-$B$20/100)</f>
        <v>0.21413016512021651</v>
      </c>
      <c r="M99" s="25">
        <f t="shared" si="6"/>
        <v>0.65</v>
      </c>
    </row>
    <row r="100" spans="1:13" ht="15" customHeight="1" x14ac:dyDescent="0.25">
      <c r="A100" s="29">
        <v>0.66</v>
      </c>
      <c r="B100" s="30">
        <v>0.1827363909071173</v>
      </c>
      <c r="C100" s="30">
        <v>3.6657495285115846E-2</v>
      </c>
      <c r="D100" s="31">
        <v>5.088560162114019E-2</v>
      </c>
      <c r="E100">
        <f t="shared" si="7"/>
        <v>178.35611999176282</v>
      </c>
      <c r="L100" s="25">
        <f t="shared" si="8"/>
        <v>0.21726360909288273</v>
      </c>
      <c r="M100" s="25">
        <f t="shared" si="6"/>
        <v>0.66</v>
      </c>
    </row>
    <row r="101" spans="1:13" ht="15" customHeight="1" x14ac:dyDescent="0.25">
      <c r="A101" s="29">
        <v>0.67</v>
      </c>
      <c r="B101" s="30">
        <v>0.17968333212830681</v>
      </c>
      <c r="C101" s="30">
        <v>3.6666220763187027E-2</v>
      </c>
      <c r="D101" s="31">
        <v>5.0035433069746171E-2</v>
      </c>
      <c r="E101">
        <f t="shared" si="7"/>
        <v>175.37624436221617</v>
      </c>
      <c r="L101" s="25">
        <f t="shared" si="8"/>
        <v>0.22031666787169321</v>
      </c>
      <c r="M101" s="25">
        <f t="shared" si="6"/>
        <v>0.67</v>
      </c>
    </row>
    <row r="102" spans="1:13" ht="15" customHeight="1" x14ac:dyDescent="0.25">
      <c r="A102" s="29">
        <v>0.68</v>
      </c>
      <c r="B102" s="30">
        <v>0.17670791670575484</v>
      </c>
      <c r="C102" s="30">
        <v>3.6672219208570951E-2</v>
      </c>
      <c r="D102" s="31">
        <v>4.9206885438386118E-2</v>
      </c>
      <c r="E102">
        <f t="shared" si="7"/>
        <v>172.47215094384632</v>
      </c>
      <c r="L102" s="25">
        <f t="shared" si="8"/>
        <v>0.22329208329424519</v>
      </c>
      <c r="M102" s="25">
        <f t="shared" si="6"/>
        <v>0.68</v>
      </c>
    </row>
    <row r="103" spans="1:13" ht="15" customHeight="1" x14ac:dyDescent="0.25">
      <c r="A103" s="29">
        <v>0.69</v>
      </c>
      <c r="B103" s="30">
        <v>0.17380751963442487</v>
      </c>
      <c r="C103" s="30">
        <v>3.6675626261392653E-2</v>
      </c>
      <c r="D103" s="31">
        <v>4.839922775628909E-2</v>
      </c>
      <c r="E103">
        <f t="shared" si="7"/>
        <v>169.64127765413124</v>
      </c>
      <c r="L103" s="25">
        <f t="shared" si="8"/>
        <v>0.22619248036557515</v>
      </c>
      <c r="M103" s="25">
        <f t="shared" si="6"/>
        <v>0.69</v>
      </c>
    </row>
    <row r="104" spans="1:13" ht="15" customHeight="1" x14ac:dyDescent="0.25">
      <c r="A104" s="29">
        <v>0.7</v>
      </c>
      <c r="B104" s="30">
        <v>0.17097962677339942</v>
      </c>
      <c r="C104" s="30">
        <v>3.6676570630573536E-2</v>
      </c>
      <c r="D104" s="31">
        <v>4.7611759924407977E-2</v>
      </c>
      <c r="E104">
        <f t="shared" si="7"/>
        <v>166.88117061720683</v>
      </c>
      <c r="L104" s="25">
        <f t="shared" si="8"/>
        <v>0.2290203732266006</v>
      </c>
      <c r="M104" s="25">
        <f t="shared" si="6"/>
        <v>0.7</v>
      </c>
    </row>
    <row r="105" spans="1:13" ht="15" customHeight="1" x14ac:dyDescent="0.25">
      <c r="A105" s="29">
        <v>0.71</v>
      </c>
      <c r="B105" s="30">
        <v>0.16822182923186543</v>
      </c>
      <c r="C105" s="30">
        <v>3.6675174489128624E-2</v>
      </c>
      <c r="D105" s="31">
        <v>4.6843811152115618E-2</v>
      </c>
      <c r="E105">
        <f t="shared" si="7"/>
        <v>164.18947868442245</v>
      </c>
      <c r="L105" s="25">
        <f t="shared" si="8"/>
        <v>0.23177817076813459</v>
      </c>
      <c r="M105" s="25">
        <f t="shared" si="6"/>
        <v>0.71</v>
      </c>
    </row>
    <row r="106" spans="1:13" ht="15" customHeight="1" x14ac:dyDescent="0.25">
      <c r="A106" s="29">
        <v>0.72</v>
      </c>
      <c r="B106" s="30">
        <v>0.16553181808561276</v>
      </c>
      <c r="C106" s="30">
        <v>3.6671553844171194E-2</v>
      </c>
      <c r="D106" s="31">
        <v>4.6094738485937065E-2</v>
      </c>
      <c r="E106">
        <f t="shared" si="7"/>
        <v>161.56394827748733</v>
      </c>
      <c r="L106" s="25">
        <f t="shared" si="8"/>
        <v>0.23446818191438726</v>
      </c>
      <c r="M106" s="25">
        <f t="shared" si="6"/>
        <v>0.72</v>
      </c>
    </row>
    <row r="107" spans="1:13" ht="15" customHeight="1" x14ac:dyDescent="0.25">
      <c r="A107" s="29">
        <v>0.73</v>
      </c>
      <c r="B107" s="30">
        <v>0.16290737940193675</v>
      </c>
      <c r="C107" s="30">
        <v>3.6665818883426606E-2</v>
      </c>
      <c r="D107" s="31">
        <v>4.5363925424161497E-2</v>
      </c>
      <c r="E107">
        <f t="shared" si="7"/>
        <v>159.00241853262841</v>
      </c>
      <c r="L107" s="25">
        <f t="shared" si="8"/>
        <v>0.23709262059806327</v>
      </c>
      <c r="M107" s="25">
        <f t="shared" si="6"/>
        <v>0.73</v>
      </c>
    </row>
    <row r="108" spans="1:13" ht="15" customHeight="1" x14ac:dyDescent="0.25">
      <c r="A108" s="29">
        <v>0.74</v>
      </c>
      <c r="B108" s="30">
        <v>0.16034638955248445</v>
      </c>
      <c r="C108" s="30">
        <v>3.6658074299914419E-2</v>
      </c>
      <c r="D108" s="31">
        <v>4.4650780611636159E-2</v>
      </c>
      <c r="E108">
        <f t="shared" si="7"/>
        <v>156.50281672578981</v>
      </c>
      <c r="L108" s="25">
        <f t="shared" si="8"/>
        <v>0.23965361044751557</v>
      </c>
      <c r="M108" s="25">
        <f t="shared" si="6"/>
        <v>0.74</v>
      </c>
    </row>
    <row r="109" spans="1:13" ht="15" customHeight="1" x14ac:dyDescent="0.25">
      <c r="A109" s="29">
        <v>0.75</v>
      </c>
      <c r="B109" s="30">
        <v>0.15784681079510507</v>
      </c>
      <c r="C109" s="30">
        <v>3.6648419596329793E-2</v>
      </c>
      <c r="D109" s="31">
        <v>4.3954736609468456E-2</v>
      </c>
      <c r="E109">
        <f t="shared" si="7"/>
        <v>154.06315396038792</v>
      </c>
      <c r="L109" s="25">
        <f t="shared" si="8"/>
        <v>0.24215318920489495</v>
      </c>
      <c r="M109" s="25">
        <f t="shared" si="6"/>
        <v>0.75</v>
      </c>
    </row>
    <row r="110" spans="1:13" ht="15" customHeight="1" x14ac:dyDescent="0.25">
      <c r="A110" s="29">
        <v>0.76</v>
      </c>
      <c r="B110" s="30">
        <v>0.15540668710715308</v>
      </c>
      <c r="C110" s="30">
        <v>3.6636949370536506E-2</v>
      </c>
      <c r="D110" s="31">
        <v>4.3275248734748716E-2</v>
      </c>
      <c r="E110">
        <f t="shared" si="7"/>
        <v>151.68152110049235</v>
      </c>
      <c r="L110" s="25">
        <f t="shared" si="8"/>
        <v>0.24459331289284694</v>
      </c>
      <c r="M110" s="25">
        <f t="shared" si="6"/>
        <v>0.76</v>
      </c>
    </row>
    <row r="111" spans="1:13" ht="15" customHeight="1" x14ac:dyDescent="0.25">
      <c r="A111" s="29">
        <v>0.77</v>
      </c>
      <c r="B111" s="30">
        <v>0.15302414025397582</v>
      </c>
      <c r="C111" s="30">
        <v>3.6623753583475499E-2</v>
      </c>
      <c r="D111" s="31">
        <v>4.2611793965763471E-2</v>
      </c>
      <c r="E111">
        <f t="shared" si="7"/>
        <v>149.35608493355355</v>
      </c>
      <c r="L111" s="25">
        <f t="shared" si="8"/>
        <v>0.24697585974602421</v>
      </c>
      <c r="M111" s="25">
        <f t="shared" si="6"/>
        <v>0.77</v>
      </c>
    </row>
    <row r="112" spans="1:13" ht="15" customHeight="1" x14ac:dyDescent="0.25">
      <c r="A112" s="29">
        <v>0.78</v>
      </c>
      <c r="B112" s="30">
        <v>0.15069736607749068</v>
      </c>
      <c r="C112" s="30">
        <v>3.6608917810693899E-2</v>
      </c>
      <c r="D112" s="31">
        <v>4.1963869908495863E-2</v>
      </c>
      <c r="E112">
        <f t="shared" si="7"/>
        <v>147.08508454794423</v>
      </c>
      <c r="L112" s="25">
        <f t="shared" si="8"/>
        <v>0.24930263392250934</v>
      </c>
      <c r="M112" s="25">
        <f t="shared" si="6"/>
        <v>0.78</v>
      </c>
    </row>
    <row r="113" spans="1:13" ht="15" customHeight="1" x14ac:dyDescent="0.25">
      <c r="A113" s="29">
        <v>0.79</v>
      </c>
      <c r="B113" s="30">
        <v>0.14842463099084291</v>
      </c>
      <c r="C113" s="30">
        <v>3.6592523478608766E-2</v>
      </c>
      <c r="D113" s="31">
        <v>4.1330993820512217E-2</v>
      </c>
      <c r="E113">
        <f t="shared" si="7"/>
        <v>144.86682791164196</v>
      </c>
      <c r="L113" s="25">
        <f t="shared" si="8"/>
        <v>0.25157536900915711</v>
      </c>
      <c r="M113" s="25">
        <f t="shared" si="6"/>
        <v>0.79</v>
      </c>
    </row>
    <row r="114" spans="1:13" ht="15" customHeight="1" x14ac:dyDescent="0.25">
      <c r="A114" s="29">
        <v>0.8</v>
      </c>
      <c r="B114" s="30">
        <v>0.14620426866612815</v>
      </c>
      <c r="C114" s="30">
        <v>3.6574648086535502E-2</v>
      </c>
      <c r="D114" s="31">
        <v>4.0712701688610298E-2</v>
      </c>
      <c r="E114">
        <f t="shared" si="7"/>
        <v>142.69968863934832</v>
      </c>
      <c r="L114" s="25">
        <f t="shared" si="8"/>
        <v>0.2537957313338719</v>
      </c>
      <c r="M114" s="25">
        <f t="shared" si="6"/>
        <v>0.8</v>
      </c>
    </row>
    <row r="115" spans="1:13" ht="15" customHeight="1" x14ac:dyDescent="0.25">
      <c r="A115" s="29">
        <v>0.81</v>
      </c>
      <c r="B115" s="30">
        <v>0.14403467690308663</v>
      </c>
      <c r="C115" s="30">
        <v>3.6555365415435179E-2</v>
      </c>
      <c r="D115" s="31">
        <v>4.0108547356861715E-2</v>
      </c>
      <c r="E115">
        <f t="shared" si="7"/>
        <v>140.58210293624194</v>
      </c>
      <c r="L115" s="25">
        <f t="shared" si="8"/>
        <v>0.25596532309691339</v>
      </c>
      <c r="M115" s="25">
        <f t="shared" si="6"/>
        <v>0.81</v>
      </c>
    </row>
    <row r="116" spans="1:13" ht="15" customHeight="1" x14ac:dyDescent="0.25">
      <c r="A116" s="29">
        <v>0.82</v>
      </c>
      <c r="B116" s="30">
        <v>0.14191431466752027</v>
      </c>
      <c r="C116" s="30">
        <v>3.6534745724263955E-2</v>
      </c>
      <c r="D116" s="31">
        <v>3.9518101701916157E-2</v>
      </c>
      <c r="E116">
        <f t="shared" si="7"/>
        <v>138.5125667073859</v>
      </c>
      <c r="L116" s="25">
        <f t="shared" si="8"/>
        <v>0.25808568533247978</v>
      </c>
      <c r="M116" s="25">
        <f t="shared" si="6"/>
        <v>0.82</v>
      </c>
    </row>
    <row r="117" spans="1:13" ht="15" customHeight="1" x14ac:dyDescent="0.25">
      <c r="A117" s="29">
        <v>0.83</v>
      </c>
      <c r="B117" s="30">
        <v>0.13984169928896562</v>
      </c>
      <c r="C117" s="30">
        <v>3.6512855934743377E-2</v>
      </c>
      <c r="D117" s="31">
        <v>3.8940951852652755E-2</v>
      </c>
      <c r="E117">
        <f t="shared" si="7"/>
        <v>136.48963282257387</v>
      </c>
      <c r="L117" s="25">
        <f t="shared" si="8"/>
        <v>0.26015830071103441</v>
      </c>
      <c r="M117" s="25">
        <f t="shared" si="6"/>
        <v>0.83</v>
      </c>
    </row>
    <row r="118" spans="1:13" ht="15" customHeight="1" x14ac:dyDescent="0.25">
      <c r="A118" s="29">
        <v>0.84</v>
      </c>
      <c r="B118" s="30">
        <v>0.1378154038078801</v>
      </c>
      <c r="C118" s="30">
        <v>3.6489759805310558E-2</v>
      </c>
      <c r="D118" s="31">
        <v>3.8376700451465552E-2</v>
      </c>
      <c r="E118">
        <f t="shared" si="7"/>
        <v>134.51190852710525</v>
      </c>
      <c r="L118" s="25">
        <f t="shared" si="8"/>
        <v>0.26218459619211992</v>
      </c>
      <c r="M118" s="25">
        <f t="shared" si="6"/>
        <v>0.84</v>
      </c>
    </row>
    <row r="119" spans="1:13" ht="15" customHeight="1" x14ac:dyDescent="0.25">
      <c r="A119" s="29">
        <v>0.85</v>
      </c>
      <c r="B119" s="30">
        <v>0.13583405446326158</v>
      </c>
      <c r="C119" s="30">
        <v>3.6465518094952631E-2</v>
      </c>
      <c r="D119" s="31">
        <v>3.782496495465467E-2</v>
      </c>
      <c r="E119">
        <f t="shared" si="7"/>
        <v>132.57805298962774</v>
      </c>
      <c r="L119" s="25">
        <f t="shared" si="8"/>
        <v>0.26416594553673844</v>
      </c>
      <c r="M119" s="25">
        <f t="shared" si="6"/>
        <v>0.85</v>
      </c>
    </row>
    <row r="120" spans="1:13" ht="15" customHeight="1" x14ac:dyDescent="0.25">
      <c r="A120" s="29">
        <v>0.86</v>
      </c>
      <c r="B120" s="30">
        <v>0.13389632831224157</v>
      </c>
      <c r="C120" s="30">
        <v>3.6440188717579043E-2</v>
      </c>
      <c r="D120" s="31">
        <v>3.7285376969567519E-2</v>
      </c>
      <c r="E120">
        <f t="shared" si="7"/>
        <v>130.68677497878988</v>
      </c>
      <c r="L120" s="25">
        <f t="shared" si="8"/>
        <v>0.26610367168775845</v>
      </c>
      <c r="M120" s="25">
        <f t="shared" si="6"/>
        <v>0.86</v>
      </c>
    </row>
    <row r="121" spans="1:13" ht="15" customHeight="1" x14ac:dyDescent="0.25">
      <c r="A121" s="29">
        <v>0.87</v>
      </c>
      <c r="B121" s="30">
        <v>0.13200095097376027</v>
      </c>
      <c r="C121" s="30">
        <v>3.641382688753917E-2</v>
      </c>
      <c r="D121" s="31">
        <v>3.67575816262923E-2</v>
      </c>
      <c r="E121">
        <f t="shared" si="7"/>
        <v>128.83683066100119</v>
      </c>
      <c r="L121" s="25">
        <f t="shared" si="8"/>
        <v>0.26799904902623972</v>
      </c>
      <c r="M121" s="25">
        <f t="shared" si="6"/>
        <v>0.87</v>
      </c>
    </row>
    <row r="122" spans="1:13" ht="15" customHeight="1" x14ac:dyDescent="0.25">
      <c r="A122" s="29">
        <v>0.88</v>
      </c>
      <c r="B122" s="30">
        <v>0.13014669448895982</v>
      </c>
      <c r="C122" s="30">
        <v>3.6386485256849233E-2</v>
      </c>
      <c r="D122" s="31">
        <v>3.624123698185347E-2</v>
      </c>
      <c r="E122">
        <f t="shared" si="7"/>
        <v>127.02702151211265</v>
      </c>
      <c r="L122" s="25">
        <f t="shared" si="8"/>
        <v>0.2698533055110402</v>
      </c>
      <c r="M122" s="25">
        <f t="shared" si="6"/>
        <v>0.88</v>
      </c>
    </row>
    <row r="123" spans="1:13" ht="15" customHeight="1" x14ac:dyDescent="0.25">
      <c r="A123" s="29">
        <v>0.89</v>
      </c>
      <c r="B123" s="30">
        <v>0.12833237529142205</v>
      </c>
      <c r="C123" s="30">
        <v>3.635821404465342E-2</v>
      </c>
      <c r="D123" s="31">
        <v>3.5736013454994935E-2</v>
      </c>
      <c r="E123">
        <f t="shared" si="7"/>
        <v>125.25619233630889</v>
      </c>
      <c r="L123" s="25">
        <f t="shared" si="8"/>
        <v>0.27166762470857797</v>
      </c>
      <c r="M123" s="25">
        <f t="shared" si="6"/>
        <v>0.89</v>
      </c>
    </row>
    <row r="124" spans="1:13" ht="15" customHeight="1" x14ac:dyDescent="0.25">
      <c r="A124" s="29">
        <v>0.9</v>
      </c>
      <c r="B124" s="30">
        <v>0.12655685228082902</v>
      </c>
      <c r="C124" s="30">
        <v>3.6329061159407205E-2</v>
      </c>
      <c r="D124" s="31">
        <v>3.5241593289762889E-2</v>
      </c>
      <c r="E124">
        <f t="shared" si="7"/>
        <v>123.52322938594379</v>
      </c>
      <c r="L124" s="25">
        <f t="shared" si="8"/>
        <v>0.273443147719171</v>
      </c>
      <c r="M124" s="25">
        <f t="shared" si="6"/>
        <v>0.9</v>
      </c>
    </row>
    <row r="125" spans="1:13" ht="15" customHeight="1" x14ac:dyDescent="0.25">
      <c r="A125" s="29">
        <v>0.91</v>
      </c>
      <c r="B125" s="30">
        <v>0.12481902499404432</v>
      </c>
      <c r="C125" s="30">
        <v>3.6299072314236999E-2</v>
      </c>
      <c r="D125" s="31">
        <v>3.4757670046216826E-2</v>
      </c>
      <c r="E125">
        <f t="shared" si="7"/>
        <v>121.82705857646187</v>
      </c>
      <c r="L125" s="25">
        <f t="shared" si="8"/>
        <v>0.27518097500595573</v>
      </c>
      <c r="M125" s="25">
        <f t="shared" si="6"/>
        <v>0.91</v>
      </c>
    </row>
    <row r="126" spans="1:13" ht="15" customHeight="1" x14ac:dyDescent="0.25">
      <c r="A126" s="29">
        <v>0.92</v>
      </c>
      <c r="B126" s="30">
        <v>0.12311783186800448</v>
      </c>
      <c r="C126" s="30">
        <v>3.6268291135899411E-2</v>
      </c>
      <c r="D126" s="31">
        <v>3.4283948116706431E-2</v>
      </c>
      <c r="E126">
        <f t="shared" si="7"/>
        <v>120.16664379092882</v>
      </c>
      <c r="L126" s="25">
        <f t="shared" si="8"/>
        <v>0.27688216813199551</v>
      </c>
      <c r="M126" s="25">
        <f t="shared" si="6"/>
        <v>0.92</v>
      </c>
    </row>
    <row r="127" spans="1:13" ht="15" customHeight="1" x14ac:dyDescent="0.25">
      <c r="A127" s="29">
        <v>0.93</v>
      </c>
      <c r="B127" s="30">
        <v>0.12145224858916968</v>
      </c>
      <c r="C127" s="30">
        <v>3.6236759267734245E-2</v>
      </c>
      <c r="D127" s="31">
        <v>3.3820142266252157E-2</v>
      </c>
      <c r="E127">
        <f t="shared" si="7"/>
        <v>118.54098526904671</v>
      </c>
      <c r="L127" s="25">
        <f t="shared" si="8"/>
        <v>0.27854775141083032</v>
      </c>
      <c r="M127" s="25">
        <f t="shared" si="6"/>
        <v>0.93</v>
      </c>
    </row>
    <row r="128" spans="1:13" ht="15" customHeight="1" x14ac:dyDescent="0.25">
      <c r="A128" s="29">
        <v>0.94</v>
      </c>
      <c r="B128" s="30">
        <v>0.11982128652462072</v>
      </c>
      <c r="C128" s="30">
        <v>3.620451646697833E-2</v>
      </c>
      <c r="D128" s="31">
        <v>3.3365977195661402E-2</v>
      </c>
      <c r="E128">
        <f t="shared" si="7"/>
        <v>116.94911807585822</v>
      </c>
      <c r="L128" s="25">
        <f t="shared" si="8"/>
        <v>0.28017871347537932</v>
      </c>
      <c r="M128" s="25">
        <f t="shared" si="6"/>
        <v>0.94</v>
      </c>
    </row>
    <row r="129" spans="1:13" ht="15" customHeight="1" x14ac:dyDescent="0.25">
      <c r="A129" s="29">
        <v>0.95</v>
      </c>
      <c r="B129" s="30">
        <v>0.11822399123019942</v>
      </c>
      <c r="C129" s="30">
        <v>3.6171600696783351E-2</v>
      </c>
      <c r="D129" s="31">
        <v>3.2921187126098532E-2</v>
      </c>
      <c r="E129">
        <f t="shared" si="7"/>
        <v>115.39011064564751</v>
      </c>
      <c r="L129" s="25">
        <f t="shared" si="8"/>
        <v>0.28177600876980058</v>
      </c>
      <c r="M129" s="25">
        <f t="shared" si="6"/>
        <v>0.95</v>
      </c>
    </row>
    <row r="130" spans="1:13" ht="15" customHeight="1" x14ac:dyDescent="0.25">
      <c r="A130" s="29">
        <v>0.96</v>
      </c>
      <c r="B130" s="30">
        <v>0.11665944103138232</v>
      </c>
      <c r="C130" s="30">
        <v>3.6138048213256793E-2</v>
      </c>
      <c r="D130" s="31">
        <v>3.2485515403908566E-2</v>
      </c>
      <c r="E130">
        <f t="shared" si="7"/>
        <v>113.86306339683108</v>
      </c>
      <c r="L130" s="25">
        <f t="shared" si="8"/>
        <v>0.28334055896861771</v>
      </c>
      <c r="M130" s="25">
        <f t="shared" si="6"/>
        <v>0.96</v>
      </c>
    </row>
    <row r="131" spans="1:13" ht="15" customHeight="1" x14ac:dyDescent="0.25">
      <c r="A131" s="29">
        <v>0.97</v>
      </c>
      <c r="B131" s="30">
        <v>0.1151267456728463</v>
      </c>
      <c r="C131" s="30">
        <v>3.6103893647825139E-2</v>
      </c>
      <c r="D131" s="31">
        <v>3.20587141245691E-2</v>
      </c>
      <c r="E131">
        <f t="shared" si="7"/>
        <v>112.36710741389379</v>
      </c>
      <c r="L131" s="25">
        <f t="shared" si="8"/>
        <v>0.28487325432715371</v>
      </c>
      <c r="M131" s="25">
        <f t="shared" si="6"/>
        <v>0.97</v>
      </c>
    </row>
    <row r="132" spans="1:13" ht="15" customHeight="1" x14ac:dyDescent="0.25">
      <c r="A132" s="29">
        <v>0.98</v>
      </c>
      <c r="B132" s="30">
        <v>0.11362504503293572</v>
      </c>
      <c r="C132" s="30">
        <v>3.6069170085197381E-2</v>
      </c>
      <c r="D132" s="31">
        <v>3.1640543774715021E-2</v>
      </c>
      <c r="E132">
        <f t="shared" si="7"/>
        <v>110.9014031926709</v>
      </c>
      <c r="L132" s="25">
        <f t="shared" si="8"/>
        <v>0.28637495496706433</v>
      </c>
      <c r="M132" s="25">
        <f t="shared" si="6"/>
        <v>0.98</v>
      </c>
    </row>
    <row r="133" spans="1:13" ht="15" customHeight="1" x14ac:dyDescent="0.25">
      <c r="A133" s="29">
        <v>0.99</v>
      </c>
      <c r="B133" s="30">
        <v>0.11215350789947565</v>
      </c>
      <c r="C133" s="30">
        <v>3.6033909137189797E-2</v>
      </c>
      <c r="D133" s="31">
        <v>3.1230772891245925E-2</v>
      </c>
      <c r="E133">
        <f t="shared" si="7"/>
        <v>109.4651394455055</v>
      </c>
      <c r="L133" s="25">
        <f t="shared" si="8"/>
        <v>0.28784649210052438</v>
      </c>
      <c r="M133" s="25">
        <f t="shared" si="6"/>
        <v>0.99</v>
      </c>
    </row>
    <row r="134" spans="1:13" ht="15" customHeight="1" x14ac:dyDescent="0.25">
      <c r="A134" s="29">
        <v>1</v>
      </c>
      <c r="B134" s="30">
        <v>0.11071133080359519</v>
      </c>
      <c r="C134" s="30">
        <v>3.5998141012655263E-2</v>
      </c>
      <c r="D134" s="31">
        <v>3.082917773658728E-2</v>
      </c>
      <c r="E134">
        <f t="shared" si="7"/>
        <v>108.05753196302561</v>
      </c>
      <c r="L134" s="25">
        <f t="shared" si="8"/>
        <v>0.28928866919640484</v>
      </c>
      <c r="M134" s="25">
        <f t="shared" si="6"/>
        <v>1</v>
      </c>
    </row>
    <row r="135" spans="1:13" ht="15" customHeight="1" x14ac:dyDescent="0.25">
      <c r="A135" s="29">
        <v>1.01</v>
      </c>
      <c r="B135" s="30">
        <v>0.10929773690842412</v>
      </c>
      <c r="C135" s="30">
        <v>3.5961894583744748E-2</v>
      </c>
      <c r="D135" s="31">
        <v>3.0435541989231887E-2</v>
      </c>
      <c r="E135">
        <f t="shared" si="7"/>
        <v>106.67782252947931</v>
      </c>
      <c r="L135" s="25">
        <f t="shared" si="8"/>
        <v>0.29070226309157587</v>
      </c>
      <c r="M135" s="25">
        <f t="shared" si="6"/>
        <v>1.01</v>
      </c>
    </row>
    <row r="136" spans="1:13" ht="15" customHeight="1" x14ac:dyDescent="0.25">
      <c r="A136" s="29">
        <v>1.02</v>
      </c>
      <c r="B136" s="30">
        <v>0.1079119749497213</v>
      </c>
      <c r="C136" s="30">
        <v>3.5925197448714148E-2</v>
      </c>
      <c r="D136" s="31">
        <v>3.0049656448742443E-2</v>
      </c>
      <c r="E136">
        <f t="shared" si="7"/>
        <v>105.32527788875666</v>
      </c>
      <c r="L136" s="25">
        <f t="shared" si="8"/>
        <v>0.29208802505027875</v>
      </c>
      <c r="M136" s="25">
        <f t="shared" si="6"/>
        <v>1.02</v>
      </c>
    </row>
    <row r="137" spans="1:13" ht="15" customHeight="1" x14ac:dyDescent="0.25">
      <c r="A137" s="29">
        <v>1.03</v>
      </c>
      <c r="B137" s="30">
        <v>0.1065533182256652</v>
      </c>
      <c r="C137" s="30">
        <v>3.5888075991475893E-2</v>
      </c>
      <c r="D137" s="31">
        <v>2.9671318754444089E-2</v>
      </c>
      <c r="E137">
        <f t="shared" si="7"/>
        <v>103.99918875839546</v>
      </c>
      <c r="L137" s="25">
        <f t="shared" si="8"/>
        <v>0.29344668177433481</v>
      </c>
      <c r="M137" s="25">
        <f t="shared" si="6"/>
        <v>1.03</v>
      </c>
    </row>
    <row r="138" spans="1:13" ht="15" customHeight="1" x14ac:dyDescent="0.25">
      <c r="A138" s="29">
        <v>1.04</v>
      </c>
      <c r="B138" s="30">
        <v>0.1052210636332062</v>
      </c>
      <c r="C138" s="30">
        <v>3.5850555438081889E-2</v>
      </c>
      <c r="D138" s="31">
        <v>2.9300333117082664E-2</v>
      </c>
      <c r="E138">
        <f t="shared" si="7"/>
        <v>102.69886888903252</v>
      </c>
      <c r="L138" s="25">
        <f t="shared" si="8"/>
        <v>0.29477893636679381</v>
      </c>
      <c r="M138" s="25">
        <f t="shared" si="6"/>
        <v>1.04</v>
      </c>
    </row>
    <row r="139" spans="1:13" ht="15" customHeight="1" x14ac:dyDescent="0.25">
      <c r="A139" s="29">
        <v>1.05</v>
      </c>
      <c r="B139" s="30">
        <v>0.10391453074853127</v>
      </c>
      <c r="C139" s="30">
        <v>3.5812659910313023E-2</v>
      </c>
      <c r="D139" s="31">
        <v>2.8936510062766787E-2</v>
      </c>
      <c r="E139">
        <f t="shared" si="7"/>
        <v>101.42365416691015</v>
      </c>
      <c r="L139" s="25">
        <f t="shared" si="8"/>
        <v>0.29608546925146872</v>
      </c>
      <c r="M139" s="25">
        <f t="shared" si="6"/>
        <v>1.05</v>
      </c>
    </row>
    <row r="140" spans="1:13" ht="15" customHeight="1" x14ac:dyDescent="0.25">
      <c r="A140" s="29">
        <v>1.06</v>
      </c>
      <c r="B140" s="30">
        <v>0.10263306094933849</v>
      </c>
      <c r="C140" s="30">
        <v>3.5774412476538814E-2</v>
      </c>
      <c r="D140" s="31">
        <v>2.8579666188552424E-2</v>
      </c>
      <c r="E140">
        <f t="shared" si="7"/>
        <v>100.17290175718996</v>
      </c>
      <c r="L140" s="25">
        <f t="shared" si="8"/>
        <v>0.29736693905066153</v>
      </c>
      <c r="M140" s="25">
        <f t="shared" si="6"/>
        <v>1.06</v>
      </c>
    </row>
    <row r="141" spans="1:13" ht="15" customHeight="1" x14ac:dyDescent="0.25">
      <c r="A141" s="29">
        <v>1.07</v>
      </c>
      <c r="B141" s="30">
        <v>0.1013760165767526</v>
      </c>
      <c r="C141" s="30">
        <v>3.5735835200001509E-2</v>
      </c>
      <c r="D141" s="31">
        <v>2.8229623929066108E-2</v>
      </c>
      <c r="E141">
        <f t="shared" si="7"/>
        <v>98.945989285957793</v>
      </c>
      <c r="L141" s="25">
        <f t="shared" si="8"/>
        <v>0.29862398342324742</v>
      </c>
      <c r="M141" s="25">
        <f t="shared" si="6"/>
        <v>1.07</v>
      </c>
    </row>
    <row r="142" spans="1:13" ht="15" customHeight="1" x14ac:dyDescent="0.25">
      <c r="A142" s="29">
        <v>1.08</v>
      </c>
      <c r="B142" s="30">
        <v>0.10014278013483779</v>
      </c>
      <c r="C142" s="30">
        <v>3.5696949184668189E-2</v>
      </c>
      <c r="D142" s="31">
        <v>2.7886211333597664E-2</v>
      </c>
      <c r="E142">
        <f t="shared" si="7"/>
        <v>97.742314058924478</v>
      </c>
      <c r="L142" s="25">
        <f t="shared" si="8"/>
        <v>0.29985721986516223</v>
      </c>
      <c r="M142" s="25">
        <f t="shared" si="6"/>
        <v>1.08</v>
      </c>
    </row>
    <row r="143" spans="1:13" ht="15" customHeight="1" x14ac:dyDescent="0.25">
      <c r="A143" s="29">
        <v>1.0900000000000001</v>
      </c>
      <c r="B143" s="30">
        <v>9.8932753525784664E-2</v>
      </c>
      <c r="C143" s="30">
        <v>3.5657774618786789E-2</v>
      </c>
      <c r="D143" s="31">
        <v>2.7549261853126894E-2</v>
      </c>
      <c r="E143">
        <f t="shared" si="7"/>
        <v>96.561292314945732</v>
      </c>
      <c r="L143" s="25">
        <f t="shared" si="8"/>
        <v>0.30106724647421534</v>
      </c>
      <c r="M143" s="25">
        <f t="shared" si="6"/>
        <v>1.0900000000000001</v>
      </c>
    </row>
    <row r="144" spans="1:13" ht="15" customHeight="1" x14ac:dyDescent="0.25">
      <c r="A144" s="29">
        <v>1.1000000000000001</v>
      </c>
      <c r="B144" s="30">
        <v>9.7745357318956186E-2</v>
      </c>
      <c r="C144" s="30">
        <v>3.5618330816272713E-2</v>
      </c>
      <c r="D144" s="31">
        <v>2.7218614136778823E-2</v>
      </c>
      <c r="E144">
        <f t="shared" si="7"/>
        <v>95.402358512589373</v>
      </c>
      <c r="L144" s="25">
        <f t="shared" si="8"/>
        <v>0.30225464268104385</v>
      </c>
      <c r="M144" s="25">
        <f t="shared" si="6"/>
        <v>1.1000000000000001</v>
      </c>
    </row>
    <row r="145" spans="1:13" ht="15" customHeight="1" x14ac:dyDescent="0.25">
      <c r="A145" s="29">
        <v>1.1100000000000001</v>
      </c>
      <c r="B145" s="30">
        <v>9.6580030052081406E-2</v>
      </c>
      <c r="C145" s="30">
        <v>3.5578636256045397E-2</v>
      </c>
      <c r="D145" s="31">
        <v>2.6894111837230929E-2</v>
      </c>
      <c r="E145">
        <f t="shared" si="7"/>
        <v>94.264964648079726</v>
      </c>
      <c r="L145" s="25">
        <f t="shared" si="8"/>
        <v>0.30341996994791864</v>
      </c>
      <c r="M145" s="25">
        <f t="shared" si="6"/>
        <v>1.1100000000000001</v>
      </c>
    </row>
    <row r="146" spans="1:13" ht="15" customHeight="1" x14ac:dyDescent="0.25">
      <c r="A146" s="29">
        <v>1.1200000000000001</v>
      </c>
      <c r="B146" s="30">
        <v>9.5436227562984366E-2</v>
      </c>
      <c r="C146" s="30">
        <v>3.5538708619427158E-2</v>
      </c>
      <c r="D146" s="31">
        <v>2.6575603424623371E-2</v>
      </c>
      <c r="E146">
        <f t="shared" si="7"/>
        <v>93.14857960304532</v>
      </c>
      <c r="L146" s="25">
        <f t="shared" si="8"/>
        <v>0.30456377243701566</v>
      </c>
      <c r="M146" s="25">
        <f t="shared" si="6"/>
        <v>1.1200000000000001</v>
      </c>
    </row>
    <row r="147" spans="1:13" ht="15" customHeight="1" x14ac:dyDescent="0.25">
      <c r="A147" s="29">
        <v>1.1299999999999999</v>
      </c>
      <c r="B147" s="30">
        <v>9.4313422350324513E-2</v>
      </c>
      <c r="C147" s="30">
        <v>3.5498564825709393E-2</v>
      </c>
      <c r="D147" s="31">
        <v>2.6262942008547851E-2</v>
      </c>
      <c r="E147">
        <f t="shared" si="7"/>
        <v>92.052688520582564</v>
      </c>
      <c r="L147" s="25">
        <f t="shared" si="8"/>
        <v>0.30568657764967549</v>
      </c>
      <c r="M147" s="25">
        <f t="shared" si="6"/>
        <v>1.1299999999999999</v>
      </c>
    </row>
    <row r="148" spans="1:13" ht="15" customHeight="1" x14ac:dyDescent="0.25">
      <c r="A148" s="29">
        <v>1.1399999999999999</v>
      </c>
      <c r="B148" s="30">
        <v>9.3211102961910278E-2</v>
      </c>
      <c r="C148" s="30">
        <v>3.5458221065985208E-2</v>
      </c>
      <c r="D148" s="31">
        <v>2.5955985167714673E-2</v>
      </c>
      <c r="E148">
        <f t="shared" si="7"/>
        <v>90.976792208231799</v>
      </c>
      <c r="L148" s="25">
        <f t="shared" si="8"/>
        <v>0.30678889703808976</v>
      </c>
      <c r="M148" s="25">
        <f t="shared" si="6"/>
        <v>1.1399999999999999</v>
      </c>
    </row>
    <row r="149" spans="1:13" ht="15" customHeight="1" x14ac:dyDescent="0.25">
      <c r="A149" s="29">
        <v>1.1499999999999999</v>
      </c>
      <c r="B149" s="30">
        <v>9.2128773409229162E-2</v>
      </c>
      <c r="C149" s="30">
        <v>3.5417692835341977E-2</v>
      </c>
      <c r="D149" s="31">
        <v>2.5654594786920119E-2</v>
      </c>
      <c r="E149">
        <f t="shared" si="7"/>
        <v>89.920406566541274</v>
      </c>
      <c r="L149" s="25">
        <f t="shared" si="8"/>
        <v>0.30787122659077087</v>
      </c>
      <c r="M149" s="25">
        <f t="shared" si="6"/>
        <v>1.1499999999999999</v>
      </c>
    </row>
    <row r="150" spans="1:13" ht="15" customHeight="1" x14ac:dyDescent="0.25">
      <c r="A150" s="29">
        <v>1.1599999999999999</v>
      </c>
      <c r="B150" s="30">
        <v>9.106595260691018E-2</v>
      </c>
      <c r="C150" s="30">
        <v>3.5376994963500816E-2</v>
      </c>
      <c r="D150" s="31">
        <v>2.5358636900956653E-2</v>
      </c>
      <c r="E150">
        <f t="shared" si="7"/>
        <v>88.883062041965999</v>
      </c>
      <c r="L150" s="25">
        <f t="shared" si="8"/>
        <v>0.30893404739308983</v>
      </c>
      <c r="M150" s="25">
        <f t="shared" si="6"/>
        <v>1.1599999999999999</v>
      </c>
    </row>
    <row r="151" spans="1:13" ht="15" customHeight="1" x14ac:dyDescent="0.25">
      <c r="A151" s="29">
        <v>1.17</v>
      </c>
      <c r="B151" s="30">
        <v>9.002217383590766E-2</v>
      </c>
      <c r="C151" s="30">
        <v>3.5336141643986421E-2</v>
      </c>
      <c r="D151" s="31">
        <v>2.5067981545128626E-2</v>
      </c>
      <c r="E151">
        <f t="shared" si="7"/>
        <v>87.86430310291918</v>
      </c>
      <c r="L151" s="25">
        <f t="shared" si="8"/>
        <v>0.30997782616409236</v>
      </c>
      <c r="M151" s="25">
        <f t="shared" si="6"/>
        <v>1.17</v>
      </c>
    </row>
    <row r="152" spans="1:13" ht="15" customHeight="1" x14ac:dyDescent="0.25">
      <c r="A152" s="29">
        <v>1.18</v>
      </c>
      <c r="B152" s="30">
        <v>8.8996984229258322E-2</v>
      </c>
      <c r="C152" s="30">
        <v>3.5295146461903924E-2</v>
      </c>
      <c r="D152" s="31">
        <v>2.4782502612053888E-2</v>
      </c>
      <c r="E152">
        <f t="shared" si="7"/>
        <v>86.863687737855969</v>
      </c>
      <c r="L152" s="25">
        <f t="shared" si="8"/>
        <v>0.31100301577074169</v>
      </c>
      <c r="M152" s="25">
        <f t="shared" si="6"/>
        <v>1.18</v>
      </c>
    </row>
    <row r="153" spans="1:13" ht="15" customHeight="1" x14ac:dyDescent="0.25">
      <c r="A153" s="29">
        <v>1.19</v>
      </c>
      <c r="B153" s="30">
        <v>8.7989944279329255E-2</v>
      </c>
      <c r="C153" s="30">
        <v>3.5254022420396817E-2</v>
      </c>
      <c r="D153" s="31">
        <v>2.4502077714449833E-2</v>
      </c>
      <c r="E153">
        <f t="shared" si="7"/>
        <v>85.880786974332949</v>
      </c>
      <c r="L153" s="25">
        <f t="shared" si="8"/>
        <v>0.31201005572067075</v>
      </c>
      <c r="M153" s="25">
        <f t="shared" si="6"/>
        <v>1.19</v>
      </c>
    </row>
    <row r="154" spans="1:13" ht="15" customHeight="1" x14ac:dyDescent="0.25">
      <c r="A154" s="29">
        <v>1.2</v>
      </c>
      <c r="B154" s="30">
        <v>8.7000627365529895E-2</v>
      </c>
      <c r="C154" s="30">
        <v>3.5212781965854402E-2</v>
      </c>
      <c r="D154" s="31">
        <v>2.4226588053617916E-2</v>
      </c>
      <c r="E154">
        <f t="shared" si="7"/>
        <v>84.915184418040994</v>
      </c>
      <c r="L154" s="25">
        <f t="shared" si="8"/>
        <v>0.31299937263447014</v>
      </c>
      <c r="M154" s="25">
        <f t="shared" si="6"/>
        <v>1.2</v>
      </c>
    </row>
    <row r="155" spans="1:13" ht="15" customHeight="1" x14ac:dyDescent="0.25">
      <c r="A155" s="29">
        <v>1.21</v>
      </c>
      <c r="B155" s="30">
        <v>8.6028619301517895E-2</v>
      </c>
      <c r="C155" s="30">
        <v>3.5171437011933926E-2</v>
      </c>
      <c r="D155" s="31">
        <v>2.3955918293356585E-2</v>
      </c>
      <c r="E155">
        <f t="shared" si="7"/>
        <v>83.96647581086485</v>
      </c>
      <c r="L155" s="25">
        <f t="shared" si="8"/>
        <v>0.31397138069848213</v>
      </c>
      <c r="M155" s="25">
        <f t="shared" si="6"/>
        <v>1.21</v>
      </c>
    </row>
    <row r="156" spans="1:13" ht="15" customHeight="1" x14ac:dyDescent="0.25">
      <c r="A156" s="29">
        <v>1.22</v>
      </c>
      <c r="B156" s="30">
        <v>8.5073517900979223E-2</v>
      </c>
      <c r="C156" s="30">
        <v>3.5129998962458497E-2</v>
      </c>
      <c r="D156" s="31">
        <v>2.3689956439046419E-2</v>
      </c>
      <c r="E156">
        <f t="shared" si="7"/>
        <v>83.034268607071695</v>
      </c>
      <c r="L156" s="25">
        <f t="shared" si="8"/>
        <v>0.3149264820990208</v>
      </c>
      <c r="M156" s="25">
        <f t="shared" si="6"/>
        <v>1.22</v>
      </c>
    </row>
    <row r="157" spans="1:13" ht="15" customHeight="1" x14ac:dyDescent="0.25">
      <c r="A157" s="29">
        <v>1.23</v>
      </c>
      <c r="B157" s="30">
        <v>8.4134932561112749E-2</v>
      </c>
      <c r="C157" s="30">
        <v>3.50884787332491E-2</v>
      </c>
      <c r="D157" s="31">
        <v>2.3428593721665381E-2</v>
      </c>
      <c r="E157">
        <f t="shared" si="7"/>
        <v>82.118181566779739</v>
      </c>
      <c r="L157" s="25">
        <f t="shared" si="8"/>
        <v>0.31586506743888726</v>
      </c>
      <c r="M157" s="25">
        <f t="shared" si="6"/>
        <v>1.23</v>
      </c>
    </row>
    <row r="158" spans="1:13" ht="15" customHeight="1" x14ac:dyDescent="0.25">
      <c r="A158" s="29">
        <v>1.24</v>
      </c>
      <c r="B158" s="30">
        <v>8.3212483862993875E-2</v>
      </c>
      <c r="C158" s="30">
        <v>3.5046886772944486E-2</v>
      </c>
      <c r="D158" s="31">
        <v>2.3171724486504251E-2</v>
      </c>
      <c r="E158">
        <f t="shared" si="7"/>
        <v>81.217844365901342</v>
      </c>
      <c r="L158" s="25">
        <f t="shared" si="8"/>
        <v>0.31678751613700618</v>
      </c>
      <c r="M158" s="25">
        <f t="shared" si="6"/>
        <v>1.24</v>
      </c>
    </row>
    <row r="159" spans="1:13" ht="15" customHeight="1" x14ac:dyDescent="0.25">
      <c r="A159" s="29">
        <v>1.25</v>
      </c>
      <c r="B159" s="30">
        <v>8.2305803188036375E-2</v>
      </c>
      <c r="C159" s="30">
        <v>3.5005233082861152E-2</v>
      </c>
      <c r="D159" s="31">
        <v>2.2919246086364871E-2</v>
      </c>
      <c r="E159">
        <f t="shared" si="7"/>
        <v>80.332897221798405</v>
      </c>
      <c r="L159" s="25">
        <f t="shared" si="8"/>
        <v>0.31769419681196365</v>
      </c>
      <c r="M159" s="25">
        <f t="shared" si="6"/>
        <v>1.25</v>
      </c>
    </row>
    <row r="160" spans="1:13" ht="15" customHeight="1" x14ac:dyDescent="0.25">
      <c r="A160" s="29">
        <v>1.26</v>
      </c>
      <c r="B160" s="30">
        <v>8.1414532349811275E-2</v>
      </c>
      <c r="C160" s="30">
        <v>3.4963527235941427E-2</v>
      </c>
      <c r="D160" s="31">
        <v>2.2671058779034747E-2</v>
      </c>
      <c r="E160">
        <f t="shared" si="7"/>
        <v>79.462990533926728</v>
      </c>
      <c r="L160" s="25">
        <f t="shared" si="8"/>
        <v>0.31858546765018875</v>
      </c>
      <c r="M160" s="25">
        <f t="shared" si="6"/>
        <v>1.26</v>
      </c>
    </row>
    <row r="161" spans="1:13" ht="15" customHeight="1" x14ac:dyDescent="0.25">
      <c r="A161" s="29">
        <v>1.27</v>
      </c>
      <c r="B161" s="30">
        <v>8.0538323240519641E-2</v>
      </c>
      <c r="C161" s="30">
        <v>3.4921778394836039E-2</v>
      </c>
      <c r="D161" s="31">
        <v>2.2427065628842287E-2</v>
      </c>
      <c r="E161">
        <f t="shared" si="7"/>
        <v>78.607784538782994</v>
      </c>
      <c r="L161" s="25">
        <f t="shared" si="8"/>
        <v>0.3194616767594804</v>
      </c>
      <c r="M161" s="25">
        <f t="shared" si="6"/>
        <v>1.27</v>
      </c>
    </row>
    <row r="162" spans="1:13" ht="15" customHeight="1" x14ac:dyDescent="0.25">
      <c r="A162" s="29">
        <v>1.28</v>
      </c>
      <c r="B162" s="30">
        <v>7.9676837491453864E-2</v>
      </c>
      <c r="C162" s="30">
        <v>3.4879995329164137E-2</v>
      </c>
      <c r="D162" s="31">
        <v>2.2187172412107301E-2</v>
      </c>
      <c r="E162">
        <f t="shared" si="7"/>
        <v>77.766948978504985</v>
      </c>
      <c r="L162" s="25">
        <f t="shared" si="8"/>
        <v>0.32032316250854614</v>
      </c>
      <c r="M162" s="25">
        <f t="shared" ref="M162:M225" si="9">A162</f>
        <v>1.28</v>
      </c>
    </row>
    <row r="163" spans="1:13" ht="15" customHeight="1" x14ac:dyDescent="0.25">
      <c r="A163" s="29">
        <v>1.29</v>
      </c>
      <c r="B163" s="30">
        <v>7.8829746146813942E-2</v>
      </c>
      <c r="C163" s="30">
        <v>3.4838186431992046E-2</v>
      </c>
      <c r="D163" s="31">
        <v>2.1951287526310401E-2</v>
      </c>
      <c r="E163">
        <f t="shared" ref="E163:E226" si="10">D163*$E$15</f>
        <v>76.940162782506533</v>
      </c>
      <c r="L163" s="25">
        <f t="shared" ref="L163:L226" si="11">ABS(B163-$B$20/100)</f>
        <v>0.32117025385318609</v>
      </c>
      <c r="M163" s="25">
        <f t="shared" si="9"/>
        <v>1.29</v>
      </c>
    </row>
    <row r="164" spans="1:13" ht="15" customHeight="1" x14ac:dyDescent="0.25">
      <c r="A164" s="29">
        <v>1.3</v>
      </c>
      <c r="B164" s="30">
        <v>7.7996729350278682E-2</v>
      </c>
      <c r="C164" s="30">
        <v>3.4796359735569382E-2</v>
      </c>
      <c r="D164" s="31">
        <v>2.1719321902814216E-2</v>
      </c>
      <c r="E164">
        <f t="shared" si="10"/>
        <v>76.12711376156183</v>
      </c>
      <c r="L164" s="25">
        <f t="shared" si="11"/>
        <v>0.32200327064972134</v>
      </c>
      <c r="M164" s="25">
        <f t="shared" si="9"/>
        <v>1.3</v>
      </c>
    </row>
    <row r="165" spans="1:13" ht="15" customHeight="1" x14ac:dyDescent="0.25">
      <c r="A165" s="29">
        <v>1.31</v>
      </c>
      <c r="B165" s="30">
        <v>7.7177476043762169E-2</v>
      </c>
      <c r="C165" s="30">
        <v>3.4754522926358958E-2</v>
      </c>
      <c r="D165" s="31">
        <v>2.1491188922977755E-2</v>
      </c>
      <c r="E165">
        <f t="shared" si="10"/>
        <v>75.327498313782868</v>
      </c>
      <c r="L165" s="25">
        <f t="shared" si="11"/>
        <v>0.32282252395623784</v>
      </c>
      <c r="M165" s="25">
        <f t="shared" si="9"/>
        <v>1.31</v>
      </c>
    </row>
    <row r="166" spans="1:13" ht="15" customHeight="1" x14ac:dyDescent="0.25">
      <c r="A166" s="29">
        <v>1.32</v>
      </c>
      <c r="B166" s="30">
        <v>7.6371683677813468E-2</v>
      </c>
      <c r="C166" s="30">
        <v>3.4712683359395743E-2</v>
      </c>
      <c r="D166" s="31">
        <v>2.1266804337512987E-2</v>
      </c>
      <c r="E166">
        <f t="shared" si="10"/>
        <v>74.541021141960854</v>
      </c>
      <c r="L166" s="25">
        <f t="shared" si="11"/>
        <v>0.32362831632218658</v>
      </c>
      <c r="M166" s="25">
        <f t="shared" si="9"/>
        <v>1.32</v>
      </c>
    </row>
    <row r="167" spans="1:13" ht="15" customHeight="1" x14ac:dyDescent="0.25">
      <c r="A167" s="29">
        <v>1.33</v>
      </c>
      <c r="B167" s="30">
        <v>7.5579057933145746E-2</v>
      </c>
      <c r="C167" s="30">
        <v>3.4670848072006884E-2</v>
      </c>
      <c r="D167" s="31">
        <v>2.1046086188940587E-2</v>
      </c>
      <c r="E167">
        <f t="shared" si="10"/>
        <v>73.767394981770494</v>
      </c>
      <c r="L167" s="25">
        <f t="shared" si="11"/>
        <v>0.32442094206685429</v>
      </c>
      <c r="M167" s="25">
        <f t="shared" si="9"/>
        <v>1.33</v>
      </c>
    </row>
    <row r="168" spans="1:13" ht="15" customHeight="1" x14ac:dyDescent="0.25">
      <c r="A168" s="29">
        <v>1.34</v>
      </c>
      <c r="B168" s="30">
        <v>7.4799312452805286E-2</v>
      </c>
      <c r="C168" s="30">
        <v>3.4629023796924438E-2</v>
      </c>
      <c r="D168" s="31">
        <v>2.0828954737008513E-2</v>
      </c>
      <c r="E168">
        <f t="shared" si="10"/>
        <v>73.006340340359046</v>
      </c>
      <c r="L168" s="25">
        <f t="shared" si="11"/>
        <v>0.32520068754719472</v>
      </c>
      <c r="M168" s="25">
        <f t="shared" si="9"/>
        <v>1.34</v>
      </c>
    </row>
    <row r="169" spans="1:13" ht="15" customHeight="1" x14ac:dyDescent="0.25">
      <c r="A169" s="29">
        <v>1.35</v>
      </c>
      <c r="B169" s="30">
        <v>7.4032168584516042E-2</v>
      </c>
      <c r="C169" s="30">
        <v>3.4587216974819875E-2</v>
      </c>
      <c r="D169" s="31">
        <v>2.0615332386944105E-2</v>
      </c>
      <c r="E169">
        <f t="shared" si="10"/>
        <v>72.257585244866945</v>
      </c>
      <c r="L169" s="25">
        <f t="shared" si="11"/>
        <v>0.32596783141548397</v>
      </c>
      <c r="M169" s="25">
        <f t="shared" si="9"/>
        <v>1.35</v>
      </c>
    </row>
    <row r="170" spans="1:13" ht="15" customHeight="1" x14ac:dyDescent="0.25">
      <c r="A170" s="29">
        <v>1.36</v>
      </c>
      <c r="B170" s="30">
        <v>7.3277355132758112E-2</v>
      </c>
      <c r="C170" s="30">
        <v>3.4545433766288325E-2</v>
      </c>
      <c r="D170" s="31">
        <v>2.0405143620416726E-2</v>
      </c>
      <c r="E170">
        <f t="shared" si="10"/>
        <v>71.520865000449049</v>
      </c>
      <c r="L170" s="25">
        <f t="shared" si="11"/>
        <v>0.3267226448672419</v>
      </c>
      <c r="M170" s="25">
        <f t="shared" si="9"/>
        <v>1.36</v>
      </c>
    </row>
    <row r="171" spans="1:13" ht="15" customHeight="1" x14ac:dyDescent="0.25">
      <c r="A171" s="29">
        <v>1.37</v>
      </c>
      <c r="B171" s="30">
        <v>7.2534608120158744E-2</v>
      </c>
      <c r="C171" s="30">
        <v>3.4503680063308881E-2</v>
      </c>
      <c r="D171" s="31">
        <v>2.0198314929093637E-2</v>
      </c>
      <c r="E171">
        <f t="shared" si="10"/>
        <v>70.795921957385289</v>
      </c>
      <c r="L171" s="25">
        <f t="shared" si="11"/>
        <v>0.32746539187984125</v>
      </c>
      <c r="M171" s="25">
        <f t="shared" si="9"/>
        <v>1.37</v>
      </c>
    </row>
    <row r="172" spans="1:13" ht="15" customHeight="1" x14ac:dyDescent="0.25">
      <c r="A172" s="29">
        <v>1.38</v>
      </c>
      <c r="B172" s="30">
        <v>7.1803670557796961E-2</v>
      </c>
      <c r="C172" s="30">
        <v>3.4461961500205918E-2</v>
      </c>
      <c r="D172" s="31">
        <v>1.9994774750677975E-2</v>
      </c>
      <c r="E172">
        <f t="shared" si="10"/>
        <v>70.082505286891077</v>
      </c>
      <c r="L172" s="25">
        <f t="shared" si="11"/>
        <v>0.32819632944220306</v>
      </c>
      <c r="M172" s="25">
        <f t="shared" si="9"/>
        <v>1.38</v>
      </c>
    </row>
    <row r="173" spans="1:13" ht="15" customHeight="1" x14ac:dyDescent="0.25">
      <c r="A173" s="29">
        <v>1.39</v>
      </c>
      <c r="B173" s="30">
        <v>7.1084292224040529E-2</v>
      </c>
      <c r="C173" s="30">
        <v>3.4420283464135157E-2</v>
      </c>
      <c r="D173" s="31">
        <v>1.9794453407322693E-2</v>
      </c>
      <c r="E173">
        <f t="shared" si="10"/>
        <v>69.380370765255734</v>
      </c>
      <c r="L173" s="25">
        <f t="shared" si="11"/>
        <v>0.32891570777595946</v>
      </c>
      <c r="M173" s="25">
        <f t="shared" si="9"/>
        <v>1.39</v>
      </c>
    </row>
    <row r="174" spans="1:13" ht="15" customHeight="1" x14ac:dyDescent="0.25">
      <c r="A174" s="29">
        <v>1.4</v>
      </c>
      <c r="B174" s="30">
        <v>7.0376229451553057E-2</v>
      </c>
      <c r="C174" s="30">
        <v>3.4378651105116884E-2</v>
      </c>
      <c r="D174" s="31">
        <v>1.9597283046319608E-2</v>
      </c>
      <c r="E174">
        <f t="shared" si="10"/>
        <v>68.689280565955116</v>
      </c>
      <c r="L174" s="25">
        <f t="shared" si="11"/>
        <v>0.32962377054844694</v>
      </c>
      <c r="M174" s="25">
        <f t="shared" si="9"/>
        <v>1.4</v>
      </c>
    </row>
    <row r="175" spans="1:13" ht="15" customHeight="1" x14ac:dyDescent="0.25">
      <c r="A175" s="29">
        <v>1.41</v>
      </c>
      <c r="B175" s="30">
        <v>6.9679244922125974E-2</v>
      </c>
      <c r="C175" s="30">
        <v>3.4337069345637551E-2</v>
      </c>
      <c r="D175" s="31">
        <v>1.9403197582967362E-2</v>
      </c>
      <c r="E175">
        <f t="shared" si="10"/>
        <v>68.009003059401508</v>
      </c>
      <c r="L175" s="25">
        <f t="shared" si="11"/>
        <v>0.33032075507787406</v>
      </c>
      <c r="M175" s="25">
        <f t="shared" si="9"/>
        <v>1.41</v>
      </c>
    </row>
    <row r="176" spans="1:13" ht="15" customHeight="1" x14ac:dyDescent="0.25">
      <c r="A176" s="29">
        <v>1.42</v>
      </c>
      <c r="B176" s="30">
        <v>6.8993107469006928E-2</v>
      </c>
      <c r="C176" s="30">
        <v>3.4295542889840255E-2</v>
      </c>
      <c r="D176" s="31">
        <v>1.9212132645526927E-2</v>
      </c>
      <c r="E176">
        <f t="shared" si="10"/>
        <v>67.339312620010347</v>
      </c>
      <c r="L176" s="25">
        <f t="shared" si="11"/>
        <v>0.33100689253099308</v>
      </c>
      <c r="M176" s="25">
        <f t="shared" si="9"/>
        <v>1.42</v>
      </c>
    </row>
    <row r="177" spans="1:13" ht="15" customHeight="1" x14ac:dyDescent="0.25">
      <c r="A177" s="29">
        <v>1.43</v>
      </c>
      <c r="B177" s="30">
        <v>6.8317591886411205E-2</v>
      </c>
      <c r="C177" s="30">
        <v>3.4254076232322642E-2</v>
      </c>
      <c r="D177" s="31">
        <v>1.902402552217726E-2</v>
      </c>
      <c r="E177">
        <f t="shared" si="10"/>
        <v>66.679989440277694</v>
      </c>
      <c r="L177" s="25">
        <f t="shared" si="11"/>
        <v>0.33168240811358884</v>
      </c>
      <c r="M177" s="25">
        <f t="shared" si="9"/>
        <v>1.43</v>
      </c>
    </row>
    <row r="178" spans="1:13" ht="15" customHeight="1" x14ac:dyDescent="0.25">
      <c r="A178" s="29">
        <v>1.44</v>
      </c>
      <c r="B178" s="30">
        <v>6.7652478745917649E-2</v>
      </c>
      <c r="C178" s="30">
        <v>3.4212673666561194E-2</v>
      </c>
      <c r="D178" s="31">
        <v>1.8838815109888097E-2</v>
      </c>
      <c r="E178">
        <f t="shared" si="10"/>
        <v>66.030819351577279</v>
      </c>
      <c r="L178" s="25">
        <f t="shared" si="11"/>
        <v>0.3323475212540824</v>
      </c>
      <c r="M178" s="25">
        <f t="shared" si="9"/>
        <v>1.44</v>
      </c>
    </row>
    <row r="179" spans="1:13" ht="15" customHeight="1" x14ac:dyDescent="0.25">
      <c r="A179" s="29">
        <v>1.45</v>
      </c>
      <c r="B179" s="30">
        <v>6.6997554219464753E-2</v>
      </c>
      <c r="C179" s="30">
        <v>3.4171339292978525E-2</v>
      </c>
      <c r="D179" s="31">
        <v>1.865644186513065E-2</v>
      </c>
      <c r="E179">
        <f t="shared" si="10"/>
        <v>65.39159365139939</v>
      </c>
      <c r="L179" s="25">
        <f t="shared" si="11"/>
        <v>0.33300244578053528</v>
      </c>
      <c r="M179" s="25">
        <f t="shared" si="9"/>
        <v>1.45</v>
      </c>
    </row>
    <row r="180" spans="1:13" ht="15" customHeight="1" x14ac:dyDescent="0.25">
      <c r="A180" s="29">
        <v>1.46</v>
      </c>
      <c r="B180" s="30">
        <v>6.6352609908675364E-2</v>
      </c>
      <c r="C180" s="30">
        <v>3.4130077026670418E-2</v>
      </c>
      <c r="D180" s="31">
        <v>1.8476847756350584E-2</v>
      </c>
      <c r="E180">
        <f t="shared" si="10"/>
        <v>64.762108936766808</v>
      </c>
      <c r="L180" s="25">
        <f t="shared" si="11"/>
        <v>0.33364739009132466</v>
      </c>
      <c r="M180" s="25">
        <f t="shared" si="9"/>
        <v>1.46</v>
      </c>
    </row>
    <row r="181" spans="1:13" ht="15" customHeight="1" x14ac:dyDescent="0.25">
      <c r="A181" s="29">
        <v>1.47</v>
      </c>
      <c r="B181" s="30">
        <v>6.5717442680251384E-2</v>
      </c>
      <c r="C181" s="30">
        <v>3.4088890604807999E-2</v>
      </c>
      <c r="D181" s="31">
        <v>1.8299976218131279E-2</v>
      </c>
      <c r="E181">
        <f t="shared" si="10"/>
        <v>64.142166943575077</v>
      </c>
      <c r="L181" s="25">
        <f t="shared" si="11"/>
        <v>0.33428255731974865</v>
      </c>
      <c r="M181" s="25">
        <f t="shared" si="9"/>
        <v>1.47</v>
      </c>
    </row>
    <row r="182" spans="1:13" ht="15" customHeight="1" x14ac:dyDescent="0.25">
      <c r="A182" s="29">
        <v>1.48</v>
      </c>
      <c r="B182" s="30">
        <v>6.5091854507191488E-2</v>
      </c>
      <c r="C182" s="30">
        <v>3.4047783593730105E-2</v>
      </c>
      <c r="D182" s="31">
        <v>1.8125772106978601E-2</v>
      </c>
      <c r="E182">
        <f t="shared" si="10"/>
        <v>63.531574391616381</v>
      </c>
      <c r="L182" s="25">
        <f t="shared" si="11"/>
        <v>0.33490814549280856</v>
      </c>
      <c r="M182" s="25">
        <f t="shared" si="9"/>
        <v>1.48</v>
      </c>
    </row>
    <row r="183" spans="1:13" ht="15" customHeight="1" x14ac:dyDescent="0.25">
      <c r="A183" s="29">
        <v>1.49</v>
      </c>
      <c r="B183" s="30">
        <v>6.4475652315596252E-2</v>
      </c>
      <c r="C183" s="30">
        <v>3.4006759395739619E-2</v>
      </c>
      <c r="D183" s="31">
        <v>1.7954181658661569E-2</v>
      </c>
      <c r="E183">
        <f t="shared" si="10"/>
        <v>62.930142835056799</v>
      </c>
      <c r="L183" s="25">
        <f t="shared" si="11"/>
        <v>0.33552434768440376</v>
      </c>
      <c r="M183" s="25">
        <f t="shared" si="9"/>
        <v>1.49</v>
      </c>
    </row>
    <row r="184" spans="1:13" ht="15" customHeight="1" x14ac:dyDescent="0.25">
      <c r="A184" s="29">
        <v>1.5</v>
      </c>
      <c r="B184" s="30">
        <v>6.3868647836835962E-2</v>
      </c>
      <c r="C184" s="30">
        <v>3.3965821255617049E-2</v>
      </c>
      <c r="D184" s="31">
        <v>1.7785152447046329E-2</v>
      </c>
      <c r="E184">
        <f t="shared" si="10"/>
        <v>62.337688518147708</v>
      </c>
      <c r="L184" s="25">
        <f t="shared" si="11"/>
        <v>0.33613135216316403</v>
      </c>
      <c r="M184" s="25">
        <f t="shared" si="9"/>
        <v>1.5</v>
      </c>
    </row>
    <row r="185" spans="1:13" ht="15" customHeight="1" x14ac:dyDescent="0.25">
      <c r="A185" s="29">
        <v>1.51</v>
      </c>
      <c r="B185" s="30">
        <v>6.327065746486614E-2</v>
      </c>
      <c r="C185" s="30">
        <v>3.3924972266864729E-2</v>
      </c>
      <c r="D185" s="31">
        <v>1.7618633344363598E-2</v>
      </c>
      <c r="E185">
        <f t="shared" si="10"/>
        <v>61.754032235961525</v>
      </c>
      <c r="L185" s="25">
        <f t="shared" si="11"/>
        <v>0.33672934253513387</v>
      </c>
      <c r="M185" s="25">
        <f t="shared" si="9"/>
        <v>1.51</v>
      </c>
    </row>
    <row r="186" spans="1:13" ht="15" customHeight="1" x14ac:dyDescent="0.25">
      <c r="A186" s="29">
        <v>1.52</v>
      </c>
      <c r="B186" s="30">
        <v>6.2681502118486027E-2</v>
      </c>
      <c r="C186" s="30">
        <v>3.3884215377692754E-2</v>
      </c>
      <c r="D186" s="31">
        <v>1.7454574482852529E-2</v>
      </c>
      <c r="E186">
        <f t="shared" si="10"/>
        <v>61.17899919995191</v>
      </c>
      <c r="L186" s="25">
        <f t="shared" si="11"/>
        <v>0.33731849788151402</v>
      </c>
      <c r="M186" s="25">
        <f t="shared" si="9"/>
        <v>1.52</v>
      </c>
    </row>
    <row r="187" spans="1:13" ht="15" customHeight="1" x14ac:dyDescent="0.25">
      <c r="A187" s="29">
        <v>1.53</v>
      </c>
      <c r="B187" s="30">
        <v>6.2101007108344021E-2</v>
      </c>
      <c r="C187" s="30">
        <v>3.3843553396758888E-2</v>
      </c>
      <c r="D187" s="31">
        <v>1.7292927217726451E-2</v>
      </c>
      <c r="E187">
        <f t="shared" si="10"/>
        <v>60.612418908147134</v>
      </c>
      <c r="L187" s="25">
        <f t="shared" si="11"/>
        <v>0.33789899289165598</v>
      </c>
      <c r="M187" s="25">
        <f t="shared" si="9"/>
        <v>1.53</v>
      </c>
    </row>
    <row r="188" spans="1:13" ht="15" customHeight="1" x14ac:dyDescent="0.25">
      <c r="A188" s="29">
        <v>1.54</v>
      </c>
      <c r="B188" s="30">
        <v>6.1529002008503031E-2</v>
      </c>
      <c r="C188" s="30">
        <v>3.3802988998673122E-2</v>
      </c>
      <c r="D188" s="31">
        <v>1.7133644091408367E-2</v>
      </c>
      <c r="E188">
        <f t="shared" si="10"/>
        <v>60.054125019794071</v>
      </c>
      <c r="L188" s="25">
        <f t="shared" si="11"/>
        <v>0.33847099799149699</v>
      </c>
      <c r="M188" s="25">
        <f t="shared" si="9"/>
        <v>1.54</v>
      </c>
    </row>
    <row r="189" spans="1:13" ht="15" customHeight="1" x14ac:dyDescent="0.25">
      <c r="A189" s="29">
        <v>1.55</v>
      </c>
      <c r="B189" s="30">
        <v>6.096532053238668E-2</v>
      </c>
      <c r="C189" s="30">
        <v>3.3762524729277293E-2</v>
      </c>
      <c r="D189" s="31">
        <v>1.6976678798986386E-2</v>
      </c>
      <c r="E189">
        <f t="shared" si="10"/>
        <v>59.503955234278038</v>
      </c>
      <c r="L189" s="25">
        <f t="shared" si="11"/>
        <v>0.33903467946761334</v>
      </c>
      <c r="M189" s="25">
        <f t="shared" si="9"/>
        <v>1.55</v>
      </c>
    </row>
    <row r="190" spans="1:13" ht="15" customHeight="1" x14ac:dyDescent="0.25">
      <c r="A190" s="29">
        <v>1.56</v>
      </c>
      <c r="B190" s="30">
        <v>6.0409800412935824E-2</v>
      </c>
      <c r="C190" s="30">
        <v>3.3722163010709433E-2</v>
      </c>
      <c r="D190" s="31">
        <v>1.682198615484156E-2</v>
      </c>
      <c r="E190">
        <f t="shared" si="10"/>
        <v>58.961751174152013</v>
      </c>
      <c r="L190" s="25">
        <f t="shared" si="11"/>
        <v>0.33959019958706421</v>
      </c>
      <c r="M190" s="25">
        <f t="shared" si="9"/>
        <v>1.56</v>
      </c>
    </row>
    <row r="191" spans="1:13" ht="15" customHeight="1" x14ac:dyDescent="0.25">
      <c r="A191" s="29">
        <v>1.57</v>
      </c>
      <c r="B191" s="30">
        <v>5.9862283286811716E-2</v>
      </c>
      <c r="C191" s="30">
        <v>3.3681906146262965E-2</v>
      </c>
      <c r="D191" s="31">
        <v>1.6669522060402571E-2</v>
      </c>
      <c r="E191">
        <f t="shared" si="10"/>
        <v>58.427358272115484</v>
      </c>
      <c r="L191" s="25">
        <f t="shared" si="11"/>
        <v>0.34013771671318832</v>
      </c>
      <c r="M191" s="25">
        <f t="shared" si="9"/>
        <v>1.57</v>
      </c>
    </row>
    <row r="192" spans="1:13" ht="15" customHeight="1" x14ac:dyDescent="0.25">
      <c r="A192" s="29">
        <v>1.58</v>
      </c>
      <c r="B192" s="30">
        <v>5.9322614582489316E-2</v>
      </c>
      <c r="C192" s="30">
        <v>3.3641756325048844E-2</v>
      </c>
      <c r="D192" s="31">
        <v>1.6519243472983686E-2</v>
      </c>
      <c r="E192">
        <f t="shared" si="10"/>
        <v>57.900625661790208</v>
      </c>
      <c r="L192" s="25">
        <f t="shared" si="11"/>
        <v>0.34067738541751069</v>
      </c>
      <c r="M192" s="25">
        <f t="shared" si="9"/>
        <v>1.58</v>
      </c>
    </row>
    <row r="193" spans="1:13" ht="15" customHeight="1" x14ac:dyDescent="0.25">
      <c r="A193" s="29">
        <v>1.59</v>
      </c>
      <c r="B193" s="30">
        <v>5.8790643412091712E-2</v>
      </c>
      <c r="C193" s="30">
        <v>3.3601715626469866E-2</v>
      </c>
      <c r="D193" s="31">
        <v>1.6371108375664491E-2</v>
      </c>
      <c r="E193">
        <f t="shared" si="10"/>
        <v>57.381406072147442</v>
      </c>
      <c r="L193" s="25">
        <f t="shared" si="11"/>
        <v>0.3412093565879083</v>
      </c>
      <c r="M193" s="25">
        <f t="shared" si="9"/>
        <v>1.59</v>
      </c>
    </row>
    <row r="194" spans="1:13" ht="15" customHeight="1" x14ac:dyDescent="0.25">
      <c r="A194" s="29">
        <v>1.6</v>
      </c>
      <c r="B194" s="30">
        <v>5.8266222466822358E-2</v>
      </c>
      <c r="C194" s="30">
        <v>3.3561786024515011E-2</v>
      </c>
      <c r="D194" s="31">
        <v>1.6225075748171471E-2</v>
      </c>
      <c r="E194">
        <f t="shared" si="10"/>
        <v>56.869555725446673</v>
      </c>
      <c r="L194" s="25">
        <f t="shared" si="11"/>
        <v>0.34173377753317769</v>
      </c>
      <c r="M194" s="25">
        <f t="shared" si="9"/>
        <v>1.6</v>
      </c>
    </row>
    <row r="195" spans="1:13" ht="15" customHeight="1" x14ac:dyDescent="0.25">
      <c r="A195" s="29">
        <v>1.61</v>
      </c>
      <c r="B195" s="30">
        <v>5.7749207915857852E-2</v>
      </c>
      <c r="C195" s="30">
        <v>3.3521969391881637E-2</v>
      </c>
      <c r="D195" s="31">
        <v>1.6081105538723234E-2</v>
      </c>
      <c r="E195">
        <f t="shared" si="10"/>
        <v>56.364934238552017</v>
      </c>
      <c r="L195" s="25">
        <f t="shared" si="11"/>
        <v>0.34225079208414216</v>
      </c>
      <c r="M195" s="25">
        <f t="shared" si="9"/>
        <v>1.61</v>
      </c>
    </row>
    <row r="196" spans="1:13" ht="15" customHeight="1" x14ac:dyDescent="0.25">
      <c r="A196" s="29">
        <v>1.62</v>
      </c>
      <c r="B196" s="30">
        <v>5.7239459308571126E-2</v>
      </c>
      <c r="C196" s="30">
        <v>3.3482267503932871E-2</v>
      </c>
      <c r="D196" s="31">
        <v>1.5939158636803147E-2</v>
      </c>
      <c r="E196">
        <f t="shared" si="10"/>
        <v>55.867404527499133</v>
      </c>
      <c r="L196" s="25">
        <f t="shared" si="11"/>
        <v>0.34276054069142892</v>
      </c>
      <c r="M196" s="25">
        <f t="shared" si="9"/>
        <v>1.62</v>
      </c>
    </row>
    <row r="197" spans="1:13" ht="15" customHeight="1" x14ac:dyDescent="0.25">
      <c r="A197" s="29">
        <v>1.63</v>
      </c>
      <c r="B197" s="30">
        <v>5.6736839479958716E-2</v>
      </c>
      <c r="C197" s="30">
        <v>3.3442682042497375E-2</v>
      </c>
      <c r="D197" s="31">
        <v>1.5799196846824178E-2</v>
      </c>
      <c r="E197">
        <f t="shared" si="10"/>
        <v>55.376832715189458</v>
      </c>
      <c r="L197" s="25">
        <f t="shared" si="11"/>
        <v>0.3432631605200413</v>
      </c>
      <c r="M197" s="25">
        <f t="shared" si="9"/>
        <v>1.63</v>
      </c>
    </row>
    <row r="198" spans="1:13" ht="15" customHeight="1" x14ac:dyDescent="0.25">
      <c r="A198" s="29">
        <v>1.64</v>
      </c>
      <c r="B198" s="30">
        <v>5.6241214459152485E-2</v>
      </c>
      <c r="C198" s="30">
        <v>3.3403214599518165E-2</v>
      </c>
      <c r="D198" s="31">
        <v>1.566118286265266E-2</v>
      </c>
      <c r="E198">
        <f t="shared" si="10"/>
        <v>54.893088042094938</v>
      </c>
      <c r="L198" s="25">
        <f t="shared" si="11"/>
        <v>0.34375878554084754</v>
      </c>
      <c r="M198" s="25">
        <f t="shared" si="9"/>
        <v>1.64</v>
      </c>
    </row>
    <row r="199" spans="1:13" ht="15" customHeight="1" x14ac:dyDescent="0.25">
      <c r="A199" s="29">
        <v>1.65</v>
      </c>
      <c r="B199" s="30">
        <v>5.5752453380900409E-2</v>
      </c>
      <c r="C199" s="30">
        <v>3.3363866680556784E-2</v>
      </c>
      <c r="D199" s="31">
        <v>1.5525080242958832E-2</v>
      </c>
      <c r="E199">
        <f t="shared" si="10"/>
        <v>54.416042779860661</v>
      </c>
      <c r="L199" s="25">
        <f t="shared" si="11"/>
        <v>0.34424754661909962</v>
      </c>
      <c r="M199" s="25">
        <f t="shared" si="9"/>
        <v>1.65</v>
      </c>
    </row>
    <row r="200" spans="1:13" ht="15" customHeight="1" x14ac:dyDescent="0.25">
      <c r="A200" s="29">
        <v>1.66</v>
      </c>
      <c r="B200" s="30">
        <v>5.5270428399906701E-2</v>
      </c>
      <c r="C200" s="30">
        <v>3.3324639708159125E-2</v>
      </c>
      <c r="D200" s="31">
        <v>1.5390853387363599E-2</v>
      </c>
      <c r="E200">
        <f t="shared" si="10"/>
        <v>53.945572147698293</v>
      </c>
      <c r="L200" s="25">
        <f t="shared" si="11"/>
        <v>0.34472957160009332</v>
      </c>
      <c r="M200" s="25">
        <f t="shared" si="9"/>
        <v>1.66</v>
      </c>
    </row>
    <row r="201" spans="1:13" ht="15" customHeight="1" x14ac:dyDescent="0.25">
      <c r="A201" s="29">
        <v>1.67</v>
      </c>
      <c r="B201" s="30">
        <v>5.4795014607924963E-2</v>
      </c>
      <c r="C201" s="30">
        <v>3.3285535025088658E-2</v>
      </c>
      <c r="D201" s="31">
        <v>1.5258467513351921E-2</v>
      </c>
      <c r="E201">
        <f t="shared" si="10"/>
        <v>53.481554231466525</v>
      </c>
      <c r="L201" s="25">
        <f t="shared" si="11"/>
        <v>0.34520498539207506</v>
      </c>
      <c r="M201" s="25">
        <f t="shared" si="9"/>
        <v>1.67</v>
      </c>
    </row>
    <row r="202" spans="1:13" ht="15" customHeight="1" x14ac:dyDescent="0.25">
      <c r="A202" s="29">
        <v>1.68</v>
      </c>
      <c r="B202" s="30">
        <v>5.4326089953503638E-2</v>
      </c>
      <c r="C202" s="30">
        <v>3.3246553897432668E-2</v>
      </c>
      <c r="D202" s="31">
        <v>1.5127888633924764E-2</v>
      </c>
      <c r="E202">
        <f t="shared" si="10"/>
        <v>53.023869905340284</v>
      </c>
      <c r="L202" s="25">
        <f t="shared" si="11"/>
        <v>0.34567391004649639</v>
      </c>
      <c r="M202" s="25">
        <f t="shared" si="9"/>
        <v>1.68</v>
      </c>
    </row>
    <row r="203" spans="1:13" ht="15" customHeight="1" x14ac:dyDescent="0.25">
      <c r="A203" s="29">
        <v>1.69</v>
      </c>
      <c r="B203" s="30">
        <v>5.3863535164286561E-2</v>
      </c>
      <c r="C203" s="30">
        <v>3.3207697517586704E-2</v>
      </c>
      <c r="D203" s="31">
        <v>1.4999083535962561E-2</v>
      </c>
      <c r="E203">
        <f t="shared" si="10"/>
        <v>52.572402755973748</v>
      </c>
      <c r="L203" s="25">
        <f t="shared" si="11"/>
        <v>0.34613646483571348</v>
      </c>
      <c r="M203" s="25">
        <f t="shared" si="9"/>
        <v>1.69</v>
      </c>
    </row>
    <row r="204" spans="1:13" ht="15" customHeight="1" x14ac:dyDescent="0.25">
      <c r="A204" s="29">
        <v>1.7</v>
      </c>
      <c r="B204" s="30">
        <v>5.3407233671775425E-2</v>
      </c>
      <c r="C204" s="30">
        <v>3.3168967007122539E-2</v>
      </c>
      <c r="D204" s="31">
        <v>1.4872019759274232E-2</v>
      </c>
      <c r="E204">
        <f t="shared" si="10"/>
        <v>52.127039009066308</v>
      </c>
      <c r="L204" s="25">
        <f t="shared" si="11"/>
        <v>0.34659276632822461</v>
      </c>
      <c r="M204" s="25">
        <f t="shared" si="9"/>
        <v>1.7</v>
      </c>
    </row>
    <row r="205" spans="1:13" ht="15" customHeight="1" x14ac:dyDescent="0.25">
      <c r="A205" s="29">
        <v>1.71</v>
      </c>
      <c r="B205" s="30">
        <v>5.2957071538465163E-2</v>
      </c>
      <c r="C205" s="30">
        <v>3.3130363419544319E-2</v>
      </c>
      <c r="D205" s="31">
        <v>1.4746665576306967E-2</v>
      </c>
      <c r="E205">
        <f t="shared" si="10"/>
        <v>51.68766745824454</v>
      </c>
      <c r="L205" s="25">
        <f t="shared" si="11"/>
        <v>0.34704292846153484</v>
      </c>
      <c r="M205" s="25">
        <f t="shared" si="9"/>
        <v>1.71</v>
      </c>
    </row>
    <row r="206" spans="1:13" ht="15" customHeight="1" x14ac:dyDescent="0.25">
      <c r="A206" s="29">
        <v>1.72</v>
      </c>
      <c r="B206" s="30">
        <v>5.2512937387266444E-2</v>
      </c>
      <c r="C206" s="30">
        <v>3.3091887742937545E-2</v>
      </c>
      <c r="D206" s="31">
        <v>1.4622989972492898E-2</v>
      </c>
      <c r="E206">
        <f t="shared" si="10"/>
        <v>51.254179396176475</v>
      </c>
      <c r="L206" s="25">
        <f t="shared" si="11"/>
        <v>0.3474870626127336</v>
      </c>
      <c r="M206" s="25">
        <f t="shared" si="9"/>
        <v>1.72</v>
      </c>
    </row>
    <row r="207" spans="1:13" ht="15" customHeight="1" x14ac:dyDescent="0.25">
      <c r="A207" s="29">
        <v>1.73</v>
      </c>
      <c r="B207" s="30">
        <v>5.2074722333133226E-2</v>
      </c>
      <c r="C207" s="30">
        <v>3.305354090251536E-2</v>
      </c>
      <c r="D207" s="31">
        <v>1.4500962627209804E-2</v>
      </c>
      <c r="E207">
        <f t="shared" si="10"/>
        <v>50.826468547838076</v>
      </c>
      <c r="L207" s="25">
        <f t="shared" si="11"/>
        <v>0.34792527766686682</v>
      </c>
      <c r="M207" s="25">
        <f t="shared" si="9"/>
        <v>1.73</v>
      </c>
    </row>
    <row r="208" spans="1:13" ht="15" customHeight="1" x14ac:dyDescent="0.25">
      <c r="A208" s="29">
        <v>1.74</v>
      </c>
      <c r="B208" s="30">
        <v>5.1642319916816642E-2</v>
      </c>
      <c r="C208" s="30">
        <v>3.3015323763066401E-2</v>
      </c>
      <c r="D208" s="31">
        <v>1.4380553895333907E-2</v>
      </c>
      <c r="E208">
        <f t="shared" si="10"/>
        <v>50.404431005855045</v>
      </c>
      <c r="L208" s="25">
        <f t="shared" si="11"/>
        <v>0.34835768008318335</v>
      </c>
      <c r="M208" s="25">
        <f t="shared" si="9"/>
        <v>1.74</v>
      </c>
    </row>
    <row r="209" spans="1:13" ht="15" customHeight="1" x14ac:dyDescent="0.25">
      <c r="A209" s="29">
        <v>1.75</v>
      </c>
      <c r="B209" s="30">
        <v>5.121562604066935E-2</v>
      </c>
      <c r="C209" s="30">
        <v>3.2977237131308172E-2</v>
      </c>
      <c r="D209" s="31">
        <v>1.4261734789363672E-2</v>
      </c>
      <c r="E209">
        <f t="shared" si="10"/>
        <v>49.987965167846028</v>
      </c>
      <c r="L209" s="25">
        <f t="shared" si="11"/>
        <v>0.34878437395933065</v>
      </c>
      <c r="M209" s="25">
        <f t="shared" si="9"/>
        <v>1.75</v>
      </c>
    </row>
    <row r="210" spans="1:13" ht="15" customHeight="1" x14ac:dyDescent="0.25">
      <c r="A210" s="29">
        <v>1.76</v>
      </c>
      <c r="B210" s="30">
        <v>5.0794538906428197E-2</v>
      </c>
      <c r="C210" s="30">
        <v>3.2939281758149787E-2</v>
      </c>
      <c r="D210" s="31">
        <v>1.4144476962094477E-2</v>
      </c>
      <c r="E210">
        <f t="shared" si="10"/>
        <v>49.576971675696583</v>
      </c>
      <c r="L210" s="25">
        <f t="shared" si="11"/>
        <v>0.34920546109357181</v>
      </c>
      <c r="M210" s="25">
        <f t="shared" si="9"/>
        <v>1.76</v>
      </c>
    </row>
    <row r="211" spans="1:13" ht="15" customHeight="1" x14ac:dyDescent="0.25">
      <c r="A211" s="29">
        <v>1.77</v>
      </c>
      <c r="B211" s="30">
        <v>5.0378958954904823E-2</v>
      </c>
      <c r="C211" s="30">
        <v>3.2901458340867912E-2</v>
      </c>
      <c r="D211" s="31">
        <v>1.4028752689824592E-2</v>
      </c>
      <c r="E211">
        <f t="shared" si="10"/>
        <v>49.171353356695469</v>
      </c>
      <c r="L211" s="25">
        <f t="shared" si="11"/>
        <v>0.34962104104509517</v>
      </c>
      <c r="M211" s="25">
        <f t="shared" si="9"/>
        <v>1.77</v>
      </c>
    </row>
    <row r="212" spans="1:13" ht="15" customHeight="1" x14ac:dyDescent="0.25">
      <c r="A212" s="29">
        <v>1.78</v>
      </c>
      <c r="B212" s="30">
        <v>4.9968788807517824E-2</v>
      </c>
      <c r="C212" s="30">
        <v>3.2863767525199275E-2</v>
      </c>
      <c r="D212" s="31">
        <v>1.3914534856073963E-2</v>
      </c>
      <c r="E212">
        <f t="shared" si="10"/>
        <v>48.771015166468331</v>
      </c>
      <c r="L212" s="25">
        <f t="shared" si="11"/>
        <v>0.35003121119248221</v>
      </c>
      <c r="M212" s="25">
        <f t="shared" si="9"/>
        <v>1.78</v>
      </c>
    </row>
    <row r="213" spans="1:13" ht="15" customHeight="1" x14ac:dyDescent="0.25">
      <c r="A213" s="29">
        <v>1.79</v>
      </c>
      <c r="B213" s="30">
        <v>4.9563933209602028E-2</v>
      </c>
      <c r="C213" s="30">
        <v>3.2826209907353195E-2</v>
      </c>
      <c r="D213" s="31">
        <v>1.3801796935797847E-2</v>
      </c>
      <c r="E213">
        <f t="shared" si="10"/>
        <v>48.37586413364582</v>
      </c>
      <c r="L213" s="25">
        <f t="shared" si="11"/>
        <v>0.35043606679039802</v>
      </c>
      <c r="M213" s="25">
        <f t="shared" si="9"/>
        <v>1.79</v>
      </c>
    </row>
    <row r="214" spans="1:13" ht="15" customHeight="1" x14ac:dyDescent="0.25">
      <c r="A214" s="29">
        <v>1.8</v>
      </c>
      <c r="B214" s="30">
        <v>4.9164298975432764E-2</v>
      </c>
      <c r="C214" s="30">
        <v>3.2788786035947357E-2</v>
      </c>
      <c r="D214" s="31">
        <v>1.3690512980078031E-2</v>
      </c>
      <c r="E214">
        <f t="shared" si="10"/>
        <v>47.985809306205681</v>
      </c>
      <c r="L214" s="25">
        <f t="shared" si="11"/>
        <v>0.35083570102456724</v>
      </c>
      <c r="M214" s="25">
        <f t="shared" si="9"/>
        <v>1.8</v>
      </c>
    </row>
    <row r="215" spans="1:13" ht="15" customHeight="1" x14ac:dyDescent="0.25">
      <c r="A215" s="29">
        <v>1.81</v>
      </c>
      <c r="B215" s="30">
        <v>4.8769794934906421E-2</v>
      </c>
      <c r="C215" s="30">
        <v>3.2751496413869874E-2</v>
      </c>
      <c r="D215" s="31">
        <v>1.3580657601275255E-2</v>
      </c>
      <c r="E215">
        <f t="shared" si="10"/>
        <v>47.600761699431416</v>
      </c>
      <c r="L215" s="25">
        <f t="shared" si="11"/>
        <v>0.35123020506509361</v>
      </c>
      <c r="M215" s="25">
        <f t="shared" si="9"/>
        <v>1.81</v>
      </c>
    </row>
    <row r="216" spans="1:13" ht="15" customHeight="1" x14ac:dyDescent="0.25">
      <c r="A216" s="29">
        <v>1.82</v>
      </c>
      <c r="B216" s="30">
        <v>4.8380331881819477E-2</v>
      </c>
      <c r="C216" s="30">
        <v>3.2714341500070666E-2</v>
      </c>
      <c r="D216" s="31">
        <v>1.3472205958626755E-2</v>
      </c>
      <c r="E216">
        <f t="shared" si="10"/>
        <v>47.220634245431079</v>
      </c>
      <c r="L216" s="25">
        <f t="shared" si="11"/>
        <v>0.35161966811818057</v>
      </c>
      <c r="M216" s="25">
        <f t="shared" si="9"/>
        <v>1.82</v>
      </c>
    </row>
    <row r="217" spans="1:13" ht="15" customHeight="1" x14ac:dyDescent="0.25">
      <c r="A217" s="29">
        <v>1.83</v>
      </c>
      <c r="B217" s="30">
        <v>4.7995822523691833E-2</v>
      </c>
      <c r="C217" s="30">
        <v>3.2677321711284874E-2</v>
      </c>
      <c r="D217" s="31">
        <v>1.3365133744273847E-2</v>
      </c>
      <c r="E217">
        <f t="shared" si="10"/>
        <v>46.845341744163342</v>
      </c>
      <c r="L217" s="25">
        <f t="shared" si="11"/>
        <v>0.35200417747630819</v>
      </c>
      <c r="M217" s="25">
        <f t="shared" si="9"/>
        <v>1.83</v>
      </c>
    </row>
    <row r="218" spans="1:13" ht="15" customHeight="1" x14ac:dyDescent="0.25">
      <c r="A218" s="29">
        <v>1.84</v>
      </c>
      <c r="B218" s="30">
        <v>4.7616181433081432E-2</v>
      </c>
      <c r="C218" s="30">
        <v>3.2640437423691153E-2</v>
      </c>
      <c r="D218" s="31">
        <v>1.3259417169704772E-2</v>
      </c>
      <c r="E218">
        <f t="shared" si="10"/>
        <v>46.474800815919181</v>
      </c>
      <c r="L218" s="25">
        <f t="shared" si="11"/>
        <v>0.35238381856691858</v>
      </c>
      <c r="M218" s="25">
        <f t="shared" si="9"/>
        <v>1.84</v>
      </c>
    </row>
    <row r="219" spans="1:13" ht="15" customHeight="1" x14ac:dyDescent="0.25">
      <c r="A219" s="29">
        <v>1.85</v>
      </c>
      <c r="B219" s="30">
        <v>4.7241325000339292E-2</v>
      </c>
      <c r="C219" s="30">
        <v>3.2603688974507293E-2</v>
      </c>
      <c r="D219" s="31">
        <v>1.3155032952598646E-2</v>
      </c>
      <c r="E219">
        <f t="shared" si="10"/>
        <v>46.108929855209311</v>
      </c>
      <c r="L219" s="25">
        <f t="shared" si="11"/>
        <v>0.35275867499966074</v>
      </c>
      <c r="M219" s="25">
        <f t="shared" si="9"/>
        <v>1.85</v>
      </c>
    </row>
    <row r="220" spans="1:13" ht="15" customHeight="1" x14ac:dyDescent="0.25">
      <c r="A220" s="29">
        <v>1.86</v>
      </c>
      <c r="B220" s="30">
        <v>4.6871171387756684E-2</v>
      </c>
      <c r="C220" s="30">
        <v>3.2567076663525686E-2</v>
      </c>
      <c r="D220" s="31">
        <v>1.3051958304057084E-2</v>
      </c>
      <c r="E220">
        <f t="shared" si="10"/>
        <v>45.747648986010539</v>
      </c>
      <c r="L220" s="25">
        <f t="shared" si="11"/>
        <v>0.35312882861224332</v>
      </c>
      <c r="M220" s="25">
        <f t="shared" si="9"/>
        <v>1.86</v>
      </c>
    </row>
    <row r="221" spans="1:13" ht="15" customHeight="1" x14ac:dyDescent="0.25">
      <c r="A221" s="29">
        <v>1.87</v>
      </c>
      <c r="B221" s="30">
        <v>4.6505640485057023E-2</v>
      </c>
      <c r="C221" s="30">
        <v>3.2530600754591098E-2</v>
      </c>
      <c r="D221" s="31">
        <v>1.2950170916210266E-2</v>
      </c>
      <c r="E221">
        <f t="shared" si="10"/>
        <v>45.390880018324545</v>
      </c>
      <c r="L221" s="25">
        <f t="shared" si="11"/>
        <v>0.35349435951494301</v>
      </c>
      <c r="M221" s="25">
        <f t="shared" si="9"/>
        <v>1.87</v>
      </c>
    </row>
    <row r="222" spans="1:13" ht="15" customHeight="1" x14ac:dyDescent="0.25">
      <c r="A222" s="29">
        <v>1.88</v>
      </c>
      <c r="B222" s="30">
        <v>4.6144653866187844E-2</v>
      </c>
      <c r="C222" s="30">
        <v>3.2494261477022925E-2</v>
      </c>
      <c r="D222" s="31">
        <v>1.284964895018503E-2</v>
      </c>
      <c r="E222">
        <f t="shared" si="10"/>
        <v>45.03854640600548</v>
      </c>
      <c r="L222" s="25">
        <f t="shared" si="11"/>
        <v>0.3538553461338122</v>
      </c>
      <c r="M222" s="25">
        <f t="shared" si="9"/>
        <v>1.88</v>
      </c>
    </row>
    <row r="223" spans="1:13" ht="15" customHeight="1" x14ac:dyDescent="0.25">
      <c r="A223" s="29">
        <v>1.89</v>
      </c>
      <c r="B223" s="30">
        <v>4.578813474736905E-2</v>
      </c>
      <c r="C223" s="30">
        <v>3.2458059026984093E-2</v>
      </c>
      <c r="D223" s="31">
        <v>1.2750371024422809E-2</v>
      </c>
      <c r="E223">
        <f t="shared" si="10"/>
        <v>44.690573205813941</v>
      </c>
      <c r="L223" s="25">
        <f t="shared" si="11"/>
        <v>0.35421186525263099</v>
      </c>
      <c r="M223" s="25">
        <f t="shared" si="9"/>
        <v>1.89</v>
      </c>
    </row>
    <row r="224" spans="1:13" ht="15" customHeight="1" x14ac:dyDescent="0.25">
      <c r="A224" s="29">
        <v>1.9</v>
      </c>
      <c r="B224" s="30">
        <v>4.5436007946355904E-2</v>
      </c>
      <c r="C224" s="30">
        <v>3.2421993568798817E-2</v>
      </c>
      <c r="D224" s="31">
        <v>1.2652316203335809E-2</v>
      </c>
      <c r="E224">
        <f t="shared" si="10"/>
        <v>44.346887037656344</v>
      </c>
      <c r="L224" s="25">
        <f t="shared" si="11"/>
        <v>0.35456399205364414</v>
      </c>
      <c r="M224" s="25">
        <f t="shared" si="9"/>
        <v>1.9</v>
      </c>
    </row>
    <row r="225" spans="1:13" ht="15" customHeight="1" x14ac:dyDescent="0.25">
      <c r="A225" s="29">
        <v>1.91</v>
      </c>
      <c r="B225" s="30">
        <v>4.5088199842876424E-2</v>
      </c>
      <c r="C225" s="30">
        <v>3.2386065236221034E-2</v>
      </c>
      <c r="D225" s="31">
        <v>1.2555463986290233E-2</v>
      </c>
      <c r="E225">
        <f t="shared" si="10"/>
        <v>44.0074160459707</v>
      </c>
      <c r="L225" s="25">
        <f t="shared" si="11"/>
        <v>0.35491180015712359</v>
      </c>
      <c r="M225" s="25">
        <f t="shared" si="9"/>
        <v>1.91</v>
      </c>
    </row>
    <row r="226" spans="1:13" ht="15" customHeight="1" x14ac:dyDescent="0.25">
      <c r="A226" s="29">
        <v>1.92</v>
      </c>
      <c r="B226" s="30">
        <v>4.4744638340204632E-2</v>
      </c>
      <c r="C226" s="30">
        <v>3.2350274133655599E-2</v>
      </c>
      <c r="D226" s="31">
        <v>1.2459794296905797E-2</v>
      </c>
      <c r="E226">
        <f t="shared" si="10"/>
        <v>43.672089862220986</v>
      </c>
      <c r="L226" s="25">
        <f t="shared" si="11"/>
        <v>0.35525536165979538</v>
      </c>
      <c r="M226" s="25">
        <f t="shared" ref="M226:M284" si="12">A226</f>
        <v>1.92</v>
      </c>
    </row>
    <row r="227" spans="1:13" ht="15" customHeight="1" x14ac:dyDescent="0.25">
      <c r="A227" s="29">
        <v>1.93</v>
      </c>
      <c r="B227" s="30">
        <v>4.440525282783199E-2</v>
      </c>
      <c r="C227" s="30">
        <v>3.2314620337333906E-2</v>
      </c>
      <c r="D227" s="31">
        <v>1.2365287472661034E-2</v>
      </c>
      <c r="E227">
        <f t="shared" ref="E227:E284" si="13">D227*$E$15</f>
        <v>43.340839568463302</v>
      </c>
      <c r="L227" s="25">
        <f t="shared" ref="L227:L284" si="14">ABS(B227-$B$20/100)</f>
        <v>0.35559474717216805</v>
      </c>
      <c r="M227" s="25">
        <f t="shared" si="12"/>
        <v>1.93</v>
      </c>
    </row>
    <row r="228" spans="1:13" ht="15" customHeight="1" x14ac:dyDescent="0.25">
      <c r="A228" s="29">
        <v>1.94</v>
      </c>
      <c r="B228" s="30">
        <v>4.4069974145201765E-2</v>
      </c>
      <c r="C228" s="30">
        <v>3.2279103896445914E-2</v>
      </c>
      <c r="D228" s="31">
        <v>1.2271924254794626E-2</v>
      </c>
      <c r="E228">
        <f t="shared" si="13"/>
        <v>43.013597661949611</v>
      </c>
      <c r="L228" s="25">
        <f t="shared" si="14"/>
        <v>0.35593002585479827</v>
      </c>
      <c r="M228" s="25">
        <f t="shared" si="12"/>
        <v>1.94</v>
      </c>
    </row>
    <row r="229" spans="1:13" ht="15" customHeight="1" x14ac:dyDescent="0.25">
      <c r="A229" s="29">
        <v>1.95</v>
      </c>
      <c r="B229" s="30">
        <v>4.3738734546470925E-2</v>
      </c>
      <c r="C229" s="30">
        <v>3.224372483423002E-2</v>
      </c>
      <c r="D229" s="31">
        <v>1.217968577849282E-2</v>
      </c>
      <c r="E229">
        <f t="shared" si="13"/>
        <v>42.690298020734247</v>
      </c>
      <c r="L229" s="25">
        <f t="shared" si="14"/>
        <v>0.3562612654535291</v>
      </c>
      <c r="M229" s="25">
        <f t="shared" si="12"/>
        <v>1.95</v>
      </c>
    </row>
    <row r="230" spans="1:13" ht="15" customHeight="1" x14ac:dyDescent="0.25">
      <c r="A230" s="29">
        <v>1.96</v>
      </c>
      <c r="B230" s="30">
        <v>4.3411467666267106E-2</v>
      </c>
      <c r="C230" s="30">
        <v>3.2208483149022589E-2</v>
      </c>
      <c r="D230" s="31">
        <v>1.2088553563353968E-2</v>
      </c>
      <c r="E230">
        <f t="shared" si="13"/>
        <v>42.370875870251751</v>
      </c>
      <c r="L230" s="25">
        <f t="shared" si="14"/>
        <v>0.35658853233373289</v>
      </c>
      <c r="M230" s="25">
        <f t="shared" si="12"/>
        <v>1.96</v>
      </c>
    </row>
    <row r="231" spans="1:13" ht="15" customHeight="1" x14ac:dyDescent="0.25">
      <c r="A231" s="29">
        <v>1.97</v>
      </c>
      <c r="B231" s="30">
        <v>4.3088108486407831E-2</v>
      </c>
      <c r="C231" s="30">
        <v>3.2173378815268501E-2</v>
      </c>
      <c r="D231" s="31">
        <v>1.1998509504121008E-2</v>
      </c>
      <c r="E231">
        <f t="shared" si="13"/>
        <v>42.055267750833799</v>
      </c>
      <c r="L231" s="25">
        <f t="shared" si="14"/>
        <v>0.35691189151359221</v>
      </c>
      <c r="M231" s="25">
        <f t="shared" si="12"/>
        <v>1.97</v>
      </c>
    </row>
    <row r="232" spans="1:13" ht="15" customHeight="1" x14ac:dyDescent="0.25">
      <c r="A232" s="29">
        <v>1.98</v>
      </c>
      <c r="B232" s="30">
        <v>4.2768593303551469E-2</v>
      </c>
      <c r="C232" s="30">
        <v>3.2138411784494489E-2</v>
      </c>
      <c r="D232" s="31">
        <v>1.1909535861673409E-2</v>
      </c>
      <c r="E232">
        <f t="shared" si="13"/>
        <v>41.743411486135621</v>
      </c>
      <c r="L232" s="25">
        <f t="shared" si="14"/>
        <v>0.35723140669644854</v>
      </c>
      <c r="M232" s="25">
        <f t="shared" si="12"/>
        <v>1.98</v>
      </c>
    </row>
    <row r="233" spans="1:13" ht="15" customHeight="1" x14ac:dyDescent="0.25">
      <c r="A233" s="29">
        <v>1.99</v>
      </c>
      <c r="B233" s="30">
        <v>4.2452859697750076E-2</v>
      </c>
      <c r="C233" s="30">
        <v>3.2103581986246368E-2</v>
      </c>
      <c r="D233" s="31">
        <v>1.1821615254270244E-2</v>
      </c>
      <c r="E233">
        <f t="shared" si="13"/>
        <v>41.43524615244263</v>
      </c>
      <c r="L233" s="25">
        <f t="shared" si="14"/>
        <v>0.35754714030224993</v>
      </c>
      <c r="M233" s="25">
        <f t="shared" si="12"/>
        <v>1.99</v>
      </c>
    </row>
    <row r="234" spans="1:13" ht="15" customHeight="1" x14ac:dyDescent="0.25">
      <c r="A234" s="29">
        <v>2</v>
      </c>
      <c r="B234" s="30">
        <v>4.2140846501875169E-2</v>
      </c>
      <c r="C234" s="30">
        <v>3.2068889328991719E-2</v>
      </c>
      <c r="D234" s="31">
        <v>1.1734730649036362E-2</v>
      </c>
      <c r="E234">
        <f t="shared" si="13"/>
        <v>41.130712048829054</v>
      </c>
      <c r="L234" s="25">
        <f t="shared" si="14"/>
        <v>0.35785915349812486</v>
      </c>
      <c r="M234" s="25">
        <f t="shared" si="12"/>
        <v>2</v>
      </c>
    </row>
    <row r="235" spans="1:13" ht="15" customHeight="1" x14ac:dyDescent="0.25">
      <c r="A235" s="29">
        <v>2.0099999999999998</v>
      </c>
      <c r="B235" s="30">
        <v>4.1832493771888878E-2</v>
      </c>
      <c r="C235" s="30">
        <v>3.2034333700989286E-2</v>
      </c>
      <c r="D235" s="31">
        <v>1.164886535368395E-2</v>
      </c>
      <c r="E235">
        <f t="shared" si="13"/>
        <v>40.829750668141742</v>
      </c>
      <c r="L235" s="25">
        <f t="shared" si="14"/>
        <v>0.35816750622811117</v>
      </c>
      <c r="M235" s="25">
        <f t="shared" si="12"/>
        <v>2.0099999999999998</v>
      </c>
    </row>
    <row r="236" spans="1:13" ht="15" customHeight="1" x14ac:dyDescent="0.25">
      <c r="A236" s="29">
        <v>2.02</v>
      </c>
      <c r="B236" s="30">
        <v>4.152774275793391E-2</v>
      </c>
      <c r="C236" s="30">
        <v>3.1999914971126468E-2</v>
      </c>
      <c r="D236" s="31">
        <v>1.156400300846212E-2</v>
      </c>
      <c r="E236">
        <f t="shared" si="13"/>
        <v>40.53230466878307</v>
      </c>
      <c r="L236" s="25">
        <f t="shared" si="14"/>
        <v>0.35847225724206611</v>
      </c>
      <c r="M236" s="25">
        <f t="shared" si="12"/>
        <v>2.02</v>
      </c>
    </row>
    <row r="237" spans="1:13" ht="15" customHeight="1" x14ac:dyDescent="0.25">
      <c r="A237" s="29">
        <v>2.0299999999999998</v>
      </c>
      <c r="B237" s="30">
        <v>4.1226535876216219E-2</v>
      </c>
      <c r="C237" s="30">
        <v>3.1965632989725795E-2</v>
      </c>
      <c r="D237" s="31">
        <v>1.1480127578327228E-2</v>
      </c>
      <c r="E237">
        <f t="shared" si="13"/>
        <v>40.238317847267645</v>
      </c>
      <c r="L237" s="25">
        <f t="shared" si="14"/>
        <v>0.3587734641237838</v>
      </c>
      <c r="M237" s="25">
        <f t="shared" si="12"/>
        <v>2.0299999999999998</v>
      </c>
    </row>
    <row r="238" spans="1:13" ht="15" customHeight="1" x14ac:dyDescent="0.25">
      <c r="A238" s="29">
        <v>2.04</v>
      </c>
      <c r="B238" s="30">
        <v>4.0928816681655732E-2</v>
      </c>
      <c r="C238" s="30">
        <v>3.1931487589321919E-2</v>
      </c>
      <c r="D238" s="31">
        <v>1.139722334532707E-2</v>
      </c>
      <c r="E238">
        <f t="shared" si="13"/>
        <v>39.947735111528537</v>
      </c>
      <c r="L238" s="25">
        <f t="shared" si="14"/>
        <v>0.35907118331834431</v>
      </c>
      <c r="M238" s="25">
        <f t="shared" si="12"/>
        <v>2.04</v>
      </c>
    </row>
    <row r="239" spans="1:13" ht="15" customHeight="1" x14ac:dyDescent="0.25">
      <c r="A239" s="29">
        <v>2.0499999999999998</v>
      </c>
      <c r="B239" s="30">
        <v>4.0634529841281262E-2</v>
      </c>
      <c r="C239" s="30">
        <v>3.1897478585410026E-2</v>
      </c>
      <c r="D239" s="31">
        <v>1.1315274901192312E-2</v>
      </c>
      <c r="E239">
        <f t="shared" si="13"/>
        <v>39.660502454949999</v>
      </c>
      <c r="L239" s="25">
        <f t="shared" si="14"/>
        <v>0.35936547015871878</v>
      </c>
      <c r="M239" s="25">
        <f t="shared" si="12"/>
        <v>2.0499999999999998</v>
      </c>
    </row>
    <row r="240" spans="1:13" ht="15" customHeight="1" x14ac:dyDescent="0.25">
      <c r="A240" s="29">
        <v>2.06</v>
      </c>
      <c r="B240" s="30">
        <v>4.0343621108346085E-2</v>
      </c>
      <c r="C240" s="30">
        <v>3.1863605777166744E-2</v>
      </c>
      <c r="D240" s="31">
        <v>1.1234267140128592E-2</v>
      </c>
      <c r="E240">
        <f t="shared" si="13"/>
        <v>39.376566931103454</v>
      </c>
      <c r="L240" s="25">
        <f t="shared" si="14"/>
        <v>0.35965637889165392</v>
      </c>
      <c r="M240" s="25">
        <f t="shared" si="12"/>
        <v>2.06</v>
      </c>
    </row>
    <row r="241" spans="1:13" ht="15" customHeight="1" x14ac:dyDescent="0.25">
      <c r="A241" s="29">
        <v>2.0699999999999998</v>
      </c>
      <c r="B241" s="30">
        <v>4.005603729714239E-2</v>
      </c>
      <c r="C241" s="30">
        <v>3.1829868948144685E-2</v>
      </c>
      <c r="D241" s="31">
        <v>1.1154185251803247E-2</v>
      </c>
      <c r="E241">
        <f t="shared" si="13"/>
        <v>39.095876629165701</v>
      </c>
      <c r="L241" s="25">
        <f t="shared" si="14"/>
        <v>0.35994396270285761</v>
      </c>
      <c r="M241" s="25">
        <f t="shared" si="12"/>
        <v>2.0699999999999998</v>
      </c>
    </row>
    <row r="242" spans="1:13" ht="15" customHeight="1" x14ac:dyDescent="0.25">
      <c r="A242" s="29">
        <v>2.08</v>
      </c>
      <c r="B242" s="30">
        <v>3.9771726258492561E-2</v>
      </c>
      <c r="C242" s="30">
        <v>3.1796267866941487E-2</v>
      </c>
      <c r="D242" s="31">
        <v>1.1075014714520492E-2</v>
      </c>
      <c r="E242">
        <f t="shared" si="13"/>
        <v>38.818380649997621</v>
      </c>
      <c r="L242" s="25">
        <f t="shared" si="14"/>
        <v>0.36022827374150745</v>
      </c>
      <c r="M242" s="25">
        <f t="shared" si="12"/>
        <v>2.08</v>
      </c>
    </row>
    <row r="243" spans="1:13" ht="15" customHeight="1" x14ac:dyDescent="0.25">
      <c r="A243" s="29">
        <v>2.09</v>
      </c>
      <c r="B243" s="30">
        <v>3.9490636855896863E-2</v>
      </c>
      <c r="C243" s="30">
        <v>3.1762802287844311E-2</v>
      </c>
      <c r="D243" s="31">
        <v>1.0996741288579409E-2</v>
      </c>
      <c r="E243">
        <f t="shared" si="13"/>
        <v>38.544029082863659</v>
      </c>
      <c r="L243" s="25">
        <f t="shared" si="14"/>
        <v>0.36050936314410315</v>
      </c>
      <c r="M243" s="25">
        <f t="shared" si="12"/>
        <v>2.09</v>
      </c>
    </row>
    <row r="244" spans="1:13" ht="15" customHeight="1" x14ac:dyDescent="0.25">
      <c r="A244" s="29">
        <v>2.1</v>
      </c>
      <c r="B244" s="30">
        <v>3.9212718942317176E-2</v>
      </c>
      <c r="C244" s="30">
        <v>3.1729471951450913E-2</v>
      </c>
      <c r="D244" s="31">
        <v>1.0919351009809033E-2</v>
      </c>
      <c r="E244">
        <f t="shared" si="13"/>
        <v>38.272772982772061</v>
      </c>
      <c r="L244" s="25">
        <f t="shared" si="14"/>
        <v>0.36078728105768287</v>
      </c>
      <c r="M244" s="25">
        <f t="shared" si="12"/>
        <v>2.1</v>
      </c>
    </row>
    <row r="245" spans="1:13" ht="15" customHeight="1" x14ac:dyDescent="0.25">
      <c r="A245" s="29">
        <v>2.11</v>
      </c>
      <c r="B245" s="30">
        <v>3.8937923337577646E-2</v>
      </c>
      <c r="C245" s="30">
        <v>3.1696276585267788E-2</v>
      </c>
      <c r="D245" s="31">
        <v>1.0842830183275233E-2</v>
      </c>
      <c r="E245">
        <f t="shared" si="13"/>
        <v>38.004564348417205</v>
      </c>
      <c r="L245" s="25">
        <f t="shared" si="14"/>
        <v>0.3610620766624224</v>
      </c>
      <c r="M245" s="25">
        <f t="shared" si="12"/>
        <v>2.11</v>
      </c>
    </row>
    <row r="246" spans="1:13" ht="15" customHeight="1" x14ac:dyDescent="0.25">
      <c r="A246" s="29">
        <v>2.12</v>
      </c>
      <c r="B246" s="30">
        <v>3.8666201806363279E-2</v>
      </c>
      <c r="C246" s="30">
        <v>3.1663215904286585E-2</v>
      </c>
      <c r="D246" s="31">
        <v>1.0767165377154112E-2</v>
      </c>
      <c r="E246">
        <f t="shared" si="13"/>
        <v>37.739356100705621</v>
      </c>
      <c r="L246" s="25">
        <f t="shared" si="14"/>
        <v>0.36133379819363676</v>
      </c>
      <c r="M246" s="25">
        <f t="shared" si="12"/>
        <v>2.12</v>
      </c>
    </row>
    <row r="247" spans="1:13" ht="15" customHeight="1" x14ac:dyDescent="0.25">
      <c r="A247" s="29">
        <v>2.13</v>
      </c>
      <c r="B247" s="30">
        <v>3.8397507036798582E-2</v>
      </c>
      <c r="C247" s="30">
        <v>3.1630289611539381E-2</v>
      </c>
      <c r="D247" s="31">
        <v>1.0692343416766907E-2</v>
      </c>
      <c r="E247">
        <f t="shared" si="13"/>
        <v>37.477102061848093</v>
      </c>
      <c r="L247" s="25">
        <f t="shared" si="14"/>
        <v>0.36160249296320146</v>
      </c>
      <c r="M247" s="25">
        <f t="shared" si="12"/>
        <v>2.13</v>
      </c>
    </row>
    <row r="248" spans="1:13" ht="15" customHeight="1" x14ac:dyDescent="0.25">
      <c r="A248" s="29">
        <v>2.14</v>
      </c>
      <c r="B248" s="30">
        <v>3.8131792619588781E-2</v>
      </c>
      <c r="C248" s="30">
        <v>3.1597497398633684E-2</v>
      </c>
      <c r="D248" s="31">
        <v>1.0618351378771563E-2</v>
      </c>
      <c r="E248">
        <f t="shared" si="13"/>
        <v>37.217756935000857</v>
      </c>
      <c r="L248" s="25">
        <f t="shared" si="14"/>
        <v>0.36186820738041126</v>
      </c>
      <c r="M248" s="25">
        <f t="shared" si="12"/>
        <v>2.14</v>
      </c>
    </row>
    <row r="249" spans="1:13" ht="15" customHeight="1" x14ac:dyDescent="0.25">
      <c r="A249" s="29">
        <v>2.15</v>
      </c>
      <c r="B249" s="30">
        <v>3.7869013027706518E-2</v>
      </c>
      <c r="C249" s="30">
        <v>3.1564838946267867E-2</v>
      </c>
      <c r="D249" s="31">
        <v>1.0545176585506202E-2</v>
      </c>
      <c r="E249">
        <f t="shared" si="13"/>
        <v>36.961276284439244</v>
      </c>
      <c r="L249" s="25">
        <f t="shared" si="14"/>
        <v>0.36213098697229351</v>
      </c>
      <c r="M249" s="25">
        <f t="shared" si="12"/>
        <v>2.15</v>
      </c>
    </row>
    <row r="250" spans="1:13" ht="15" customHeight="1" x14ac:dyDescent="0.25">
      <c r="A250" s="29">
        <v>2.16</v>
      </c>
      <c r="B250" s="30">
        <v>3.7609123596608111E-2</v>
      </c>
      <c r="C250" s="30">
        <v>3.1532313924727821E-2</v>
      </c>
      <c r="D250" s="31">
        <v>1.0472806599480045E-2</v>
      </c>
      <c r="E250">
        <f t="shared" si="13"/>
        <v>36.70761651624813</v>
      </c>
      <c r="L250" s="25">
        <f t="shared" si="14"/>
        <v>0.3623908764033919</v>
      </c>
      <c r="M250" s="25">
        <f t="shared" si="12"/>
        <v>2.16</v>
      </c>
    </row>
    <row r="251" spans="1:13" ht="15" customHeight="1" x14ac:dyDescent="0.25">
      <c r="A251" s="29">
        <v>2.17</v>
      </c>
      <c r="B251" s="30">
        <v>3.735208050496322E-2</v>
      </c>
      <c r="C251" s="30">
        <v>3.1499921994365417E-2</v>
      </c>
      <c r="D251" s="31">
        <v>1.0401229218007318E-2</v>
      </c>
      <c r="E251">
        <f t="shared" si="13"/>
        <v>36.456734859513588</v>
      </c>
      <c r="L251" s="25">
        <f t="shared" si="14"/>
        <v>0.36264791949503683</v>
      </c>
      <c r="M251" s="25">
        <f t="shared" si="12"/>
        <v>2.17</v>
      </c>
    </row>
    <row r="252" spans="1:13" ht="15" customHeight="1" x14ac:dyDescent="0.25">
      <c r="A252" s="29">
        <v>2.1800000000000002</v>
      </c>
      <c r="B252" s="30">
        <v>3.709784075588303E-2</v>
      </c>
      <c r="C252" s="30">
        <v>3.1467662806059525E-2</v>
      </c>
      <c r="D252" s="31">
        <v>1.0330432467979957E-2</v>
      </c>
      <c r="E252">
        <f t="shared" si="13"/>
        <v>36.208589348000935</v>
      </c>
      <c r="L252" s="25">
        <f t="shared" si="14"/>
        <v>0.36290215924411701</v>
      </c>
      <c r="M252" s="25">
        <f t="shared" si="12"/>
        <v>2.1800000000000002</v>
      </c>
    </row>
    <row r="253" spans="1:13" ht="15" customHeight="1" x14ac:dyDescent="0.25">
      <c r="A253" s="29">
        <v>2.19</v>
      </c>
      <c r="B253" s="30">
        <v>3.6846362158631872E-2</v>
      </c>
      <c r="C253" s="30">
        <v>3.143553600166011E-2</v>
      </c>
      <c r="D253" s="31">
        <v>1.0260404600774953E-2</v>
      </c>
      <c r="E253">
        <f t="shared" si="13"/>
        <v>35.96313880230484</v>
      </c>
      <c r="L253" s="25">
        <f t="shared" si="14"/>
        <v>0.36315363784136817</v>
      </c>
      <c r="M253" s="25">
        <f t="shared" si="12"/>
        <v>2.19</v>
      </c>
    </row>
    <row r="254" spans="1:13" ht="15" customHeight="1" x14ac:dyDescent="0.25">
      <c r="A254" s="29">
        <v>2.2000000000000002</v>
      </c>
      <c r="B254" s="30">
        <v>3.6597603310808496E-2</v>
      </c>
      <c r="C254" s="30">
        <v>3.140354121441627E-2</v>
      </c>
      <c r="D254" s="31">
        <v>1.0191134087292457E-2</v>
      </c>
      <c r="E254">
        <f t="shared" si="13"/>
        <v>35.720342812457638</v>
      </c>
      <c r="L254" s="25">
        <f t="shared" si="14"/>
        <v>0.3634023966891915</v>
      </c>
      <c r="M254" s="25">
        <f t="shared" si="12"/>
        <v>2.2000000000000002</v>
      </c>
    </row>
    <row r="255" spans="1:13" ht="15" customHeight="1" x14ac:dyDescent="0.25">
      <c r="A255" s="29">
        <v>2.21</v>
      </c>
      <c r="B255" s="30">
        <v>3.6351523580982863E-2</v>
      </c>
      <c r="C255" s="30">
        <v>3.1371678069388419E-2</v>
      </c>
      <c r="D255" s="31">
        <v>1.0122609613120753E-2</v>
      </c>
      <c r="E255">
        <f t="shared" si="13"/>
        <v>35.480161720982373</v>
      </c>
      <c r="L255" s="25">
        <f t="shared" si="14"/>
        <v>0.36364847641901715</v>
      </c>
      <c r="M255" s="25">
        <f t="shared" si="12"/>
        <v>2.21</v>
      </c>
    </row>
    <row r="256" spans="1:13" ht="15" customHeight="1" x14ac:dyDescent="0.25">
      <c r="A256" s="29">
        <v>2.2200000000000002</v>
      </c>
      <c r="B256" s="30">
        <v>3.6108083091775274E-2</v>
      </c>
      <c r="C256" s="30">
        <v>3.1339946183845543E-2</v>
      </c>
      <c r="D256" s="31">
        <v>1.0054820073824394E-2</v>
      </c>
      <c r="E256">
        <f t="shared" si="13"/>
        <v>35.242556606377526</v>
      </c>
      <c r="L256" s="25">
        <f t="shared" si="14"/>
        <v>0.36389191690822476</v>
      </c>
      <c r="M256" s="25">
        <f t="shared" si="12"/>
        <v>2.2200000000000002</v>
      </c>
    </row>
    <row r="257" spans="1:13" ht="15" customHeight="1" x14ac:dyDescent="0.25">
      <c r="A257" s="29">
        <v>2.23</v>
      </c>
      <c r="B257" s="30">
        <v>3.5867242703365089E-2</v>
      </c>
      <c r="C257" s="30">
        <v>3.1308345167647973E-2</v>
      </c>
      <c r="D257" s="31">
        <v>9.9877545703519598E-3</v>
      </c>
      <c r="E257">
        <f t="shared" si="13"/>
        <v>35.007489267021001</v>
      </c>
      <c r="L257" s="25">
        <f t="shared" si="14"/>
        <v>0.36413275729663491</v>
      </c>
      <c r="M257" s="25">
        <f t="shared" si="12"/>
        <v>2.23</v>
      </c>
    </row>
    <row r="258" spans="1:13" ht="15" customHeight="1" x14ac:dyDescent="0.25">
      <c r="A258" s="29">
        <v>2.2400000000000002</v>
      </c>
      <c r="B258" s="30">
        <v>3.5628963997416399E-2</v>
      </c>
      <c r="C258" s="30">
        <v>3.1276874623615891E-2</v>
      </c>
      <c r="D258" s="31">
        <v>9.9214024045599317E-3</v>
      </c>
      <c r="E258">
        <f t="shared" si="13"/>
        <v>34.774922205481147</v>
      </c>
      <c r="L258" s="25">
        <f t="shared" si="14"/>
        <v>0.36437103600258364</v>
      </c>
      <c r="M258" s="25">
        <f t="shared" si="12"/>
        <v>2.2400000000000002</v>
      </c>
    </row>
    <row r="259" spans="1:13" ht="15" customHeight="1" x14ac:dyDescent="0.25">
      <c r="A259" s="29">
        <v>2.25</v>
      </c>
      <c r="B259" s="30">
        <v>3.5393209261408744E-2</v>
      </c>
      <c r="C259" s="30">
        <v>3.1245534147884783E-2</v>
      </c>
      <c r="D259" s="31">
        <v>9.8557530748493542E-3</v>
      </c>
      <c r="E259">
        <f t="shared" si="13"/>
        <v>34.54481861322305</v>
      </c>
      <c r="L259" s="25">
        <f t="shared" si="14"/>
        <v>0.36460679073859126</v>
      </c>
      <c r="M259" s="25">
        <f t="shared" si="12"/>
        <v>2.25</v>
      </c>
    </row>
    <row r="260" spans="1:13" ht="15" customHeight="1" x14ac:dyDescent="0.25">
      <c r="A260" s="29">
        <v>2.2599999999999998</v>
      </c>
      <c r="B260" s="30">
        <v>3.5159941473361225E-2</v>
      </c>
      <c r="C260" s="30">
        <v>3.1214323330247401E-2</v>
      </c>
      <c r="D260" s="31">
        <v>9.7907962719120337E-3</v>
      </c>
      <c r="E260">
        <f t="shared" si="13"/>
        <v>34.317142355698827</v>
      </c>
      <c r="L260" s="25">
        <f t="shared" si="14"/>
        <v>0.36484005852663881</v>
      </c>
      <c r="M260" s="25">
        <f t="shared" si="12"/>
        <v>2.2599999999999998</v>
      </c>
    </row>
    <row r="261" spans="1:13" ht="15" customHeight="1" x14ac:dyDescent="0.25">
      <c r="A261" s="29">
        <v>2.27</v>
      </c>
      <c r="B261" s="30">
        <v>3.4929124286938527E-2</v>
      </c>
      <c r="C261" s="30">
        <v>3.1183241754483518E-2</v>
      </c>
      <c r="D261" s="31">
        <v>9.7265218745831092E-3</v>
      </c>
      <c r="E261">
        <f t="shared" si="13"/>
        <v>34.091857957810653</v>
      </c>
      <c r="L261" s="25">
        <f t="shared" si="14"/>
        <v>0.36507087571306152</v>
      </c>
      <c r="M261" s="25">
        <f t="shared" si="12"/>
        <v>2.27</v>
      </c>
    </row>
    <row r="262" spans="1:13" ht="15" customHeight="1" x14ac:dyDescent="0.25">
      <c r="A262" s="29">
        <v>2.2799999999999998</v>
      </c>
      <c r="B262" s="30">
        <v>3.4700722016928434E-2</v>
      </c>
      <c r="C262" s="30">
        <v>3.115228899867746E-2</v>
      </c>
      <c r="D262" s="31">
        <v>9.6629199457970404E-3</v>
      </c>
      <c r="E262">
        <f t="shared" si="13"/>
        <v>33.868930589736401</v>
      </c>
      <c r="L262" s="25">
        <f t="shared" si="14"/>
        <v>0.3652992779830716</v>
      </c>
      <c r="M262" s="25">
        <f t="shared" si="12"/>
        <v>2.2799999999999998</v>
      </c>
    </row>
    <row r="263" spans="1:13" ht="15" customHeight="1" x14ac:dyDescent="0.25">
      <c r="A263" s="29">
        <v>2.29</v>
      </c>
      <c r="B263" s="30">
        <v>3.4474699625079583E-2</v>
      </c>
      <c r="C263" s="30">
        <v>3.112146463552401E-2</v>
      </c>
      <c r="D263" s="31">
        <v>9.5999807286439344E-3</v>
      </c>
      <c r="E263">
        <f t="shared" si="13"/>
        <v>33.648326053106864</v>
      </c>
      <c r="L263" s="25">
        <f t="shared" si="14"/>
        <v>0.36552530037492043</v>
      </c>
      <c r="M263" s="25">
        <f t="shared" si="12"/>
        <v>2.29</v>
      </c>
    </row>
    <row r="264" spans="1:13" ht="15" customHeight="1" x14ac:dyDescent="0.25">
      <c r="A264" s="29">
        <v>2.2999999999999998</v>
      </c>
      <c r="B264" s="30">
        <v>3.4251022706290039E-2</v>
      </c>
      <c r="C264" s="30">
        <v>3.1090768232623061E-2</v>
      </c>
      <c r="D264" s="31">
        <v>9.5376946425235511E-3</v>
      </c>
      <c r="E264">
        <f t="shared" si="13"/>
        <v>33.430010767525388</v>
      </c>
      <c r="L264" s="25">
        <f t="shared" si="14"/>
        <v>0.36574897729370998</v>
      </c>
      <c r="M264" s="25">
        <f t="shared" si="12"/>
        <v>2.2999999999999998</v>
      </c>
    </row>
    <row r="265" spans="1:13" ht="15" customHeight="1" x14ac:dyDescent="0.25">
      <c r="A265" s="29">
        <v>2.31</v>
      </c>
      <c r="B265" s="30">
        <v>3.4029657475135963E-2</v>
      </c>
      <c r="C265" s="30">
        <v>3.1060199352763426E-2</v>
      </c>
      <c r="D265" s="31">
        <v>9.4760522793940118E-3</v>
      </c>
      <c r="E265">
        <f t="shared" si="13"/>
        <v>33.213951757419466</v>
      </c>
      <c r="L265" s="25">
        <f t="shared" si="14"/>
        <v>0.36597034252486405</v>
      </c>
      <c r="M265" s="25">
        <f t="shared" si="12"/>
        <v>2.31</v>
      </c>
    </row>
    <row r="266" spans="1:13" ht="15" customHeight="1" x14ac:dyDescent="0.25">
      <c r="A266" s="29">
        <v>2.3199999999999998</v>
      </c>
      <c r="B266" s="30">
        <v>3.3810570752731611E-2</v>
      </c>
      <c r="C266" s="30">
        <v>3.1029757554196222E-2</v>
      </c>
      <c r="D266" s="31">
        <v>9.4150444001127806E-3</v>
      </c>
      <c r="E266">
        <f t="shared" si="13"/>
        <v>33.000116639215697</v>
      </c>
      <c r="L266" s="25">
        <f t="shared" si="14"/>
        <v>0.36618942924726838</v>
      </c>
      <c r="M266" s="25">
        <f t="shared" si="12"/>
        <v>2.3199999999999998</v>
      </c>
    </row>
    <row r="267" spans="1:13" ht="15" customHeight="1" x14ac:dyDescent="0.25">
      <c r="A267" s="29">
        <v>2.33</v>
      </c>
      <c r="B267" s="30">
        <v>3.3593729953910641E-2</v>
      </c>
      <c r="C267" s="30">
        <v>3.0999442390898139E-2</v>
      </c>
      <c r="D267" s="31">
        <v>9.354661930867111E-3</v>
      </c>
      <c r="E267">
        <f t="shared" si="13"/>
        <v>32.78847360882839</v>
      </c>
      <c r="L267" s="25">
        <f t="shared" si="14"/>
        <v>0.36640627004608939</v>
      </c>
      <c r="M267" s="25">
        <f t="shared" si="12"/>
        <v>2.33</v>
      </c>
    </row>
    <row r="268" spans="1:13" ht="15" customHeight="1" x14ac:dyDescent="0.25">
      <c r="A268" s="29">
        <v>2.34</v>
      </c>
      <c r="B268" s="30">
        <v>3.3379103074720397E-2</v>
      </c>
      <c r="C268" s="30">
        <v>3.0969253412824995E-2</v>
      </c>
      <c r="D268" s="31">
        <v>9.2948959596916448E-3</v>
      </c>
      <c r="E268">
        <f t="shared" si="13"/>
        <v>32.578991429453559</v>
      </c>
      <c r="L268" s="25">
        <f t="shared" si="14"/>
        <v>0.3666208969252796</v>
      </c>
      <c r="M268" s="25">
        <f t="shared" si="12"/>
        <v>2.34</v>
      </c>
    </row>
    <row r="269" spans="1:13" ht="15" customHeight="1" x14ac:dyDescent="0.25">
      <c r="A269" s="29">
        <v>2.35</v>
      </c>
      <c r="B269" s="30">
        <v>3.316665868021991E-2</v>
      </c>
      <c r="C269" s="30">
        <v>3.093919016615598E-2</v>
      </c>
      <c r="D269" s="31">
        <v>9.2357377330705946E-3</v>
      </c>
      <c r="E269">
        <f t="shared" si="13"/>
        <v>32.371639419659488</v>
      </c>
      <c r="L269" s="25">
        <f t="shared" si="14"/>
        <v>0.36683334131978013</v>
      </c>
      <c r="M269" s="25">
        <f t="shared" si="12"/>
        <v>2.35</v>
      </c>
    </row>
    <row r="270" spans="1:13" ht="15" customHeight="1" x14ac:dyDescent="0.25">
      <c r="A270" s="29">
        <v>2.36</v>
      </c>
      <c r="B270" s="30">
        <v>3.2956365892573766E-2</v>
      </c>
      <c r="C270" s="30">
        <v>3.0909252193528733E-2</v>
      </c>
      <c r="D270" s="31">
        <v>9.1771786526223011E-3</v>
      </c>
      <c r="E270">
        <f t="shared" si="13"/>
        <v>32.16638744176592</v>
      </c>
      <c r="L270" s="25">
        <f t="shared" si="14"/>
        <v>0.36704363410742624</v>
      </c>
      <c r="M270" s="25">
        <f t="shared" si="12"/>
        <v>2.36</v>
      </c>
    </row>
    <row r="271" spans="1:13" ht="15" customHeight="1" x14ac:dyDescent="0.25">
      <c r="A271" s="29">
        <v>2.37</v>
      </c>
      <c r="B271" s="30">
        <v>3.2748194379432959E-2</v>
      </c>
      <c r="C271" s="30">
        <v>3.0879439034265814E-2</v>
      </c>
      <c r="D271" s="31">
        <v>9.1192102718637182E-3</v>
      </c>
      <c r="E271">
        <f t="shared" si="13"/>
        <v>31.963205890503477</v>
      </c>
      <c r="L271" s="25">
        <f t="shared" si="14"/>
        <v>0.36725180562056708</v>
      </c>
      <c r="M271" s="25">
        <f t="shared" si="12"/>
        <v>2.37</v>
      </c>
    </row>
    <row r="272" spans="1:13" ht="15" customHeight="1" x14ac:dyDescent="0.25">
      <c r="A272" s="29">
        <v>2.38</v>
      </c>
      <c r="B272" s="30">
        <v>3.2542114342595657E-2</v>
      </c>
      <c r="C272" s="30">
        <v>3.0849750224592774E-2</v>
      </c>
      <c r="D272" s="31">
        <v>9.0618242930528368E-3</v>
      </c>
      <c r="E272">
        <f t="shared" si="13"/>
        <v>31.762065681946204</v>
      </c>
      <c r="L272" s="25">
        <f t="shared" si="14"/>
        <v>0.36745788565740434</v>
      </c>
      <c r="M272" s="25">
        <f t="shared" si="12"/>
        <v>2.38</v>
      </c>
    </row>
    <row r="273" spans="1:13" ht="15" customHeight="1" x14ac:dyDescent="0.25">
      <c r="A273" s="29">
        <v>2.39</v>
      </c>
      <c r="B273" s="30">
        <v>3.233809650693939E-2</v>
      </c>
      <c r="C273" s="30">
        <v>3.0820185297847909E-2</v>
      </c>
      <c r="D273" s="31">
        <v>9.0050125641066917E-3</v>
      </c>
      <c r="E273">
        <f t="shared" si="13"/>
        <v>31.56293824270908</v>
      </c>
      <c r="L273" s="25">
        <f t="shared" si="14"/>
        <v>0.3676619034930606</v>
      </c>
      <c r="M273" s="25">
        <f t="shared" si="12"/>
        <v>2.39</v>
      </c>
    </row>
    <row r="274" spans="1:13" ht="15" customHeight="1" x14ac:dyDescent="0.25">
      <c r="A274" s="29">
        <v>2.4</v>
      </c>
      <c r="B274" s="30">
        <v>3.213611210961799E-2</v>
      </c>
      <c r="C274" s="30">
        <v>3.079074378468449E-2</v>
      </c>
      <c r="D274" s="31">
        <v>8.9487670755930906E-3</v>
      </c>
      <c r="E274">
        <f t="shared" si="13"/>
        <v>31.36579549940388</v>
      </c>
      <c r="L274" s="25">
        <f t="shared" si="14"/>
        <v>0.36786388789038205</v>
      </c>
      <c r="M274" s="25">
        <f t="shared" si="12"/>
        <v>2.4</v>
      </c>
    </row>
    <row r="275" spans="1:13" ht="15" customHeight="1" x14ac:dyDescent="0.25">
      <c r="A275" s="29">
        <v>2.41</v>
      </c>
      <c r="B275" s="30">
        <v>3.1936132889515322E-2</v>
      </c>
      <c r="C275" s="30">
        <v>3.0761425213265171E-2</v>
      </c>
      <c r="D275" s="31">
        <v>8.8930799577938615E-3</v>
      </c>
      <c r="E275">
        <f t="shared" si="13"/>
        <v>31.170609868345753</v>
      </c>
      <c r="L275" s="25">
        <f t="shared" si="14"/>
        <v>0.36806386711048472</v>
      </c>
      <c r="M275" s="25">
        <f t="shared" si="12"/>
        <v>2.41</v>
      </c>
    </row>
    <row r="276" spans="1:13" ht="15" customHeight="1" x14ac:dyDescent="0.25">
      <c r="A276" s="29">
        <v>2.42</v>
      </c>
      <c r="B276" s="30">
        <v>3.1738131076949644E-2</v>
      </c>
      <c r="C276" s="30">
        <v>3.073222910944929E-2</v>
      </c>
      <c r="D276" s="31">
        <v>8.8379434778378691E-3</v>
      </c>
      <c r="E276">
        <f t="shared" si="13"/>
        <v>30.977354245504319</v>
      </c>
      <c r="L276" s="25">
        <f t="shared" si="14"/>
        <v>0.36826186892305035</v>
      </c>
      <c r="M276" s="25">
        <f t="shared" si="12"/>
        <v>2.42</v>
      </c>
    </row>
    <row r="277" spans="1:13" ht="15" customHeight="1" x14ac:dyDescent="0.25">
      <c r="A277" s="29">
        <v>2.4300000000000002</v>
      </c>
      <c r="B277" s="30">
        <v>3.1542079383621038E-2</v>
      </c>
      <c r="C277" s="30">
        <v>3.0703154996973066E-2</v>
      </c>
      <c r="D277" s="31">
        <v>8.7833500369017391E-3</v>
      </c>
      <c r="E277">
        <f t="shared" si="13"/>
        <v>30.786001996692107</v>
      </c>
      <c r="L277" s="25">
        <f t="shared" si="14"/>
        <v>0.368457920616379</v>
      </c>
      <c r="M277" s="25">
        <f t="shared" si="12"/>
        <v>2.4300000000000002</v>
      </c>
    </row>
    <row r="278" spans="1:13" ht="15" customHeight="1" x14ac:dyDescent="0.25">
      <c r="A278" s="29">
        <v>2.44</v>
      </c>
      <c r="B278" s="30">
        <v>3.1347950992796005E-2</v>
      </c>
      <c r="C278" s="30">
        <v>3.0674202397623029E-2</v>
      </c>
      <c r="D278" s="31">
        <v>8.729292167476612E-3</v>
      </c>
      <c r="E278">
        <f t="shared" si="13"/>
        <v>30.59652694798439</v>
      </c>
      <c r="L278" s="25">
        <f t="shared" si="14"/>
        <v>0.368652049007204</v>
      </c>
      <c r="M278" s="25">
        <f t="shared" si="12"/>
        <v>2.44</v>
      </c>
    </row>
    <row r="279" spans="1:13" ht="15" customHeight="1" x14ac:dyDescent="0.25">
      <c r="A279" s="29">
        <v>2.4500000000000002</v>
      </c>
      <c r="B279" s="30">
        <v>3.1155719549722433E-2</v>
      </c>
      <c r="C279" s="30">
        <v>3.0645370831402913E-2</v>
      </c>
      <c r="D279" s="31">
        <v>8.6757625306990611E-3</v>
      </c>
      <c r="E279">
        <f t="shared" si="13"/>
        <v>30.408903376363966</v>
      </c>
      <c r="L279" s="25">
        <f t="shared" si="14"/>
        <v>0.36884428045027762</v>
      </c>
      <c r="M279" s="25">
        <f t="shared" si="12"/>
        <v>2.4500000000000002</v>
      </c>
    </row>
    <row r="280" spans="1:13" ht="15" customHeight="1" x14ac:dyDescent="0.25">
      <c r="A280" s="29">
        <v>2.46</v>
      </c>
      <c r="B280" s="30">
        <v>3.0965359152268872E-2</v>
      </c>
      <c r="C280" s="30">
        <v>3.0616659816694154E-2</v>
      </c>
      <c r="D280" s="31">
        <v>8.6227539137444485E-3</v>
      </c>
      <c r="E280">
        <f t="shared" si="13"/>
        <v>30.223106000584753</v>
      </c>
      <c r="L280" s="25">
        <f t="shared" si="14"/>
        <v>0.36903464084773113</v>
      </c>
      <c r="M280" s="25">
        <f t="shared" si="12"/>
        <v>2.46</v>
      </c>
    </row>
    <row r="281" spans="1:13" ht="15" customHeight="1" x14ac:dyDescent="0.25">
      <c r="A281" s="29">
        <v>2.4700000000000002</v>
      </c>
      <c r="B281" s="30">
        <v>3.0776844341782381E-2</v>
      </c>
      <c r="C281" s="30">
        <v>3.0588068870410524E-2</v>
      </c>
      <c r="D281" s="31">
        <v>8.5702592272811698E-3</v>
      </c>
      <c r="E281">
        <f t="shared" si="13"/>
        <v>30.039109972248816</v>
      </c>
      <c r="L281" s="25">
        <f t="shared" si="14"/>
        <v>0.36922315565821762</v>
      </c>
      <c r="M281" s="25">
        <f t="shared" si="12"/>
        <v>2.4700000000000002</v>
      </c>
    </row>
    <row r="282" spans="1:13" ht="15" customHeight="1" x14ac:dyDescent="0.25">
      <c r="A282" s="29">
        <v>2.48</v>
      </c>
      <c r="B282" s="30">
        <v>3.0590150094158771E-2</v>
      </c>
      <c r="C282" s="30">
        <v>3.0559597508146609E-2</v>
      </c>
      <c r="D282" s="31">
        <v>8.5182715029840303E-3</v>
      </c>
      <c r="E282">
        <f t="shared" si="13"/>
        <v>29.856890867090645</v>
      </c>
      <c r="L282" s="25">
        <f t="shared" si="14"/>
        <v>0.36940984990584125</v>
      </c>
      <c r="M282" s="25">
        <f t="shared" si="12"/>
        <v>2.48</v>
      </c>
    </row>
    <row r="283" spans="1:13" ht="15" customHeight="1" x14ac:dyDescent="0.25">
      <c r="A283" s="29">
        <v>2.4900000000000002</v>
      </c>
      <c r="B283" s="30">
        <v>3.0405251811119725E-2</v>
      </c>
      <c r="C283" s="30">
        <v>3.0531245244320753E-2</v>
      </c>
      <c r="D283" s="31">
        <v>8.4667838911052333E-3</v>
      </c>
      <c r="E283">
        <f t="shared" si="13"/>
        <v>29.676424676463377</v>
      </c>
      <c r="L283" s="25">
        <f t="shared" si="14"/>
        <v>0.36959474818888027</v>
      </c>
      <c r="M283" s="25">
        <f t="shared" si="12"/>
        <v>2.4900000000000002</v>
      </c>
    </row>
    <row r="284" spans="1:13" ht="15" customHeight="1" x14ac:dyDescent="0.25">
      <c r="A284" s="32">
        <v>2.5</v>
      </c>
      <c r="B284" s="33">
        <v>3.0222125311691803E-2</v>
      </c>
      <c r="C284" s="33">
        <v>3.0503011592312643E-2</v>
      </c>
      <c r="D284" s="34">
        <v>8.4157896581015853E-3</v>
      </c>
      <c r="E284">
        <f t="shared" si="13"/>
        <v>29.497687799022035</v>
      </c>
      <c r="L284" s="25">
        <f t="shared" si="14"/>
        <v>0.36977787468830819</v>
      </c>
      <c r="M284" s="25">
        <f t="shared" si="12"/>
        <v>2.5</v>
      </c>
    </row>
  </sheetData>
  <mergeCells count="5">
    <mergeCell ref="A1:A2"/>
    <mergeCell ref="A8:A9"/>
    <mergeCell ref="A26:A28"/>
    <mergeCell ref="C15:C18"/>
    <mergeCell ref="C23:C24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F457"/>
  <sheetViews>
    <sheetView topLeftCell="I1" workbookViewId="0">
      <selection activeCell="T52" sqref="T52"/>
    </sheetView>
  </sheetViews>
  <sheetFormatPr defaultRowHeight="15" customHeight="1" x14ac:dyDescent="0.25"/>
  <cols>
    <col min="1" max="1" width="32.28515625" customWidth="1"/>
    <col min="3" max="3" width="30.140625" bestFit="1" customWidth="1"/>
    <col min="5" max="5" width="9.140625" customWidth="1"/>
  </cols>
  <sheetData>
    <row r="1" spans="1:31" ht="15" customHeight="1" x14ac:dyDescent="0.25">
      <c r="A1" s="55" t="s">
        <v>103</v>
      </c>
      <c r="AD1" t="s">
        <v>65</v>
      </c>
      <c r="AE1" t="s">
        <v>66</v>
      </c>
    </row>
    <row r="2" spans="1:31" ht="15" customHeight="1" x14ac:dyDescent="0.25">
      <c r="A2" s="55"/>
      <c r="C2" t="s">
        <v>0</v>
      </c>
      <c r="E2" s="8">
        <v>1</v>
      </c>
      <c r="F2" s="8">
        <v>2</v>
      </c>
      <c r="G2" s="8">
        <v>3</v>
      </c>
      <c r="H2" s="8">
        <v>4</v>
      </c>
      <c r="I2" s="8">
        <v>5</v>
      </c>
      <c r="J2" s="8">
        <v>6</v>
      </c>
      <c r="K2" s="8">
        <v>7</v>
      </c>
      <c r="L2" s="8">
        <v>8</v>
      </c>
      <c r="M2" s="8">
        <v>9</v>
      </c>
      <c r="N2" s="8">
        <v>10</v>
      </c>
      <c r="O2" s="8" t="s">
        <v>2</v>
      </c>
      <c r="P2" t="s">
        <v>3</v>
      </c>
      <c r="Q2" t="s">
        <v>16</v>
      </c>
      <c r="AD2">
        <f>$E$17*AE2/(1+$E$18*AE2)</f>
        <v>4.3044948733892578</v>
      </c>
      <c r="AE2">
        <v>0.1</v>
      </c>
    </row>
    <row r="3" spans="1:31" ht="15" customHeight="1" x14ac:dyDescent="0.25">
      <c r="A3" s="55"/>
      <c r="C3" t="s">
        <v>27</v>
      </c>
      <c r="D3" s="1" t="s">
        <v>12</v>
      </c>
      <c r="E3" s="2">
        <v>1.4514176135884901E-2</v>
      </c>
      <c r="F3" s="2">
        <v>4.2231692167386099E-2</v>
      </c>
      <c r="G3" s="2">
        <v>0.100220341134515</v>
      </c>
      <c r="H3" s="2">
        <v>0.15438522658595899</v>
      </c>
      <c r="I3" s="2">
        <v>0.19563793191647399</v>
      </c>
      <c r="J3" s="2">
        <v>0.229635088002342</v>
      </c>
      <c r="K3" s="2">
        <v>0.258843108246047</v>
      </c>
      <c r="L3" s="2">
        <v>0.28409739334216999</v>
      </c>
      <c r="M3" s="2">
        <v>0.304429102114741</v>
      </c>
      <c r="N3" s="2">
        <v>0.31988238382748702</v>
      </c>
      <c r="O3" s="2">
        <v>0.335993044231645</v>
      </c>
      <c r="P3" s="1" t="s">
        <v>85</v>
      </c>
      <c r="Q3" t="s">
        <v>43</v>
      </c>
      <c r="AD3">
        <f t="shared" ref="AD3:AD66" si="0">$E$17*AE3/(1+$E$18*AE3)</f>
        <v>387.28680492788874</v>
      </c>
      <c r="AE3">
        <v>10</v>
      </c>
    </row>
    <row r="4" spans="1:31" ht="15" customHeight="1" x14ac:dyDescent="0.25">
      <c r="A4" s="55"/>
      <c r="C4" s="3" t="s">
        <v>6</v>
      </c>
      <c r="D4" s="3" t="s">
        <v>13</v>
      </c>
      <c r="E4" s="2">
        <v>5.4683991579589E-3</v>
      </c>
      <c r="F4" s="2">
        <v>3.6348653443286097E-2</v>
      </c>
      <c r="G4" s="2">
        <v>0.39111465512684201</v>
      </c>
      <c r="H4" s="2">
        <v>0.88567802012647301</v>
      </c>
      <c r="I4" s="2">
        <v>0.98410828528553496</v>
      </c>
      <c r="J4" s="2">
        <v>0.99653236907821396</v>
      </c>
      <c r="K4" s="2">
        <v>0.99897673122860797</v>
      </c>
      <c r="L4" s="2">
        <v>0.99966407393052303</v>
      </c>
      <c r="M4" s="2">
        <v>0.99988524555633795</v>
      </c>
      <c r="N4" s="2">
        <v>0.99996003551778501</v>
      </c>
      <c r="O4" s="2">
        <v>0.99998592618896298</v>
      </c>
      <c r="P4" s="5" t="s">
        <v>5</v>
      </c>
      <c r="Q4" t="s">
        <v>43</v>
      </c>
      <c r="AD4">
        <f t="shared" si="0"/>
        <v>703.33532308587075</v>
      </c>
      <c r="AE4">
        <v>20</v>
      </c>
    </row>
    <row r="5" spans="1:31" ht="15" customHeight="1" x14ac:dyDescent="0.25">
      <c r="A5" s="38" t="s">
        <v>45</v>
      </c>
      <c r="B5" s="17">
        <v>0.1</v>
      </c>
      <c r="C5" s="1" t="s">
        <v>7</v>
      </c>
      <c r="D5" s="1" t="s">
        <v>9</v>
      </c>
      <c r="E5" s="2">
        <v>0.35</v>
      </c>
      <c r="F5" s="2">
        <v>0.35</v>
      </c>
      <c r="G5" s="2">
        <v>0.35</v>
      </c>
      <c r="H5" s="2">
        <v>0.35</v>
      </c>
      <c r="I5" s="2">
        <v>0.35</v>
      </c>
      <c r="J5" s="2">
        <v>0.35</v>
      </c>
      <c r="K5" s="2">
        <v>0.35</v>
      </c>
      <c r="L5" s="2">
        <v>0.35</v>
      </c>
      <c r="M5" s="2">
        <v>0.35</v>
      </c>
      <c r="N5" s="2">
        <v>0.35</v>
      </c>
      <c r="O5" s="2">
        <v>0.35</v>
      </c>
      <c r="P5" s="4" t="s">
        <v>5</v>
      </c>
      <c r="Q5" t="s">
        <v>44</v>
      </c>
      <c r="AD5">
        <f t="shared" si="0"/>
        <v>966.14563293875904</v>
      </c>
      <c r="AE5">
        <v>30</v>
      </c>
    </row>
    <row r="6" spans="1:31" ht="15" customHeight="1" x14ac:dyDescent="0.35">
      <c r="C6" s="11" t="s">
        <v>8</v>
      </c>
      <c r="D6" s="11" t="s">
        <v>24</v>
      </c>
      <c r="E6" s="19">
        <v>1</v>
      </c>
      <c r="F6">
        <f>E6*EXP(-E5)</f>
        <v>0.70468808971871344</v>
      </c>
      <c r="G6">
        <f t="shared" ref="G6:N6" si="1">F6*EXP(-F5)</f>
        <v>0.49658530379140953</v>
      </c>
      <c r="H6">
        <f t="shared" si="1"/>
        <v>0.34993774911115538</v>
      </c>
      <c r="I6">
        <f t="shared" si="1"/>
        <v>0.24659696394160649</v>
      </c>
      <c r="J6">
        <f t="shared" si="1"/>
        <v>0.17377394345044514</v>
      </c>
      <c r="K6">
        <f t="shared" si="1"/>
        <v>0.12245642825298192</v>
      </c>
      <c r="L6">
        <f t="shared" si="1"/>
        <v>8.6293586499370523E-2</v>
      </c>
      <c r="M6">
        <f t="shared" si="1"/>
        <v>6.0810062625217973E-2</v>
      </c>
      <c r="N6">
        <f t="shared" si="1"/>
        <v>4.2852126867040187E-2</v>
      </c>
      <c r="O6" s="20">
        <f>N6*EXP(-N5)/(1-EXP(-O5))</f>
        <v>0.10225589409365608</v>
      </c>
      <c r="P6" s="7" t="s">
        <v>5</v>
      </c>
      <c r="Q6" t="s">
        <v>17</v>
      </c>
      <c r="AD6">
        <f t="shared" si="0"/>
        <v>1188.1246850079892</v>
      </c>
      <c r="AE6">
        <v>40</v>
      </c>
    </row>
    <row r="7" spans="1:31" ht="15" customHeight="1" x14ac:dyDescent="0.35">
      <c r="C7" s="12" t="s">
        <v>11</v>
      </c>
      <c r="D7" s="15" t="s">
        <v>22</v>
      </c>
      <c r="E7">
        <f>SUMPRODUCT(E6:O6,E3:O3,E4:O4)</f>
        <v>0.27846452131696486</v>
      </c>
      <c r="P7" s="1" t="s">
        <v>86</v>
      </c>
      <c r="AD7">
        <f t="shared" si="0"/>
        <v>1378.1021346188363</v>
      </c>
      <c r="AE7">
        <v>50</v>
      </c>
    </row>
    <row r="8" spans="1:31" ht="15" customHeight="1" x14ac:dyDescent="0.25">
      <c r="C8" s="3" t="s">
        <v>4</v>
      </c>
      <c r="D8" s="3" t="s">
        <v>14</v>
      </c>
      <c r="E8" s="2">
        <v>3.6261919131430301E-2</v>
      </c>
      <c r="F8" s="2">
        <v>0.442038807084495</v>
      </c>
      <c r="G8" s="2">
        <v>0.953383075836302</v>
      </c>
      <c r="H8" s="2">
        <v>0.97124383638185796</v>
      </c>
      <c r="I8" s="2">
        <v>0.98163231396893003</v>
      </c>
      <c r="J8" s="2">
        <v>0.979759308829527</v>
      </c>
      <c r="K8" s="2">
        <v>0.97361862431421398</v>
      </c>
      <c r="L8" s="2">
        <v>0.96596967900267705</v>
      </c>
      <c r="M8" s="2">
        <v>0.95949060754709004</v>
      </c>
      <c r="N8" s="2">
        <v>0.95474833216409505</v>
      </c>
      <c r="O8" s="2">
        <v>0.951256923690879</v>
      </c>
      <c r="P8" s="4" t="s">
        <v>5</v>
      </c>
      <c r="Q8" t="s">
        <v>46</v>
      </c>
      <c r="AD8">
        <f t="shared" si="0"/>
        <v>1542.5329560834762</v>
      </c>
      <c r="AE8">
        <v>60</v>
      </c>
    </row>
    <row r="9" spans="1:31" ht="15" customHeight="1" x14ac:dyDescent="0.25">
      <c r="A9" s="55" t="s">
        <v>102</v>
      </c>
      <c r="C9" t="s">
        <v>21</v>
      </c>
      <c r="D9" t="s">
        <v>20</v>
      </c>
      <c r="E9" s="6">
        <f>B5</f>
        <v>0.1</v>
      </c>
      <c r="P9" s="4" t="s">
        <v>5</v>
      </c>
      <c r="AD9">
        <f t="shared" si="0"/>
        <v>1686.2454681548129</v>
      </c>
      <c r="AE9">
        <v>70</v>
      </c>
    </row>
    <row r="10" spans="1:31" ht="15" customHeight="1" x14ac:dyDescent="0.35">
      <c r="A10" s="55"/>
      <c r="C10" s="13" t="s">
        <v>18</v>
      </c>
      <c r="D10" s="13" t="s">
        <v>25</v>
      </c>
      <c r="E10" s="20">
        <v>1</v>
      </c>
      <c r="F10">
        <f>E10*EXP(-E5-$E$9*E8)</f>
        <v>0.70213738293763173</v>
      </c>
      <c r="G10">
        <f t="shared" ref="G10:N10" si="2">F10*EXP(-F5-$E$9*F8)</f>
        <v>0.47339266675026376</v>
      </c>
      <c r="H10">
        <f t="shared" si="2"/>
        <v>0.30325890080704587</v>
      </c>
      <c r="I10">
        <f t="shared" si="2"/>
        <v>0.19392326026043458</v>
      </c>
      <c r="J10">
        <f t="shared" si="2"/>
        <v>0.12387825685179521</v>
      </c>
      <c r="K10">
        <f t="shared" si="2"/>
        <v>7.9148303559177235E-2</v>
      </c>
      <c r="L10">
        <f t="shared" si="2"/>
        <v>5.0600501657669258E-2</v>
      </c>
      <c r="M10">
        <f t="shared" si="2"/>
        <v>3.2374287839012965E-2</v>
      </c>
      <c r="N10">
        <f t="shared" si="2"/>
        <v>2.0726549474486308E-2</v>
      </c>
      <c r="O10" s="20">
        <f>N10*EXP(-N5-$E$9*N8)/(1-EXP(-O5-$E$9*O8))</f>
        <v>3.6953484345372316E-2</v>
      </c>
      <c r="P10" s="4" t="s">
        <v>5</v>
      </c>
      <c r="AD10">
        <f t="shared" si="0"/>
        <v>1812.9233632865871</v>
      </c>
      <c r="AE10">
        <v>80</v>
      </c>
    </row>
    <row r="11" spans="1:31" ht="15" customHeight="1" x14ac:dyDescent="0.35">
      <c r="A11" s="55"/>
      <c r="C11" s="14" t="s">
        <v>19</v>
      </c>
      <c r="D11" s="14" t="s">
        <v>23</v>
      </c>
      <c r="E11">
        <f>SUMPRODUCT(E10:O10,E3:O3,E4:O4)</f>
        <v>0.19060029400935319</v>
      </c>
      <c r="P11" s="1" t="s">
        <v>86</v>
      </c>
      <c r="AD11">
        <f t="shared" si="0"/>
        <v>1925.4259187207306</v>
      </c>
      <c r="AE11">
        <v>90</v>
      </c>
    </row>
    <row r="12" spans="1:31" ht="15" customHeight="1" x14ac:dyDescent="0.25">
      <c r="A12" s="55"/>
      <c r="C12" s="14" t="s">
        <v>52</v>
      </c>
      <c r="D12" s="14" t="s">
        <v>26</v>
      </c>
      <c r="E12">
        <f>E11/E7</f>
        <v>0.68446886198619394</v>
      </c>
      <c r="P12" s="4" t="s">
        <v>5</v>
      </c>
      <c r="AD12">
        <f t="shared" si="0"/>
        <v>2026.0064078117005</v>
      </c>
      <c r="AE12">
        <v>100</v>
      </c>
    </row>
    <row r="13" spans="1:31" ht="15" customHeight="1" x14ac:dyDescent="0.25">
      <c r="C13" s="14" t="s">
        <v>55</v>
      </c>
      <c r="D13" s="14" t="s">
        <v>54</v>
      </c>
      <c r="E13">
        <f>E10*E3*$E$9*E8*(1-EXP(-$E$9*E8-E5))/($E$9*E8+E5)</f>
        <v>4.433173728069964E-5</v>
      </c>
      <c r="F13">
        <f t="shared" ref="F13:O13" si="3">F10*F3*$E$9*F8*(1-EXP(-$E$9*F8-F5))/($E$9*F8+F5)</f>
        <v>1.083250896845982E-3</v>
      </c>
      <c r="G13">
        <f t="shared" si="3"/>
        <v>3.6502598019605152E-3</v>
      </c>
      <c r="H13">
        <f t="shared" si="3"/>
        <v>3.6666327602132513E-3</v>
      </c>
      <c r="I13">
        <f t="shared" si="3"/>
        <v>3.0015310989262001E-3</v>
      </c>
      <c r="J13">
        <f t="shared" si="3"/>
        <v>2.2464740751173017E-3</v>
      </c>
      <c r="K13">
        <f t="shared" si="3"/>
        <v>1.608196808347475E-3</v>
      </c>
      <c r="L13">
        <f t="shared" si="3"/>
        <v>1.1199830090050794E-3</v>
      </c>
      <c r="M13">
        <f t="shared" si="3"/>
        <v>7.6292746191224049E-4</v>
      </c>
      <c r="N13">
        <f t="shared" si="3"/>
        <v>5.1080803707729064E-4</v>
      </c>
      <c r="O13">
        <f t="shared" si="3"/>
        <v>9.5324645916366189E-4</v>
      </c>
      <c r="P13" t="s">
        <v>85</v>
      </c>
      <c r="AD13">
        <f t="shared" si="0"/>
        <v>2116.4645692078534</v>
      </c>
      <c r="AE13">
        <v>110</v>
      </c>
    </row>
    <row r="14" spans="1:31" ht="15" customHeight="1" x14ac:dyDescent="0.25">
      <c r="C14" s="14" t="s">
        <v>51</v>
      </c>
      <c r="D14" s="14" t="s">
        <v>53</v>
      </c>
      <c r="E14">
        <f>SUM(E13:O13)</f>
        <v>1.8647642145849699E-2</v>
      </c>
      <c r="P14" t="s">
        <v>85</v>
      </c>
      <c r="AD14">
        <f t="shared" si="0"/>
        <v>2198.2552483481509</v>
      </c>
      <c r="AE14">
        <v>120</v>
      </c>
    </row>
    <row r="15" spans="1:31" ht="15" customHeight="1" x14ac:dyDescent="0.25">
      <c r="C15" s="18" t="s">
        <v>69</v>
      </c>
      <c r="D15" s="18" t="s">
        <v>30</v>
      </c>
      <c r="E15" s="17">
        <f>3.505041*1000</f>
        <v>3505.0409999999997</v>
      </c>
      <c r="P15" t="s">
        <v>89</v>
      </c>
      <c r="Q15" s="67" t="s">
        <v>116</v>
      </c>
      <c r="R15" s="67"/>
      <c r="S15" s="67"/>
      <c r="T15" s="67"/>
      <c r="U15" s="67"/>
      <c r="V15" s="67"/>
      <c r="AD15">
        <f t="shared" si="0"/>
        <v>2272.5672374182418</v>
      </c>
      <c r="AE15">
        <v>130</v>
      </c>
    </row>
    <row r="16" spans="1:31" ht="15" customHeight="1" x14ac:dyDescent="0.25">
      <c r="C16" t="s">
        <v>28</v>
      </c>
      <c r="D16" s="1" t="s">
        <v>29</v>
      </c>
      <c r="E16" s="17">
        <v>0.75</v>
      </c>
      <c r="P16" s="7" t="s">
        <v>5</v>
      </c>
      <c r="Q16" t="s">
        <v>44</v>
      </c>
      <c r="AD16">
        <f t="shared" si="0"/>
        <v>2340.381434162025</v>
      </c>
      <c r="AE16">
        <v>140</v>
      </c>
    </row>
    <row r="17" spans="3:31" ht="15" customHeight="1" x14ac:dyDescent="0.25">
      <c r="C17" s="1" t="s">
        <v>31</v>
      </c>
      <c r="D17" s="1" t="s">
        <v>33</v>
      </c>
      <c r="E17">
        <f>4*E16/(E7*(1-E16))</f>
        <v>43.093461038581957</v>
      </c>
      <c r="P17" s="7" t="s">
        <v>90</v>
      </c>
      <c r="AD17">
        <f t="shared" si="0"/>
        <v>2402.5143836393368</v>
      </c>
      <c r="AE17">
        <v>150</v>
      </c>
    </row>
    <row r="18" spans="3:31" ht="15" customHeight="1" x14ac:dyDescent="0.25">
      <c r="C18" s="1" t="s">
        <v>32</v>
      </c>
      <c r="D18" s="1" t="s">
        <v>34</v>
      </c>
      <c r="E18">
        <f>1/E15*(E17-1/E7)</f>
        <v>1.1270150416319466E-2</v>
      </c>
      <c r="P18" s="7" t="s">
        <v>91</v>
      </c>
      <c r="AD18">
        <f t="shared" si="0"/>
        <v>2459.6513166029531</v>
      </c>
      <c r="AE18">
        <v>160</v>
      </c>
    </row>
    <row r="19" spans="3:31" ht="15" customHeight="1" x14ac:dyDescent="0.35">
      <c r="C19" s="18" t="s">
        <v>71</v>
      </c>
      <c r="D19" s="11" t="s">
        <v>68</v>
      </c>
      <c r="E19">
        <f>E15/(E17-E18*E15)</f>
        <v>976.02956426133596</v>
      </c>
      <c r="F19" s="43">
        <v>0</v>
      </c>
      <c r="P19" t="s">
        <v>67</v>
      </c>
      <c r="Q19" s="67" t="s">
        <v>107</v>
      </c>
      <c r="R19" s="67"/>
      <c r="S19" s="67"/>
      <c r="T19" s="67"/>
      <c r="U19" s="67"/>
      <c r="V19" s="67"/>
      <c r="W19" s="67"/>
      <c r="AD19">
        <f t="shared" si="0"/>
        <v>2512.3715262092851</v>
      </c>
      <c r="AE19">
        <v>170</v>
      </c>
    </row>
    <row r="20" spans="3:31" ht="15" customHeight="1" x14ac:dyDescent="0.35">
      <c r="C20" s="44" t="s">
        <v>70</v>
      </c>
      <c r="D20" s="13" t="s">
        <v>72</v>
      </c>
      <c r="E20">
        <f>1/E18*(E17-1/E11)</f>
        <v>3358.1521112788701</v>
      </c>
      <c r="P20" t="s">
        <v>89</v>
      </c>
      <c r="AD20">
        <f t="shared" si="0"/>
        <v>2561.1680788083872</v>
      </c>
      <c r="AE20">
        <v>180</v>
      </c>
    </row>
    <row r="21" spans="3:31" ht="15" customHeight="1" x14ac:dyDescent="0.35">
      <c r="C21" s="44" t="s">
        <v>73</v>
      </c>
      <c r="D21" s="13" t="s">
        <v>74</v>
      </c>
      <c r="E21">
        <f>E20/(E17-E20*E18)</f>
        <v>640.06477973788242</v>
      </c>
      <c r="P21" t="s">
        <v>67</v>
      </c>
      <c r="Q21" t="s">
        <v>108</v>
      </c>
      <c r="AD21">
        <f t="shared" si="0"/>
        <v>2606.4632817476763</v>
      </c>
      <c r="AE21">
        <v>190</v>
      </c>
    </row>
    <row r="22" spans="3:31" ht="15" customHeight="1" x14ac:dyDescent="0.25">
      <c r="C22" s="45" t="s">
        <v>75</v>
      </c>
      <c r="D22" s="41" t="s">
        <v>75</v>
      </c>
      <c r="E22">
        <f>MAX(E14*E20,0)</f>
        <v>62.621618842458005</v>
      </c>
      <c r="P22" t="s">
        <v>67</v>
      </c>
      <c r="Q22" t="s">
        <v>108</v>
      </c>
      <c r="AD22">
        <f t="shared" si="0"/>
        <v>2648.6209368634891</v>
      </c>
      <c r="AE22">
        <v>200</v>
      </c>
    </row>
    <row r="23" spans="3:31" ht="15" customHeight="1" x14ac:dyDescent="0.25">
      <c r="C23" s="45"/>
      <c r="D23" s="41"/>
      <c r="AD23">
        <f t="shared" si="0"/>
        <v>2687.9561328552736</v>
      </c>
      <c r="AE23">
        <v>210</v>
      </c>
    </row>
    <row r="24" spans="3:31" ht="15" customHeight="1" x14ac:dyDescent="0.25">
      <c r="C24" s="54" t="s">
        <v>36</v>
      </c>
      <c r="AD24">
        <f t="shared" si="0"/>
        <v>2724.7431345647515</v>
      </c>
      <c r="AE24">
        <v>220</v>
      </c>
    </row>
    <row r="25" spans="3:31" ht="15" customHeight="1" x14ac:dyDescent="0.25">
      <c r="C25" s="54"/>
      <c r="AD25">
        <f t="shared" si="0"/>
        <v>2759.2217871209359</v>
      </c>
      <c r="AE25">
        <v>230</v>
      </c>
    </row>
    <row r="26" spans="3:31" ht="15" customHeight="1" x14ac:dyDescent="0.25">
      <c r="C26" s="54"/>
      <c r="AD26">
        <f t="shared" si="0"/>
        <v>2791.6027511965476</v>
      </c>
      <c r="AE26">
        <v>240</v>
      </c>
    </row>
    <row r="27" spans="3:31" ht="15" customHeight="1" x14ac:dyDescent="0.25">
      <c r="AD27">
        <f t="shared" si="0"/>
        <v>2822.0718109316886</v>
      </c>
      <c r="AE27">
        <v>250</v>
      </c>
    </row>
    <row r="28" spans="3:31" ht="15" customHeight="1" x14ac:dyDescent="0.25">
      <c r="C28" s="54" t="s">
        <v>35</v>
      </c>
      <c r="AD28">
        <f t="shared" si="0"/>
        <v>2850.7934406667632</v>
      </c>
      <c r="AE28">
        <v>260</v>
      </c>
    </row>
    <row r="29" spans="3:31" ht="15" customHeight="1" x14ac:dyDescent="0.25">
      <c r="C29" s="54"/>
      <c r="AD29">
        <f t="shared" si="0"/>
        <v>2877.9137751153189</v>
      </c>
      <c r="AE29">
        <v>270</v>
      </c>
    </row>
    <row r="30" spans="3:31" ht="15" customHeight="1" x14ac:dyDescent="0.25">
      <c r="C30" s="54"/>
      <c r="AD30">
        <f t="shared" si="0"/>
        <v>2903.5630962282589</v>
      </c>
      <c r="AE30">
        <v>280</v>
      </c>
    </row>
    <row r="31" spans="3:31" ht="15" customHeight="1" x14ac:dyDescent="0.25">
      <c r="C31" s="9"/>
      <c r="AD31">
        <f t="shared" si="0"/>
        <v>2927.8579260785209</v>
      </c>
      <c r="AE31">
        <v>290</v>
      </c>
    </row>
    <row r="32" spans="3:31" ht="15" customHeight="1" x14ac:dyDescent="0.25">
      <c r="C32" s="9"/>
      <c r="F32" s="40" t="s">
        <v>81</v>
      </c>
      <c r="AD32">
        <f t="shared" si="0"/>
        <v>2950.9027967115389</v>
      </c>
      <c r="AE32">
        <v>300</v>
      </c>
    </row>
    <row r="33" spans="1:32" ht="15" customHeight="1" x14ac:dyDescent="0.25">
      <c r="C33" s="10"/>
      <c r="F33" s="40" t="s">
        <v>64</v>
      </c>
      <c r="AD33">
        <f t="shared" si="0"/>
        <v>2972.7917536725258</v>
      </c>
      <c r="AE33">
        <v>310</v>
      </c>
    </row>
    <row r="34" spans="1:32" ht="15" customHeight="1" x14ac:dyDescent="0.25">
      <c r="C34" s="10"/>
      <c r="F34" s="40" t="s">
        <v>39</v>
      </c>
      <c r="AD34">
        <f t="shared" si="0"/>
        <v>2993.6096388216856</v>
      </c>
      <c r="AE34">
        <v>320</v>
      </c>
    </row>
    <row r="35" spans="1:32" ht="15" customHeight="1" x14ac:dyDescent="0.25">
      <c r="C35" s="10"/>
      <c r="F35" s="16" t="s">
        <v>40</v>
      </c>
      <c r="AD35">
        <f t="shared" si="0"/>
        <v>3013.4331893342751</v>
      </c>
      <c r="AE35">
        <v>330</v>
      </c>
    </row>
    <row r="36" spans="1:32" ht="15" customHeight="1" x14ac:dyDescent="0.25">
      <c r="C36" s="10"/>
      <c r="AD36">
        <f t="shared" si="0"/>
        <v>3032.33198289754</v>
      </c>
      <c r="AE36">
        <v>340</v>
      </c>
    </row>
    <row r="37" spans="1:32" ht="15" customHeight="1" x14ac:dyDescent="0.25">
      <c r="C37" s="10"/>
      <c r="AD37">
        <f t="shared" si="0"/>
        <v>3050.3692536440558</v>
      </c>
      <c r="AE37">
        <v>350</v>
      </c>
    </row>
    <row r="38" spans="1:32" ht="15" customHeight="1" x14ac:dyDescent="0.25">
      <c r="C38" s="10"/>
      <c r="AD38">
        <f t="shared" si="0"/>
        <v>3067.6025989860386</v>
      </c>
      <c r="AE38">
        <v>360</v>
      </c>
    </row>
    <row r="39" spans="1:32" ht="15" customHeight="1" x14ac:dyDescent="0.25">
      <c r="C39" s="10"/>
      <c r="AD39">
        <f t="shared" si="0"/>
        <v>3084.0845939986289</v>
      </c>
      <c r="AE39">
        <v>370</v>
      </c>
    </row>
    <row r="40" spans="1:32" ht="15" customHeight="1" x14ac:dyDescent="0.25">
      <c r="C40" s="10"/>
      <c r="AD40">
        <f t="shared" si="0"/>
        <v>3099.8633271587451</v>
      </c>
      <c r="AE40">
        <v>380</v>
      </c>
    </row>
    <row r="41" spans="1:32" s="25" customFormat="1" ht="15" customHeight="1" x14ac:dyDescent="0.25">
      <c r="A41"/>
      <c r="B41"/>
      <c r="C41" s="10"/>
      <c r="D41"/>
      <c r="E41"/>
      <c r="F41"/>
      <c r="G41"/>
      <c r="AD41">
        <f t="shared" si="0"/>
        <v>3114.9828689389301</v>
      </c>
      <c r="AE41">
        <v>390</v>
      </c>
      <c r="AF41"/>
    </row>
    <row r="42" spans="1:32" ht="15" customHeight="1" x14ac:dyDescent="0.25">
      <c r="C42" s="10"/>
      <c r="AD42">
        <f t="shared" si="0"/>
        <v>3129.4836828732423</v>
      </c>
      <c r="AE42">
        <v>400</v>
      </c>
    </row>
    <row r="43" spans="1:32" s="25" customFormat="1" ht="15" customHeight="1" x14ac:dyDescent="0.25">
      <c r="A43"/>
      <c r="B43"/>
      <c r="C43" s="10"/>
      <c r="D43"/>
      <c r="E43"/>
      <c r="F43"/>
      <c r="G43"/>
      <c r="X43" s="25" t="s">
        <v>20</v>
      </c>
      <c r="Y43" s="25">
        <f>B5</f>
        <v>0.1</v>
      </c>
      <c r="AA43" s="25" t="s">
        <v>96</v>
      </c>
      <c r="AD43">
        <f t="shared" si="0"/>
        <v>3143.4029871696321</v>
      </c>
      <c r="AE43">
        <v>410</v>
      </c>
      <c r="AF43"/>
    </row>
    <row r="44" spans="1:32" ht="15" customHeight="1" x14ac:dyDescent="0.25">
      <c r="C44" s="10"/>
      <c r="L44" s="25"/>
      <c r="M44" s="25"/>
      <c r="X44" t="str">
        <f>D20</f>
        <v>Eq_recF</v>
      </c>
      <c r="Y44">
        <f>E20</f>
        <v>3358.1521112788701</v>
      </c>
      <c r="Z44">
        <v>0</v>
      </c>
      <c r="AA44">
        <f>E15</f>
        <v>3505.0409999999997</v>
      </c>
      <c r="AD44">
        <f t="shared" si="0"/>
        <v>3156.7750736734706</v>
      </c>
      <c r="AE44">
        <v>420</v>
      </c>
    </row>
    <row r="45" spans="1:32" ht="15" customHeight="1" x14ac:dyDescent="0.25">
      <c r="C45" s="10"/>
      <c r="L45" s="25"/>
      <c r="M45" s="25"/>
      <c r="X45" t="str">
        <f>D21</f>
        <v>Eq_SSBF</v>
      </c>
      <c r="Y45">
        <f>E21</f>
        <v>640.06477973788242</v>
      </c>
      <c r="AA45">
        <f>E19</f>
        <v>976.02956426133596</v>
      </c>
      <c r="AD45">
        <f t="shared" si="0"/>
        <v>3169.6315899374931</v>
      </c>
      <c r="AE45">
        <v>430</v>
      </c>
    </row>
    <row r="46" spans="1:32" ht="15" customHeight="1" x14ac:dyDescent="0.25">
      <c r="C46" s="10"/>
      <c r="L46" s="25"/>
      <c r="M46" s="25"/>
      <c r="X46" t="str">
        <f>CONCATENATE("(",X45,",",X44,") at F=",Y43)</f>
        <v>(Eq_SSBF,Eq_recF) at F=0.1</v>
      </c>
      <c r="AD46">
        <f t="shared" si="0"/>
        <v>3182.0017892825872</v>
      </c>
      <c r="AE46">
        <v>440</v>
      </c>
    </row>
    <row r="47" spans="1:32" ht="15" customHeight="1" x14ac:dyDescent="0.25">
      <c r="C47" s="10"/>
      <c r="L47" s="25"/>
      <c r="M47" s="25"/>
      <c r="AD47">
        <f t="shared" si="0"/>
        <v>3193.912753008553</v>
      </c>
      <c r="AE47">
        <v>450</v>
      </c>
    </row>
    <row r="48" spans="1:32" ht="15" customHeight="1" x14ac:dyDescent="0.25">
      <c r="C48" s="10"/>
      <c r="L48" s="25"/>
      <c r="M48" s="25"/>
      <c r="AD48">
        <f t="shared" si="0"/>
        <v>3205.3895883075757</v>
      </c>
      <c r="AE48">
        <v>460</v>
      </c>
    </row>
    <row r="49" spans="3:31" ht="15" customHeight="1" x14ac:dyDescent="0.25">
      <c r="C49" s="10"/>
      <c r="L49" s="25"/>
      <c r="M49" s="25"/>
      <c r="AD49">
        <f t="shared" si="0"/>
        <v>3216.4556049244907</v>
      </c>
      <c r="AE49">
        <v>470</v>
      </c>
    </row>
    <row r="50" spans="3:31" ht="15" customHeight="1" x14ac:dyDescent="0.25">
      <c r="C50" s="10"/>
      <c r="L50" s="25"/>
      <c r="M50" s="25"/>
      <c r="AD50">
        <f t="shared" si="0"/>
        <v>3227.1324731796985</v>
      </c>
      <c r="AE50">
        <v>480</v>
      </c>
    </row>
    <row r="51" spans="3:31" ht="15" customHeight="1" x14ac:dyDescent="0.25">
      <c r="C51" s="10"/>
      <c r="L51" s="25"/>
      <c r="M51" s="25"/>
      <c r="AD51">
        <f t="shared" si="0"/>
        <v>3237.4403656090117</v>
      </c>
      <c r="AE51">
        <v>490</v>
      </c>
    </row>
    <row r="52" spans="3:31" ht="15" customHeight="1" x14ac:dyDescent="0.25">
      <c r="C52" s="10"/>
      <c r="L52" s="25"/>
      <c r="M52" s="25"/>
      <c r="AD52">
        <f t="shared" si="0"/>
        <v>3247.3980841683715</v>
      </c>
      <c r="AE52">
        <v>500</v>
      </c>
    </row>
    <row r="53" spans="3:31" ht="15" customHeight="1" x14ac:dyDescent="0.25">
      <c r="C53" s="10"/>
      <c r="L53" s="25"/>
      <c r="M53" s="25"/>
      <c r="AD53">
        <f t="shared" si="0"/>
        <v>3257.0231746911154</v>
      </c>
      <c r="AE53">
        <v>510</v>
      </c>
    </row>
    <row r="54" spans="3:31" ht="15" customHeight="1" x14ac:dyDescent="0.25">
      <c r="C54" s="10"/>
      <c r="L54" s="25"/>
      <c r="M54" s="25"/>
      <c r="AD54">
        <f t="shared" si="0"/>
        <v>3266.3320300636574</v>
      </c>
      <c r="AE54">
        <v>520</v>
      </c>
    </row>
    <row r="55" spans="3:31" ht="15" customHeight="1" x14ac:dyDescent="0.25">
      <c r="C55" s="10"/>
      <c r="L55" s="25"/>
      <c r="M55" s="25"/>
      <c r="AD55">
        <f t="shared" si="0"/>
        <v>3275.3399833959397</v>
      </c>
      <c r="AE55">
        <v>530</v>
      </c>
    </row>
    <row r="56" spans="3:31" ht="15" customHeight="1" x14ac:dyDescent="0.25">
      <c r="C56" s="10"/>
      <c r="L56" s="25"/>
      <c r="M56" s="25"/>
      <c r="AD56">
        <f t="shared" si="0"/>
        <v>3284.0613923005712</v>
      </c>
      <c r="AE56">
        <v>540</v>
      </c>
    </row>
    <row r="57" spans="3:31" ht="15" customHeight="1" x14ac:dyDescent="0.25">
      <c r="C57" s="10"/>
      <c r="L57" s="25"/>
      <c r="M57" s="25"/>
      <c r="AD57">
        <f t="shared" si="0"/>
        <v>3292.5097152550989</v>
      </c>
      <c r="AE57">
        <v>550</v>
      </c>
    </row>
    <row r="58" spans="3:31" ht="15" customHeight="1" x14ac:dyDescent="0.25">
      <c r="C58" s="10"/>
      <c r="L58" s="25"/>
      <c r="M58" s="25"/>
      <c r="AD58">
        <f t="shared" si="0"/>
        <v>3300.6975809016435</v>
      </c>
      <c r="AE58">
        <v>560</v>
      </c>
    </row>
    <row r="59" spans="3:31" ht="15" customHeight="1" x14ac:dyDescent="0.25">
      <c r="C59" s="10"/>
      <c r="L59" s="25"/>
      <c r="M59" s="25"/>
      <c r="AD59">
        <f t="shared" si="0"/>
        <v>3308.6368510344287</v>
      </c>
      <c r="AE59">
        <v>570</v>
      </c>
    </row>
    <row r="60" spans="3:31" ht="15" customHeight="1" x14ac:dyDescent="0.25">
      <c r="C60" s="10"/>
      <c r="L60" s="25"/>
      <c r="M60" s="25"/>
      <c r="AD60">
        <f t="shared" si="0"/>
        <v>3316.3386779359225</v>
      </c>
      <c r="AE60">
        <v>580</v>
      </c>
    </row>
    <row r="61" spans="3:31" ht="15" customHeight="1" x14ac:dyDescent="0.25">
      <c r="C61" s="10"/>
      <c r="L61" s="25"/>
      <c r="M61" s="25"/>
      <c r="AD61">
        <f t="shared" si="0"/>
        <v>3323.8135566444384</v>
      </c>
      <c r="AE61">
        <v>590</v>
      </c>
    </row>
    <row r="62" spans="3:31" ht="15" customHeight="1" x14ac:dyDescent="0.25">
      <c r="C62" s="10"/>
      <c r="L62" s="25"/>
      <c r="M62" s="25"/>
      <c r="AD62">
        <f t="shared" si="0"/>
        <v>3331.0713726683484</v>
      </c>
      <c r="AE62">
        <v>600</v>
      </c>
    </row>
    <row r="63" spans="3:31" ht="15" customHeight="1" x14ac:dyDescent="0.25">
      <c r="C63" s="10"/>
      <c r="L63" s="25"/>
      <c r="M63" s="25"/>
      <c r="AD63">
        <f t="shared" si="0"/>
        <v>3338.1214456030716</v>
      </c>
      <c r="AE63">
        <v>610</v>
      </c>
    </row>
    <row r="64" spans="3:31" ht="15" customHeight="1" x14ac:dyDescent="0.25">
      <c r="C64" s="10"/>
      <c r="L64" s="25"/>
      <c r="M64" s="25"/>
      <c r="AD64">
        <f t="shared" si="0"/>
        <v>3344.9725690555165</v>
      </c>
      <c r="AE64">
        <v>620</v>
      </c>
    </row>
    <row r="65" spans="3:31" ht="15" customHeight="1" x14ac:dyDescent="0.25">
      <c r="C65" s="10"/>
      <c r="L65" s="25"/>
      <c r="M65" s="25"/>
      <c r="AD65">
        <f t="shared" si="0"/>
        <v>3351.633047235604</v>
      </c>
      <c r="AE65">
        <v>630</v>
      </c>
    </row>
    <row r="66" spans="3:31" ht="15" customHeight="1" x14ac:dyDescent="0.25">
      <c r="C66" s="10"/>
      <c r="L66" s="25"/>
      <c r="M66" s="25"/>
      <c r="AD66">
        <f t="shared" si="0"/>
        <v>3358.1107285350331</v>
      </c>
      <c r="AE66">
        <v>640</v>
      </c>
    </row>
    <row r="67" spans="3:31" ht="15" customHeight="1" x14ac:dyDescent="0.25">
      <c r="C67" s="10"/>
      <c r="L67" s="25"/>
      <c r="M67" s="25"/>
      <c r="AD67">
        <f t="shared" ref="AD67:AD120" si="4">$E$17*AE67/(1+$E$18*AE67)</f>
        <v>3364.4130363787526</v>
      </c>
      <c r="AE67">
        <v>650</v>
      </c>
    </row>
    <row r="68" spans="3:31" ht="15" customHeight="1" x14ac:dyDescent="0.25">
      <c r="C68" s="10"/>
      <c r="L68" s="25"/>
      <c r="M68" s="25"/>
      <c r="AD68">
        <f t="shared" si="4"/>
        <v>3370.5469976041422</v>
      </c>
      <c r="AE68">
        <v>660</v>
      </c>
    </row>
    <row r="69" spans="3:31" ht="15" customHeight="1" x14ac:dyDescent="0.25">
      <c r="C69" s="10"/>
      <c r="L69" s="25"/>
      <c r="M69" s="25"/>
      <c r="AD69">
        <f t="shared" si="4"/>
        <v>3376.5192685959664</v>
      </c>
      <c r="AE69">
        <v>670</v>
      </c>
    </row>
    <row r="70" spans="3:31" ht="15" customHeight="1" x14ac:dyDescent="0.25">
      <c r="C70" s="10"/>
      <c r="L70" s="25"/>
      <c r="M70" s="25"/>
      <c r="AD70">
        <f t="shared" si="4"/>
        <v>3382.3361593814871</v>
      </c>
      <c r="AE70">
        <v>680</v>
      </c>
    </row>
    <row r="71" spans="3:31" ht="15" customHeight="1" x14ac:dyDescent="0.25">
      <c r="C71" s="10"/>
      <c r="L71" s="25"/>
      <c r="M71" s="25"/>
      <c r="AD71">
        <f t="shared" si="4"/>
        <v>3388.0036558690763</v>
      </c>
      <c r="AE71">
        <v>690</v>
      </c>
    </row>
    <row r="72" spans="3:31" ht="15" customHeight="1" x14ac:dyDescent="0.25">
      <c r="C72" s="10"/>
      <c r="L72" s="25"/>
      <c r="M72" s="25"/>
      <c r="AD72">
        <f t="shared" si="4"/>
        <v>3393.5274403951016</v>
      </c>
      <c r="AE72">
        <v>700</v>
      </c>
    </row>
    <row r="73" spans="3:31" ht="15" customHeight="1" x14ac:dyDescent="0.25">
      <c r="C73" s="10"/>
      <c r="L73" s="25"/>
      <c r="M73" s="25"/>
      <c r="AD73">
        <f t="shared" si="4"/>
        <v>3398.9129107273443</v>
      </c>
      <c r="AE73">
        <v>710</v>
      </c>
    </row>
    <row r="74" spans="3:31" ht="15" customHeight="1" x14ac:dyDescent="0.25">
      <c r="C74" s="10"/>
      <c r="L74" s="25"/>
      <c r="M74" s="25"/>
      <c r="AD74">
        <f t="shared" si="4"/>
        <v>3404.1651976585504</v>
      </c>
      <c r="AE74">
        <v>720</v>
      </c>
    </row>
    <row r="75" spans="3:31" ht="15" customHeight="1" x14ac:dyDescent="0.25">
      <c r="C75" s="10"/>
      <c r="L75" s="25"/>
      <c r="M75" s="25"/>
      <c r="AD75">
        <f t="shared" si="4"/>
        <v>3409.2891813106453</v>
      </c>
      <c r="AE75">
        <v>730</v>
      </c>
    </row>
    <row r="76" spans="3:31" ht="15" customHeight="1" x14ac:dyDescent="0.25">
      <c r="C76" s="10"/>
      <c r="L76" s="25"/>
      <c r="M76" s="25"/>
      <c r="AD76">
        <f t="shared" si="4"/>
        <v>3414.2895062585299</v>
      </c>
      <c r="AE76">
        <v>740</v>
      </c>
    </row>
    <row r="77" spans="3:31" ht="15" customHeight="1" x14ac:dyDescent="0.25">
      <c r="C77" s="10"/>
      <c r="L77" s="25"/>
      <c r="M77" s="25"/>
      <c r="AD77">
        <f t="shared" si="4"/>
        <v>3419.1705955719658</v>
      </c>
      <c r="AE77">
        <v>750</v>
      </c>
    </row>
    <row r="78" spans="3:31" ht="15" customHeight="1" x14ac:dyDescent="0.25">
      <c r="C78" s="10"/>
      <c r="L78" s="25"/>
      <c r="M78" s="25"/>
      <c r="AD78">
        <f t="shared" si="4"/>
        <v>3423.9366638647889</v>
      </c>
      <c r="AE78">
        <v>760</v>
      </c>
    </row>
    <row r="79" spans="3:31" ht="15" customHeight="1" x14ac:dyDescent="0.25">
      <c r="C79" s="10"/>
      <c r="L79" s="25"/>
      <c r="M79" s="25"/>
      <c r="AD79">
        <f t="shared" si="4"/>
        <v>3428.5917294323622</v>
      </c>
      <c r="AE79">
        <v>770</v>
      </c>
    </row>
    <row r="80" spans="3:31" ht="15" customHeight="1" x14ac:dyDescent="0.25">
      <c r="C80" s="10"/>
      <c r="L80" s="25"/>
      <c r="M80" s="25"/>
      <c r="AD80">
        <f t="shared" si="4"/>
        <v>3433.1396255507439</v>
      </c>
      <c r="AE80">
        <v>780</v>
      </c>
    </row>
    <row r="81" spans="3:31" ht="15" customHeight="1" x14ac:dyDescent="0.25">
      <c r="C81" s="10"/>
      <c r="L81" s="25"/>
      <c r="M81" s="25"/>
      <c r="AD81">
        <f t="shared" si="4"/>
        <v>3437.5840110043378</v>
      </c>
      <c r="AE81">
        <v>790</v>
      </c>
    </row>
    <row r="82" spans="3:31" ht="15" customHeight="1" x14ac:dyDescent="0.25">
      <c r="C82" s="10"/>
      <c r="L82" s="25"/>
      <c r="M82" s="25"/>
      <c r="AD82">
        <f t="shared" si="4"/>
        <v>3441.9283799028099</v>
      </c>
      <c r="AE82">
        <v>800</v>
      </c>
    </row>
    <row r="83" spans="3:31" ht="15" customHeight="1" x14ac:dyDescent="0.25">
      <c r="C83" s="10"/>
      <c r="L83" s="25"/>
      <c r="M83" s="25"/>
      <c r="AD83">
        <f t="shared" si="4"/>
        <v>3446.1760708426082</v>
      </c>
      <c r="AE83">
        <v>810</v>
      </c>
    </row>
    <row r="84" spans="3:31" ht="15" customHeight="1" x14ac:dyDescent="0.25">
      <c r="C84" s="10"/>
      <c r="L84" s="25"/>
      <c r="M84" s="25"/>
      <c r="AD84">
        <f t="shared" si="4"/>
        <v>3450.3302754635893</v>
      </c>
      <c r="AE84">
        <v>820</v>
      </c>
    </row>
    <row r="85" spans="3:31" ht="15" customHeight="1" x14ac:dyDescent="0.25">
      <c r="C85" s="10"/>
      <c r="L85" s="25"/>
      <c r="M85" s="25"/>
      <c r="AD85">
        <f t="shared" si="4"/>
        <v>3454.3940464468287</v>
      </c>
      <c r="AE85">
        <v>830</v>
      </c>
    </row>
    <row r="86" spans="3:31" ht="15" customHeight="1" x14ac:dyDescent="0.25">
      <c r="C86" s="10"/>
      <c r="L86" s="25"/>
      <c r="M86" s="25"/>
      <c r="AD86">
        <f t="shared" si="4"/>
        <v>3458.3703049957426</v>
      </c>
      <c r="AE86">
        <v>840</v>
      </c>
    </row>
    <row r="87" spans="3:31" ht="15" customHeight="1" x14ac:dyDescent="0.25">
      <c r="C87" s="10"/>
      <c r="L87" s="25"/>
      <c r="M87" s="25"/>
      <c r="AD87">
        <f t="shared" si="4"/>
        <v>3462.2618478390386</v>
      </c>
      <c r="AE87">
        <v>850</v>
      </c>
    </row>
    <row r="88" spans="3:31" ht="15" customHeight="1" x14ac:dyDescent="0.25">
      <c r="C88" s="10"/>
      <c r="L88" s="25"/>
      <c r="M88" s="25"/>
      <c r="AD88">
        <f t="shared" si="4"/>
        <v>3466.07135379079</v>
      </c>
      <c r="AE88">
        <v>860</v>
      </c>
    </row>
    <row r="89" spans="3:31" ht="15" customHeight="1" x14ac:dyDescent="0.25">
      <c r="C89" s="10"/>
      <c r="L89" s="25"/>
      <c r="M89" s="25"/>
      <c r="AD89">
        <f t="shared" si="4"/>
        <v>3469.8013898999543</v>
      </c>
      <c r="AE89">
        <v>870</v>
      </c>
    </row>
    <row r="90" spans="3:31" ht="15" customHeight="1" x14ac:dyDescent="0.25">
      <c r="C90" s="10"/>
      <c r="L90" s="25"/>
      <c r="M90" s="25"/>
      <c r="AD90">
        <f t="shared" si="4"/>
        <v>3473.454417219019</v>
      </c>
      <c r="AE90">
        <v>880</v>
      </c>
    </row>
    <row r="91" spans="3:31" ht="15" customHeight="1" x14ac:dyDescent="0.25">
      <c r="C91" s="10"/>
      <c r="L91" s="25"/>
      <c r="M91" s="25"/>
      <c r="AD91">
        <f t="shared" si="4"/>
        <v>3477.0327962189981</v>
      </c>
      <c r="AE91">
        <v>890</v>
      </c>
    </row>
    <row r="92" spans="3:31" ht="15" customHeight="1" x14ac:dyDescent="0.25">
      <c r="C92" s="10"/>
      <c r="L92" s="25"/>
      <c r="M92" s="25"/>
      <c r="AD92">
        <f t="shared" si="4"/>
        <v>3480.5387918758333</v>
      </c>
      <c r="AE92">
        <v>900</v>
      </c>
    </row>
    <row r="93" spans="3:31" ht="15" customHeight="1" x14ac:dyDescent="0.25">
      <c r="C93" s="10"/>
      <c r="L93" s="25"/>
      <c r="M93" s="25"/>
      <c r="AD93">
        <f t="shared" si="4"/>
        <v>3483.9745784512165</v>
      </c>
      <c r="AE93">
        <v>910</v>
      </c>
    </row>
    <row r="94" spans="3:31" ht="15" customHeight="1" x14ac:dyDescent="0.25">
      <c r="C94" s="10"/>
      <c r="L94" s="25"/>
      <c r="M94" s="25"/>
      <c r="AD94">
        <f t="shared" si="4"/>
        <v>3487.3422439890528</v>
      </c>
      <c r="AE94">
        <v>920</v>
      </c>
    </row>
    <row r="95" spans="3:31" ht="15" customHeight="1" x14ac:dyDescent="0.25">
      <c r="C95" s="10"/>
      <c r="L95" s="25"/>
      <c r="M95" s="25"/>
      <c r="AD95">
        <f t="shared" si="4"/>
        <v>3490.6437945470843</v>
      </c>
      <c r="AE95">
        <v>930</v>
      </c>
    </row>
    <row r="96" spans="3:31" ht="15" customHeight="1" x14ac:dyDescent="0.25">
      <c r="C96" s="10"/>
      <c r="L96" s="25"/>
      <c r="M96" s="25"/>
      <c r="AD96">
        <f t="shared" si="4"/>
        <v>3493.8811581817217</v>
      </c>
      <c r="AE96">
        <v>940</v>
      </c>
    </row>
    <row r="97" spans="3:31" ht="15" customHeight="1" x14ac:dyDescent="0.25">
      <c r="C97" s="10"/>
      <c r="L97" s="25"/>
      <c r="M97" s="25"/>
      <c r="AD97">
        <f t="shared" si="4"/>
        <v>3497.0561887026897</v>
      </c>
      <c r="AE97">
        <v>950</v>
      </c>
    </row>
    <row r="98" spans="3:31" ht="15" customHeight="1" x14ac:dyDescent="0.25">
      <c r="C98" s="10"/>
      <c r="L98" s="25"/>
      <c r="M98" s="25"/>
      <c r="AD98">
        <f t="shared" si="4"/>
        <v>3500.1706692128651</v>
      </c>
      <c r="AE98">
        <v>960</v>
      </c>
    </row>
    <row r="99" spans="3:31" ht="15" customHeight="1" x14ac:dyDescent="0.25">
      <c r="C99" s="10"/>
      <c r="L99" s="25"/>
      <c r="M99" s="25"/>
      <c r="AD99">
        <f t="shared" si="4"/>
        <v>3503.2263154475086</v>
      </c>
      <c r="AE99">
        <v>970</v>
      </c>
    </row>
    <row r="100" spans="3:31" ht="15" customHeight="1" x14ac:dyDescent="0.25">
      <c r="C100" s="10"/>
      <c r="L100" s="25"/>
      <c r="M100" s="25"/>
      <c r="AD100">
        <f t="shared" si="4"/>
        <v>3506.2247789260232</v>
      </c>
      <c r="AE100">
        <v>980</v>
      </c>
    </row>
    <row r="101" spans="3:31" ht="15" customHeight="1" x14ac:dyDescent="0.25">
      <c r="C101" s="10"/>
      <c r="L101" s="25"/>
      <c r="M101" s="25"/>
      <c r="AD101">
        <f t="shared" si="4"/>
        <v>3509.1676499284108</v>
      </c>
      <c r="AE101">
        <v>990</v>
      </c>
    </row>
    <row r="102" spans="3:31" ht="15" customHeight="1" x14ac:dyDescent="0.25">
      <c r="C102" s="10"/>
      <c r="L102" s="25"/>
      <c r="M102" s="25"/>
      <c r="AD102">
        <f t="shared" si="4"/>
        <v>3512.0564603076964</v>
      </c>
      <c r="AE102">
        <v>1000</v>
      </c>
    </row>
    <row r="103" spans="3:31" ht="15" customHeight="1" x14ac:dyDescent="0.25">
      <c r="C103" s="10"/>
      <c r="L103" s="25"/>
      <c r="M103" s="25"/>
      <c r="AD103">
        <f t="shared" si="4"/>
        <v>3514.8926861487712</v>
      </c>
      <c r="AE103">
        <v>1010</v>
      </c>
    </row>
    <row r="104" spans="3:31" ht="15" customHeight="1" x14ac:dyDescent="0.25">
      <c r="C104" s="10"/>
      <c r="L104" s="25"/>
      <c r="M104" s="25"/>
      <c r="AD104">
        <f t="shared" si="4"/>
        <v>3517.6777502833465</v>
      </c>
      <c r="AE104">
        <v>1020</v>
      </c>
    </row>
    <row r="105" spans="3:31" ht="15" customHeight="1" x14ac:dyDescent="0.25">
      <c r="C105" s="10"/>
      <c r="L105" s="25"/>
      <c r="M105" s="25"/>
      <c r="AD105">
        <f t="shared" si="4"/>
        <v>3520.4130246700252</v>
      </c>
      <c r="AE105">
        <v>1030</v>
      </c>
    </row>
    <row r="106" spans="3:31" ht="15" customHeight="1" x14ac:dyDescent="0.25">
      <c r="C106" s="10"/>
      <c r="L106" s="25"/>
      <c r="M106" s="25"/>
      <c r="AD106">
        <f t="shared" si="4"/>
        <v>3523.0998326478598</v>
      </c>
      <c r="AE106">
        <v>1040</v>
      </c>
    </row>
    <row r="107" spans="3:31" ht="15" customHeight="1" x14ac:dyDescent="0.25">
      <c r="C107" s="10"/>
      <c r="L107" s="25"/>
      <c r="M107" s="25"/>
      <c r="AD107">
        <f t="shared" si="4"/>
        <v>3525.7394510711688</v>
      </c>
      <c r="AE107">
        <v>1050</v>
      </c>
    </row>
    <row r="108" spans="3:31" ht="15" customHeight="1" x14ac:dyDescent="0.25">
      <c r="C108" s="10"/>
      <c r="L108" s="25"/>
      <c r="M108" s="25"/>
      <c r="AD108">
        <f t="shared" si="4"/>
        <v>3528.3331123328412</v>
      </c>
      <c r="AE108">
        <v>1060</v>
      </c>
    </row>
    <row r="109" spans="3:31" ht="15" customHeight="1" x14ac:dyDescent="0.25">
      <c r="C109" s="10"/>
      <c r="L109" s="25"/>
      <c r="M109" s="25"/>
      <c r="AD109">
        <f t="shared" si="4"/>
        <v>3530.8820062828822</v>
      </c>
      <c r="AE109">
        <v>1070</v>
      </c>
    </row>
    <row r="110" spans="3:31" ht="15" customHeight="1" x14ac:dyDescent="0.25">
      <c r="C110" s="10"/>
      <c r="L110" s="25"/>
      <c r="M110" s="25"/>
      <c r="AD110">
        <f t="shared" si="4"/>
        <v>3533.3872820484585</v>
      </c>
      <c r="AE110">
        <v>1080</v>
      </c>
    </row>
    <row r="111" spans="3:31" ht="15" customHeight="1" x14ac:dyDescent="0.25">
      <c r="C111" s="10"/>
      <c r="L111" s="25"/>
      <c r="M111" s="25"/>
      <c r="AD111">
        <f t="shared" si="4"/>
        <v>3535.8500497613045</v>
      </c>
      <c r="AE111">
        <v>1090</v>
      </c>
    </row>
    <row r="112" spans="3:31" ht="15" customHeight="1" x14ac:dyDescent="0.25">
      <c r="C112" s="10"/>
      <c r="L112" s="25"/>
      <c r="M112" s="25"/>
      <c r="AD112">
        <f t="shared" si="4"/>
        <v>3538.2713821979328</v>
      </c>
      <c r="AE112">
        <v>1100</v>
      </c>
    </row>
    <row r="113" spans="3:31" ht="15" customHeight="1" x14ac:dyDescent="0.25">
      <c r="C113" s="10"/>
      <c r="L113" s="25"/>
      <c r="M113" s="25"/>
      <c r="AD113">
        <f t="shared" si="4"/>
        <v>3540.6523163377533</v>
      </c>
      <c r="AE113">
        <v>1110</v>
      </c>
    </row>
    <row r="114" spans="3:31" ht="15" customHeight="1" x14ac:dyDescent="0.25">
      <c r="C114" s="10"/>
      <c r="L114" s="25"/>
      <c r="M114" s="25"/>
    </row>
    <row r="115" spans="3:31" ht="15" customHeight="1" x14ac:dyDescent="0.25">
      <c r="C115" s="10"/>
      <c r="L115" s="25"/>
      <c r="M115" s="25"/>
    </row>
    <row r="116" spans="3:31" ht="15" customHeight="1" x14ac:dyDescent="0.25">
      <c r="C116" s="10"/>
      <c r="L116" s="25"/>
      <c r="M116" s="25"/>
    </row>
    <row r="117" spans="3:31" ht="15" customHeight="1" x14ac:dyDescent="0.25">
      <c r="C117" s="10"/>
      <c r="L117" s="25"/>
      <c r="M117" s="25"/>
    </row>
    <row r="118" spans="3:31" ht="15" customHeight="1" x14ac:dyDescent="0.25">
      <c r="C118" s="10"/>
      <c r="L118" s="25"/>
      <c r="M118" s="25"/>
    </row>
    <row r="119" spans="3:31" ht="15" customHeight="1" x14ac:dyDescent="0.25">
      <c r="C119" s="10"/>
      <c r="L119" s="25"/>
      <c r="M119" s="25"/>
    </row>
    <row r="120" spans="3:31" ht="15" customHeight="1" x14ac:dyDescent="0.25">
      <c r="C120" s="10"/>
      <c r="L120" s="25"/>
      <c r="M120" s="25"/>
    </row>
    <row r="121" spans="3:31" ht="15" customHeight="1" x14ac:dyDescent="0.25">
      <c r="C121" s="10"/>
      <c r="L121" s="25"/>
      <c r="M121" s="25"/>
    </row>
    <row r="122" spans="3:31" ht="15" customHeight="1" x14ac:dyDescent="0.25">
      <c r="C122" s="10"/>
      <c r="L122" s="25"/>
      <c r="M122" s="25"/>
    </row>
    <row r="123" spans="3:31" ht="15" customHeight="1" x14ac:dyDescent="0.25">
      <c r="C123" s="10"/>
      <c r="L123" s="25"/>
      <c r="M123" s="25"/>
    </row>
    <row r="124" spans="3:31" ht="15" customHeight="1" x14ac:dyDescent="0.25">
      <c r="C124" s="10"/>
      <c r="L124" s="25"/>
      <c r="M124" s="25"/>
    </row>
    <row r="125" spans="3:31" ht="15" customHeight="1" x14ac:dyDescent="0.25">
      <c r="C125" s="10"/>
      <c r="L125" s="25"/>
      <c r="M125" s="25"/>
    </row>
    <row r="126" spans="3:31" ht="15" customHeight="1" x14ac:dyDescent="0.25">
      <c r="C126" s="10"/>
      <c r="L126" s="25"/>
      <c r="M126" s="25"/>
    </row>
    <row r="127" spans="3:31" ht="15" customHeight="1" x14ac:dyDescent="0.25">
      <c r="C127" s="10"/>
      <c r="L127" s="25"/>
      <c r="M127" s="25"/>
    </row>
    <row r="128" spans="3:31" ht="15" customHeight="1" x14ac:dyDescent="0.25">
      <c r="C128" s="10"/>
      <c r="L128" s="25"/>
      <c r="M128" s="25"/>
    </row>
    <row r="129" spans="3:13" ht="15" customHeight="1" x14ac:dyDescent="0.25">
      <c r="C129" s="10"/>
      <c r="L129" s="25"/>
      <c r="M129" s="25"/>
    </row>
    <row r="130" spans="3:13" ht="15" customHeight="1" x14ac:dyDescent="0.25">
      <c r="C130" s="10"/>
      <c r="L130" s="25"/>
      <c r="M130" s="25"/>
    </row>
    <row r="131" spans="3:13" ht="15" customHeight="1" x14ac:dyDescent="0.25">
      <c r="C131" s="10"/>
      <c r="L131" s="25"/>
      <c r="M131" s="25"/>
    </row>
    <row r="132" spans="3:13" ht="15" customHeight="1" x14ac:dyDescent="0.25">
      <c r="C132" s="10"/>
      <c r="L132" s="25"/>
      <c r="M132" s="25"/>
    </row>
    <row r="133" spans="3:13" ht="15" customHeight="1" x14ac:dyDescent="0.25">
      <c r="C133" s="10"/>
      <c r="L133" s="25"/>
      <c r="M133" s="25"/>
    </row>
    <row r="134" spans="3:13" ht="15" customHeight="1" x14ac:dyDescent="0.25">
      <c r="C134" s="10"/>
      <c r="L134" s="25"/>
      <c r="M134" s="25"/>
    </row>
    <row r="135" spans="3:13" ht="15" customHeight="1" x14ac:dyDescent="0.25">
      <c r="C135" s="10"/>
      <c r="L135" s="25"/>
      <c r="M135" s="25"/>
    </row>
    <row r="136" spans="3:13" ht="15" customHeight="1" x14ac:dyDescent="0.25">
      <c r="C136" s="10"/>
      <c r="L136" s="25"/>
      <c r="M136" s="25"/>
    </row>
    <row r="137" spans="3:13" ht="15" customHeight="1" x14ac:dyDescent="0.25">
      <c r="C137" s="10"/>
      <c r="L137" s="25"/>
      <c r="M137" s="25"/>
    </row>
    <row r="138" spans="3:13" ht="15" customHeight="1" x14ac:dyDescent="0.25">
      <c r="C138" s="10"/>
      <c r="L138" s="25"/>
      <c r="M138" s="25"/>
    </row>
    <row r="139" spans="3:13" ht="15" customHeight="1" x14ac:dyDescent="0.25">
      <c r="C139" s="10"/>
      <c r="L139" s="25"/>
      <c r="M139" s="25"/>
    </row>
    <row r="140" spans="3:13" ht="15" customHeight="1" x14ac:dyDescent="0.25">
      <c r="C140" s="10"/>
      <c r="L140" s="25"/>
      <c r="M140" s="25"/>
    </row>
    <row r="141" spans="3:13" ht="15" customHeight="1" x14ac:dyDescent="0.25">
      <c r="C141" s="10"/>
      <c r="L141" s="25"/>
      <c r="M141" s="25"/>
    </row>
    <row r="142" spans="3:13" ht="15" customHeight="1" x14ac:dyDescent="0.25">
      <c r="C142" s="10"/>
      <c r="L142" s="25"/>
      <c r="M142" s="25"/>
    </row>
    <row r="143" spans="3:13" ht="15" customHeight="1" x14ac:dyDescent="0.25">
      <c r="C143" s="10"/>
      <c r="L143" s="25"/>
      <c r="M143" s="25"/>
    </row>
    <row r="144" spans="3:13" ht="15" customHeight="1" x14ac:dyDescent="0.25">
      <c r="C144" s="10"/>
      <c r="L144" s="25"/>
      <c r="M144" s="25"/>
    </row>
    <row r="145" spans="3:13" ht="15" customHeight="1" x14ac:dyDescent="0.25">
      <c r="C145" s="10"/>
      <c r="L145" s="25"/>
      <c r="M145" s="25"/>
    </row>
    <row r="146" spans="3:13" ht="15" customHeight="1" x14ac:dyDescent="0.25">
      <c r="C146" s="10"/>
      <c r="L146" s="25"/>
      <c r="M146" s="25"/>
    </row>
    <row r="147" spans="3:13" ht="15" customHeight="1" x14ac:dyDescent="0.25">
      <c r="C147" s="10"/>
      <c r="L147" s="25"/>
      <c r="M147" s="25"/>
    </row>
    <row r="148" spans="3:13" ht="15" customHeight="1" x14ac:dyDescent="0.25">
      <c r="C148" s="10"/>
      <c r="L148" s="25"/>
      <c r="M148" s="25"/>
    </row>
    <row r="149" spans="3:13" ht="15" customHeight="1" x14ac:dyDescent="0.25">
      <c r="C149" s="10"/>
      <c r="L149" s="25"/>
      <c r="M149" s="25"/>
    </row>
    <row r="150" spans="3:13" ht="15" customHeight="1" x14ac:dyDescent="0.25">
      <c r="C150" s="10"/>
      <c r="L150" s="25"/>
      <c r="M150" s="25"/>
    </row>
    <row r="151" spans="3:13" ht="15" customHeight="1" x14ac:dyDescent="0.25">
      <c r="C151" s="10"/>
      <c r="L151" s="25"/>
      <c r="M151" s="25"/>
    </row>
    <row r="152" spans="3:13" ht="15" customHeight="1" x14ac:dyDescent="0.25">
      <c r="C152" s="10"/>
      <c r="L152" s="25"/>
      <c r="M152" s="25"/>
    </row>
    <row r="153" spans="3:13" ht="15" customHeight="1" x14ac:dyDescent="0.25">
      <c r="C153" s="10"/>
      <c r="L153" s="25"/>
      <c r="M153" s="25"/>
    </row>
    <row r="154" spans="3:13" ht="15" customHeight="1" x14ac:dyDescent="0.25">
      <c r="C154" s="10"/>
      <c r="L154" s="25"/>
      <c r="M154" s="25"/>
    </row>
    <row r="155" spans="3:13" ht="15" customHeight="1" x14ac:dyDescent="0.25">
      <c r="C155" s="10"/>
      <c r="L155" s="25"/>
      <c r="M155" s="25"/>
    </row>
    <row r="156" spans="3:13" ht="15" customHeight="1" x14ac:dyDescent="0.25">
      <c r="C156" s="10"/>
      <c r="L156" s="25"/>
      <c r="M156" s="25"/>
    </row>
    <row r="157" spans="3:13" ht="15" customHeight="1" x14ac:dyDescent="0.25">
      <c r="C157" s="10"/>
      <c r="L157" s="25"/>
      <c r="M157" s="25"/>
    </row>
    <row r="158" spans="3:13" ht="15" customHeight="1" x14ac:dyDescent="0.25">
      <c r="C158" s="10"/>
      <c r="L158" s="25"/>
      <c r="M158" s="25"/>
    </row>
    <row r="159" spans="3:13" ht="15" customHeight="1" x14ac:dyDescent="0.25">
      <c r="C159" s="10"/>
      <c r="L159" s="25"/>
      <c r="M159" s="25"/>
    </row>
    <row r="160" spans="3:13" ht="15" customHeight="1" x14ac:dyDescent="0.25">
      <c r="C160" s="10"/>
      <c r="L160" s="25"/>
      <c r="M160" s="25"/>
    </row>
    <row r="161" spans="3:13" ht="15" customHeight="1" x14ac:dyDescent="0.25">
      <c r="C161" s="10"/>
      <c r="L161" s="25"/>
      <c r="M161" s="25"/>
    </row>
    <row r="162" spans="3:13" ht="15" customHeight="1" x14ac:dyDescent="0.25">
      <c r="C162" s="10"/>
      <c r="L162" s="25"/>
      <c r="M162" s="25"/>
    </row>
    <row r="163" spans="3:13" ht="15" customHeight="1" x14ac:dyDescent="0.25">
      <c r="C163" s="10"/>
      <c r="L163" s="25"/>
      <c r="M163" s="25"/>
    </row>
    <row r="164" spans="3:13" ht="15" customHeight="1" x14ac:dyDescent="0.25">
      <c r="C164" s="10"/>
      <c r="L164" s="25"/>
      <c r="M164" s="25"/>
    </row>
    <row r="165" spans="3:13" ht="15" customHeight="1" x14ac:dyDescent="0.25">
      <c r="C165" s="10"/>
      <c r="L165" s="25"/>
      <c r="M165" s="25"/>
    </row>
    <row r="166" spans="3:13" ht="15" customHeight="1" x14ac:dyDescent="0.25">
      <c r="C166" s="10"/>
      <c r="L166" s="25"/>
      <c r="M166" s="25"/>
    </row>
    <row r="167" spans="3:13" ht="15" customHeight="1" x14ac:dyDescent="0.25">
      <c r="C167" s="10"/>
      <c r="L167" s="25"/>
      <c r="M167" s="25"/>
    </row>
    <row r="168" spans="3:13" ht="15" customHeight="1" x14ac:dyDescent="0.25">
      <c r="C168" s="10"/>
      <c r="L168" s="25"/>
      <c r="M168" s="25"/>
    </row>
    <row r="169" spans="3:13" ht="15" customHeight="1" x14ac:dyDescent="0.25">
      <c r="C169" s="10"/>
      <c r="L169" s="25"/>
      <c r="M169" s="25"/>
    </row>
    <row r="170" spans="3:13" ht="15" customHeight="1" x14ac:dyDescent="0.25">
      <c r="C170" s="10"/>
      <c r="L170" s="25"/>
      <c r="M170" s="25"/>
    </row>
    <row r="171" spans="3:13" ht="15" customHeight="1" x14ac:dyDescent="0.25">
      <c r="C171" s="10"/>
      <c r="L171" s="25"/>
      <c r="M171" s="25"/>
    </row>
    <row r="172" spans="3:13" ht="15" customHeight="1" x14ac:dyDescent="0.25">
      <c r="C172" s="10"/>
      <c r="L172" s="25"/>
      <c r="M172" s="25"/>
    </row>
    <row r="173" spans="3:13" ht="15" customHeight="1" x14ac:dyDescent="0.25">
      <c r="C173" s="10"/>
      <c r="L173" s="25"/>
      <c r="M173" s="25"/>
    </row>
    <row r="174" spans="3:13" ht="15" customHeight="1" x14ac:dyDescent="0.25">
      <c r="C174" s="10"/>
      <c r="L174" s="25"/>
      <c r="M174" s="25"/>
    </row>
    <row r="175" spans="3:13" ht="15" customHeight="1" x14ac:dyDescent="0.25">
      <c r="C175" s="10"/>
      <c r="L175" s="25"/>
      <c r="M175" s="25"/>
    </row>
    <row r="176" spans="3:13" ht="15" customHeight="1" x14ac:dyDescent="0.25">
      <c r="C176" s="10"/>
      <c r="L176" s="25"/>
      <c r="M176" s="25"/>
    </row>
    <row r="177" spans="3:13" ht="15" customHeight="1" x14ac:dyDescent="0.25">
      <c r="C177" s="10"/>
      <c r="L177" s="25"/>
      <c r="M177" s="25"/>
    </row>
    <row r="178" spans="3:13" ht="15" customHeight="1" x14ac:dyDescent="0.25">
      <c r="C178" s="10"/>
      <c r="L178" s="25"/>
      <c r="M178" s="25"/>
    </row>
    <row r="179" spans="3:13" ht="15" customHeight="1" x14ac:dyDescent="0.25">
      <c r="C179" s="10"/>
      <c r="L179" s="25"/>
      <c r="M179" s="25"/>
    </row>
    <row r="180" spans="3:13" ht="15" customHeight="1" x14ac:dyDescent="0.25">
      <c r="C180" s="10"/>
      <c r="L180" s="25"/>
      <c r="M180" s="25"/>
    </row>
    <row r="181" spans="3:13" ht="15" customHeight="1" x14ac:dyDescent="0.25">
      <c r="C181" s="10"/>
      <c r="L181" s="25"/>
      <c r="M181" s="25"/>
    </row>
    <row r="182" spans="3:13" ht="15" customHeight="1" x14ac:dyDescent="0.25">
      <c r="C182" s="10"/>
      <c r="L182" s="25"/>
      <c r="M182" s="25"/>
    </row>
    <row r="183" spans="3:13" ht="15" customHeight="1" x14ac:dyDescent="0.25">
      <c r="C183" s="10"/>
      <c r="L183" s="25"/>
      <c r="M183" s="25"/>
    </row>
    <row r="184" spans="3:13" ht="15" customHeight="1" x14ac:dyDescent="0.25">
      <c r="C184" s="10"/>
      <c r="L184" s="25"/>
      <c r="M184" s="25"/>
    </row>
    <row r="185" spans="3:13" ht="15" customHeight="1" x14ac:dyDescent="0.25">
      <c r="C185" s="10"/>
      <c r="L185" s="25"/>
      <c r="M185" s="25"/>
    </row>
    <row r="186" spans="3:13" ht="15" customHeight="1" x14ac:dyDescent="0.25">
      <c r="C186" s="10"/>
      <c r="L186" s="25"/>
      <c r="M186" s="25"/>
    </row>
    <row r="187" spans="3:13" ht="15" customHeight="1" x14ac:dyDescent="0.25">
      <c r="C187" s="10"/>
      <c r="L187" s="25"/>
      <c r="M187" s="25"/>
    </row>
    <row r="188" spans="3:13" ht="15" customHeight="1" x14ac:dyDescent="0.25">
      <c r="C188" s="10"/>
      <c r="L188" s="25"/>
      <c r="M188" s="25"/>
    </row>
    <row r="189" spans="3:13" ht="15" customHeight="1" x14ac:dyDescent="0.25">
      <c r="C189" s="10"/>
      <c r="L189" s="25"/>
      <c r="M189" s="25"/>
    </row>
    <row r="190" spans="3:13" ht="15" customHeight="1" x14ac:dyDescent="0.25">
      <c r="C190" s="10"/>
      <c r="L190" s="25"/>
      <c r="M190" s="25"/>
    </row>
    <row r="191" spans="3:13" ht="15" customHeight="1" x14ac:dyDescent="0.25">
      <c r="C191" s="10"/>
      <c r="L191" s="25"/>
      <c r="M191" s="25"/>
    </row>
    <row r="192" spans="3:13" ht="15" customHeight="1" x14ac:dyDescent="0.25">
      <c r="C192" s="10"/>
      <c r="L192" s="25"/>
      <c r="M192" s="25"/>
    </row>
    <row r="193" spans="3:13" ht="15" customHeight="1" x14ac:dyDescent="0.25">
      <c r="C193" s="10"/>
      <c r="L193" s="25"/>
      <c r="M193" s="25"/>
    </row>
    <row r="194" spans="3:13" ht="15" customHeight="1" x14ac:dyDescent="0.25">
      <c r="C194" s="10"/>
      <c r="L194" s="25"/>
      <c r="M194" s="25"/>
    </row>
    <row r="195" spans="3:13" ht="15" customHeight="1" x14ac:dyDescent="0.25">
      <c r="C195" s="10"/>
      <c r="L195" s="25"/>
      <c r="M195" s="25"/>
    </row>
    <row r="196" spans="3:13" ht="15" customHeight="1" x14ac:dyDescent="0.25">
      <c r="C196" s="10"/>
      <c r="L196" s="25"/>
      <c r="M196" s="25"/>
    </row>
    <row r="197" spans="3:13" ht="15" customHeight="1" x14ac:dyDescent="0.25">
      <c r="C197" s="10"/>
      <c r="L197" s="25"/>
      <c r="M197" s="25"/>
    </row>
    <row r="198" spans="3:13" ht="15" customHeight="1" x14ac:dyDescent="0.25">
      <c r="C198" s="10"/>
      <c r="L198" s="25"/>
      <c r="M198" s="25"/>
    </row>
    <row r="199" spans="3:13" ht="15" customHeight="1" x14ac:dyDescent="0.25">
      <c r="C199" s="10"/>
      <c r="L199" s="25"/>
      <c r="M199" s="25"/>
    </row>
    <row r="200" spans="3:13" ht="15" customHeight="1" x14ac:dyDescent="0.25">
      <c r="C200" s="10"/>
      <c r="L200" s="25"/>
      <c r="M200" s="25"/>
    </row>
    <row r="201" spans="3:13" ht="15" customHeight="1" x14ac:dyDescent="0.25">
      <c r="C201" s="10"/>
      <c r="L201" s="25"/>
      <c r="M201" s="25"/>
    </row>
    <row r="202" spans="3:13" ht="15" customHeight="1" x14ac:dyDescent="0.25">
      <c r="C202" s="10"/>
      <c r="L202" s="25"/>
      <c r="M202" s="25"/>
    </row>
    <row r="203" spans="3:13" ht="15" customHeight="1" x14ac:dyDescent="0.25">
      <c r="C203" s="10"/>
      <c r="L203" s="25"/>
      <c r="M203" s="25"/>
    </row>
    <row r="204" spans="3:13" ht="15" customHeight="1" x14ac:dyDescent="0.25">
      <c r="C204" s="10"/>
      <c r="L204" s="25"/>
      <c r="M204" s="25"/>
    </row>
    <row r="205" spans="3:13" ht="15" customHeight="1" x14ac:dyDescent="0.25">
      <c r="C205" s="10"/>
      <c r="L205" s="25"/>
      <c r="M205" s="25"/>
    </row>
    <row r="206" spans="3:13" ht="15" customHeight="1" x14ac:dyDescent="0.25">
      <c r="C206" s="10"/>
      <c r="L206" s="25"/>
      <c r="M206" s="25"/>
    </row>
    <row r="207" spans="3:13" ht="15" customHeight="1" x14ac:dyDescent="0.25">
      <c r="C207" s="10"/>
      <c r="L207" s="25"/>
      <c r="M207" s="25"/>
    </row>
    <row r="208" spans="3:13" ht="15" customHeight="1" x14ac:dyDescent="0.25">
      <c r="C208" s="10"/>
      <c r="L208" s="25"/>
      <c r="M208" s="25"/>
    </row>
    <row r="209" spans="3:13" ht="15" customHeight="1" x14ac:dyDescent="0.25">
      <c r="C209" s="10"/>
      <c r="L209" s="25"/>
      <c r="M209" s="25"/>
    </row>
    <row r="210" spans="3:13" ht="15" customHeight="1" x14ac:dyDescent="0.25">
      <c r="C210" s="10"/>
      <c r="L210" s="25"/>
      <c r="M210" s="25"/>
    </row>
    <row r="211" spans="3:13" ht="15" customHeight="1" x14ac:dyDescent="0.25">
      <c r="C211" s="10"/>
      <c r="L211" s="25"/>
      <c r="M211" s="25"/>
    </row>
    <row r="212" spans="3:13" ht="15" customHeight="1" x14ac:dyDescent="0.25">
      <c r="C212" s="10"/>
      <c r="L212" s="25"/>
      <c r="M212" s="25"/>
    </row>
    <row r="213" spans="3:13" ht="15" customHeight="1" x14ac:dyDescent="0.25">
      <c r="C213" s="10"/>
      <c r="L213" s="25"/>
      <c r="M213" s="25"/>
    </row>
    <row r="214" spans="3:13" ht="15" customHeight="1" x14ac:dyDescent="0.25">
      <c r="C214" s="10"/>
      <c r="L214" s="25"/>
      <c r="M214" s="25"/>
    </row>
    <row r="215" spans="3:13" ht="15" customHeight="1" x14ac:dyDescent="0.25">
      <c r="C215" s="10"/>
      <c r="L215" s="25"/>
      <c r="M215" s="25"/>
    </row>
    <row r="216" spans="3:13" ht="15" customHeight="1" x14ac:dyDescent="0.25">
      <c r="C216" s="10"/>
      <c r="L216" s="25"/>
      <c r="M216" s="25"/>
    </row>
    <row r="217" spans="3:13" ht="15" customHeight="1" x14ac:dyDescent="0.25">
      <c r="C217" s="10"/>
      <c r="L217" s="25"/>
      <c r="M217" s="25"/>
    </row>
    <row r="218" spans="3:13" ht="15" customHeight="1" x14ac:dyDescent="0.25">
      <c r="C218" s="10"/>
      <c r="L218" s="25"/>
      <c r="M218" s="25"/>
    </row>
    <row r="219" spans="3:13" ht="15" customHeight="1" x14ac:dyDescent="0.25">
      <c r="C219" s="10"/>
      <c r="L219" s="25"/>
      <c r="M219" s="25"/>
    </row>
    <row r="220" spans="3:13" ht="15" customHeight="1" x14ac:dyDescent="0.25">
      <c r="C220" s="10"/>
      <c r="L220" s="25"/>
      <c r="M220" s="25"/>
    </row>
    <row r="221" spans="3:13" ht="15" customHeight="1" x14ac:dyDescent="0.25">
      <c r="C221" s="10"/>
      <c r="L221" s="25"/>
      <c r="M221" s="25"/>
    </row>
    <row r="222" spans="3:13" ht="15" customHeight="1" x14ac:dyDescent="0.25">
      <c r="C222" s="10"/>
      <c r="L222" s="25"/>
      <c r="M222" s="25"/>
    </row>
    <row r="223" spans="3:13" ht="15" customHeight="1" x14ac:dyDescent="0.25">
      <c r="C223" s="10"/>
      <c r="L223" s="25"/>
      <c r="M223" s="25"/>
    </row>
    <row r="224" spans="3:13" ht="15" customHeight="1" x14ac:dyDescent="0.25">
      <c r="C224" s="10"/>
      <c r="L224" s="25"/>
      <c r="M224" s="25"/>
    </row>
    <row r="225" spans="3:13" ht="15" customHeight="1" x14ac:dyDescent="0.25">
      <c r="C225" s="10"/>
      <c r="L225" s="25"/>
      <c r="M225" s="25"/>
    </row>
    <row r="226" spans="3:13" ht="15" customHeight="1" x14ac:dyDescent="0.25">
      <c r="C226" s="10"/>
      <c r="L226" s="25"/>
      <c r="M226" s="25"/>
    </row>
    <row r="227" spans="3:13" ht="15" customHeight="1" x14ac:dyDescent="0.25">
      <c r="C227" s="10"/>
      <c r="L227" s="25"/>
      <c r="M227" s="25"/>
    </row>
    <row r="228" spans="3:13" ht="15" customHeight="1" x14ac:dyDescent="0.25">
      <c r="C228" s="10"/>
      <c r="L228" s="25"/>
      <c r="M228" s="25"/>
    </row>
    <row r="229" spans="3:13" ht="15" customHeight="1" x14ac:dyDescent="0.25">
      <c r="C229" s="10"/>
      <c r="L229" s="25"/>
      <c r="M229" s="25"/>
    </row>
    <row r="230" spans="3:13" ht="15" customHeight="1" x14ac:dyDescent="0.25">
      <c r="C230" s="10"/>
      <c r="L230" s="25"/>
      <c r="M230" s="25"/>
    </row>
    <row r="231" spans="3:13" ht="15" customHeight="1" x14ac:dyDescent="0.25">
      <c r="C231" s="10"/>
      <c r="L231" s="25"/>
      <c r="M231" s="25"/>
    </row>
    <row r="232" spans="3:13" ht="15" customHeight="1" x14ac:dyDescent="0.25">
      <c r="C232" s="10"/>
      <c r="L232" s="25"/>
      <c r="M232" s="25"/>
    </row>
    <row r="233" spans="3:13" ht="15" customHeight="1" x14ac:dyDescent="0.25">
      <c r="C233" s="10"/>
      <c r="L233" s="25"/>
      <c r="M233" s="25"/>
    </row>
    <row r="234" spans="3:13" ht="15" customHeight="1" x14ac:dyDescent="0.25">
      <c r="C234" s="10"/>
      <c r="L234" s="25"/>
      <c r="M234" s="25"/>
    </row>
    <row r="235" spans="3:13" ht="15" customHeight="1" x14ac:dyDescent="0.25">
      <c r="C235" s="10"/>
      <c r="L235" s="25"/>
      <c r="M235" s="25"/>
    </row>
    <row r="236" spans="3:13" ht="15" customHeight="1" x14ac:dyDescent="0.25">
      <c r="C236" s="10"/>
      <c r="L236" s="25"/>
      <c r="M236" s="25"/>
    </row>
    <row r="237" spans="3:13" ht="15" customHeight="1" x14ac:dyDescent="0.25">
      <c r="C237" s="10"/>
      <c r="L237" s="25"/>
      <c r="M237" s="25"/>
    </row>
    <row r="238" spans="3:13" ht="15" customHeight="1" x14ac:dyDescent="0.25">
      <c r="C238" s="10"/>
      <c r="L238" s="25"/>
      <c r="M238" s="25"/>
    </row>
    <row r="239" spans="3:13" ht="15" customHeight="1" x14ac:dyDescent="0.25">
      <c r="C239" s="10"/>
      <c r="L239" s="25"/>
      <c r="M239" s="25"/>
    </row>
    <row r="240" spans="3:13" ht="15" customHeight="1" x14ac:dyDescent="0.25">
      <c r="C240" s="10"/>
      <c r="L240" s="25"/>
      <c r="M240" s="25"/>
    </row>
    <row r="241" spans="3:13" ht="15" customHeight="1" x14ac:dyDescent="0.25">
      <c r="C241" s="10"/>
      <c r="L241" s="25"/>
      <c r="M241" s="25"/>
    </row>
    <row r="242" spans="3:13" ht="15" customHeight="1" x14ac:dyDescent="0.25">
      <c r="C242" s="10"/>
      <c r="L242" s="25"/>
      <c r="M242" s="25"/>
    </row>
    <row r="243" spans="3:13" ht="15" customHeight="1" x14ac:dyDescent="0.25">
      <c r="C243" s="10"/>
      <c r="L243" s="25"/>
      <c r="M243" s="25"/>
    </row>
    <row r="244" spans="3:13" ht="15" customHeight="1" x14ac:dyDescent="0.25">
      <c r="C244" s="10"/>
      <c r="L244" s="25"/>
      <c r="M244" s="25"/>
    </row>
    <row r="245" spans="3:13" ht="15" customHeight="1" x14ac:dyDescent="0.25">
      <c r="C245" s="10"/>
      <c r="L245" s="25"/>
      <c r="M245" s="25"/>
    </row>
    <row r="246" spans="3:13" ht="15" customHeight="1" x14ac:dyDescent="0.25">
      <c r="C246" s="10"/>
      <c r="L246" s="25"/>
      <c r="M246" s="25"/>
    </row>
    <row r="247" spans="3:13" ht="15" customHeight="1" x14ac:dyDescent="0.25">
      <c r="C247" s="10"/>
      <c r="L247" s="25"/>
      <c r="M247" s="25"/>
    </row>
    <row r="248" spans="3:13" ht="15" customHeight="1" x14ac:dyDescent="0.25">
      <c r="C248" s="10"/>
      <c r="L248" s="25"/>
      <c r="M248" s="25"/>
    </row>
    <row r="249" spans="3:13" ht="15" customHeight="1" x14ac:dyDescent="0.25">
      <c r="C249" s="10"/>
      <c r="L249" s="25"/>
      <c r="M249" s="25"/>
    </row>
    <row r="250" spans="3:13" ht="15" customHeight="1" x14ac:dyDescent="0.25">
      <c r="C250" s="10"/>
      <c r="L250" s="25"/>
      <c r="M250" s="25"/>
    </row>
    <row r="251" spans="3:13" ht="15" customHeight="1" x14ac:dyDescent="0.25">
      <c r="C251" s="10"/>
      <c r="L251" s="25"/>
      <c r="M251" s="25"/>
    </row>
    <row r="252" spans="3:13" ht="15" customHeight="1" x14ac:dyDescent="0.25">
      <c r="C252" s="10"/>
      <c r="L252" s="25"/>
      <c r="M252" s="25"/>
    </row>
    <row r="253" spans="3:13" ht="15" customHeight="1" x14ac:dyDescent="0.25">
      <c r="C253" s="10"/>
      <c r="L253" s="25"/>
      <c r="M253" s="25"/>
    </row>
    <row r="254" spans="3:13" ht="15" customHeight="1" x14ac:dyDescent="0.25">
      <c r="C254" s="10"/>
      <c r="L254" s="25"/>
      <c r="M254" s="25"/>
    </row>
    <row r="255" spans="3:13" ht="15" customHeight="1" x14ac:dyDescent="0.25">
      <c r="C255" s="10"/>
      <c r="L255" s="25"/>
      <c r="M255" s="25"/>
    </row>
    <row r="256" spans="3:13" ht="15" customHeight="1" x14ac:dyDescent="0.25">
      <c r="C256" s="10"/>
      <c r="L256" s="25"/>
      <c r="M256" s="25"/>
    </row>
    <row r="257" spans="3:13" ht="15" customHeight="1" x14ac:dyDescent="0.25">
      <c r="C257" s="10"/>
      <c r="L257" s="25"/>
      <c r="M257" s="25"/>
    </row>
    <row r="258" spans="3:13" ht="15" customHeight="1" x14ac:dyDescent="0.25">
      <c r="C258" s="10"/>
      <c r="L258" s="25"/>
      <c r="M258" s="25"/>
    </row>
    <row r="259" spans="3:13" ht="15" customHeight="1" x14ac:dyDescent="0.25">
      <c r="C259" s="10"/>
      <c r="L259" s="25"/>
      <c r="M259" s="25"/>
    </row>
    <row r="260" spans="3:13" ht="15" customHeight="1" x14ac:dyDescent="0.25">
      <c r="C260" s="10"/>
      <c r="L260" s="25"/>
      <c r="M260" s="25"/>
    </row>
    <row r="261" spans="3:13" ht="15" customHeight="1" x14ac:dyDescent="0.25">
      <c r="C261" s="10"/>
      <c r="L261" s="25"/>
      <c r="M261" s="25"/>
    </row>
    <row r="262" spans="3:13" ht="15" customHeight="1" x14ac:dyDescent="0.25">
      <c r="C262" s="10"/>
      <c r="L262" s="25"/>
      <c r="M262" s="25"/>
    </row>
    <row r="263" spans="3:13" ht="15" customHeight="1" x14ac:dyDescent="0.25">
      <c r="C263" s="10"/>
      <c r="L263" s="25"/>
      <c r="M263" s="25"/>
    </row>
    <row r="264" spans="3:13" ht="15" customHeight="1" x14ac:dyDescent="0.25">
      <c r="C264" s="10"/>
      <c r="L264" s="25"/>
      <c r="M264" s="25"/>
    </row>
    <row r="265" spans="3:13" ht="15" customHeight="1" x14ac:dyDescent="0.25">
      <c r="C265" s="10"/>
      <c r="L265" s="25"/>
      <c r="M265" s="25"/>
    </row>
    <row r="266" spans="3:13" ht="15" customHeight="1" x14ac:dyDescent="0.25">
      <c r="C266" s="10"/>
      <c r="L266" s="25"/>
      <c r="M266" s="25"/>
    </row>
    <row r="267" spans="3:13" ht="15" customHeight="1" x14ac:dyDescent="0.25">
      <c r="C267" s="10"/>
      <c r="L267" s="25"/>
      <c r="M267" s="25"/>
    </row>
    <row r="268" spans="3:13" ht="15" customHeight="1" x14ac:dyDescent="0.25">
      <c r="C268" s="10"/>
      <c r="L268" s="25"/>
      <c r="M268" s="25"/>
    </row>
    <row r="269" spans="3:13" ht="15" customHeight="1" x14ac:dyDescent="0.25">
      <c r="C269" s="10"/>
      <c r="L269" s="25"/>
      <c r="M269" s="25"/>
    </row>
    <row r="270" spans="3:13" ht="15" customHeight="1" x14ac:dyDescent="0.25">
      <c r="C270" s="10"/>
      <c r="L270" s="25"/>
      <c r="M270" s="25"/>
    </row>
    <row r="271" spans="3:13" ht="15" customHeight="1" x14ac:dyDescent="0.25">
      <c r="C271" s="10"/>
      <c r="L271" s="25"/>
      <c r="M271" s="25"/>
    </row>
    <row r="272" spans="3:13" ht="15" customHeight="1" x14ac:dyDescent="0.25">
      <c r="C272" s="10"/>
      <c r="L272" s="25"/>
      <c r="M272" s="25"/>
    </row>
    <row r="273" spans="3:13" ht="15" customHeight="1" x14ac:dyDescent="0.25">
      <c r="C273" s="10"/>
      <c r="L273" s="25"/>
      <c r="M273" s="25"/>
    </row>
    <row r="274" spans="3:13" ht="15" customHeight="1" x14ac:dyDescent="0.25">
      <c r="C274" s="10"/>
      <c r="L274" s="25"/>
      <c r="M274" s="25"/>
    </row>
    <row r="275" spans="3:13" ht="15" customHeight="1" x14ac:dyDescent="0.25">
      <c r="C275" s="10"/>
      <c r="L275" s="25"/>
      <c r="M275" s="25"/>
    </row>
    <row r="276" spans="3:13" ht="15" customHeight="1" x14ac:dyDescent="0.25">
      <c r="C276" s="10"/>
      <c r="L276" s="25"/>
      <c r="M276" s="25"/>
    </row>
    <row r="277" spans="3:13" ht="15" customHeight="1" x14ac:dyDescent="0.25">
      <c r="C277" s="10"/>
      <c r="L277" s="25"/>
      <c r="M277" s="25"/>
    </row>
    <row r="278" spans="3:13" ht="15" customHeight="1" x14ac:dyDescent="0.25">
      <c r="C278" s="10"/>
      <c r="L278" s="25"/>
      <c r="M278" s="25"/>
    </row>
    <row r="279" spans="3:13" ht="15" customHeight="1" x14ac:dyDescent="0.25">
      <c r="C279" s="10"/>
      <c r="L279" s="25"/>
      <c r="M279" s="25"/>
    </row>
    <row r="280" spans="3:13" ht="15" customHeight="1" x14ac:dyDescent="0.25">
      <c r="C280" s="10"/>
      <c r="L280" s="25"/>
      <c r="M280" s="25"/>
    </row>
    <row r="281" spans="3:13" ht="15" customHeight="1" x14ac:dyDescent="0.25">
      <c r="C281" s="10"/>
      <c r="L281" s="25"/>
      <c r="M281" s="25"/>
    </row>
    <row r="282" spans="3:13" ht="15" customHeight="1" x14ac:dyDescent="0.25">
      <c r="C282" s="10"/>
      <c r="L282" s="25"/>
      <c r="M282" s="25"/>
    </row>
    <row r="283" spans="3:13" ht="15" customHeight="1" x14ac:dyDescent="0.25">
      <c r="C283" s="10"/>
      <c r="L283" s="25"/>
      <c r="M283" s="25"/>
    </row>
    <row r="284" spans="3:13" ht="15" customHeight="1" x14ac:dyDescent="0.25">
      <c r="C284" s="10"/>
      <c r="L284" s="25"/>
      <c r="M284" s="25"/>
    </row>
    <row r="285" spans="3:13" ht="15" customHeight="1" x14ac:dyDescent="0.25">
      <c r="C285" s="10"/>
      <c r="L285" s="25"/>
      <c r="M285" s="25"/>
    </row>
    <row r="286" spans="3:13" ht="15" customHeight="1" x14ac:dyDescent="0.25">
      <c r="C286" s="10"/>
      <c r="L286" s="25"/>
      <c r="M286" s="25"/>
    </row>
    <row r="287" spans="3:13" ht="15" customHeight="1" x14ac:dyDescent="0.25">
      <c r="C287" s="10"/>
      <c r="L287" s="25"/>
      <c r="M287" s="25"/>
    </row>
    <row r="288" spans="3:13" ht="15" customHeight="1" x14ac:dyDescent="0.25">
      <c r="C288" s="10"/>
      <c r="L288" s="25"/>
      <c r="M288" s="25"/>
    </row>
    <row r="289" spans="3:13" ht="15" customHeight="1" x14ac:dyDescent="0.25">
      <c r="C289" s="10"/>
      <c r="L289" s="25"/>
      <c r="M289" s="25"/>
    </row>
    <row r="290" spans="3:13" ht="15" customHeight="1" x14ac:dyDescent="0.25">
      <c r="C290" s="10"/>
      <c r="L290" s="25"/>
      <c r="M290" s="25"/>
    </row>
    <row r="291" spans="3:13" ht="15" customHeight="1" x14ac:dyDescent="0.25">
      <c r="C291" s="10"/>
      <c r="L291" s="25"/>
      <c r="M291" s="25"/>
    </row>
    <row r="292" spans="3:13" ht="15" customHeight="1" x14ac:dyDescent="0.25">
      <c r="C292" s="10"/>
      <c r="L292" s="25"/>
      <c r="M292" s="25"/>
    </row>
    <row r="293" spans="3:13" ht="15" customHeight="1" x14ac:dyDescent="0.25">
      <c r="C293" s="10"/>
      <c r="L293" s="25"/>
      <c r="M293" s="25"/>
    </row>
    <row r="294" spans="3:13" ht="15" customHeight="1" x14ac:dyDescent="0.25">
      <c r="C294" s="10"/>
      <c r="L294" s="25"/>
      <c r="M294" s="25"/>
    </row>
    <row r="295" spans="3:13" ht="15" customHeight="1" x14ac:dyDescent="0.25">
      <c r="C295" s="10"/>
    </row>
    <row r="296" spans="3:13" ht="15" customHeight="1" x14ac:dyDescent="0.25">
      <c r="C296" s="10"/>
    </row>
    <row r="297" spans="3:13" ht="15" customHeight="1" x14ac:dyDescent="0.25">
      <c r="C297" s="10"/>
    </row>
    <row r="298" spans="3:13" ht="15" customHeight="1" x14ac:dyDescent="0.25">
      <c r="C298" s="10"/>
    </row>
    <row r="299" spans="3:13" ht="15" customHeight="1" x14ac:dyDescent="0.25">
      <c r="C299" s="10"/>
    </row>
    <row r="300" spans="3:13" ht="15" customHeight="1" x14ac:dyDescent="0.25">
      <c r="C300" s="10"/>
    </row>
    <row r="301" spans="3:13" ht="15" customHeight="1" x14ac:dyDescent="0.25">
      <c r="C301" s="10"/>
    </row>
    <row r="302" spans="3:13" ht="15" customHeight="1" x14ac:dyDescent="0.25">
      <c r="C302" s="10"/>
    </row>
    <row r="303" spans="3:13" ht="15" customHeight="1" x14ac:dyDescent="0.25">
      <c r="C303" s="10"/>
    </row>
    <row r="304" spans="3:13" ht="15" customHeight="1" x14ac:dyDescent="0.25">
      <c r="C304" s="10"/>
    </row>
    <row r="305" spans="3:3" ht="15" customHeight="1" x14ac:dyDescent="0.25">
      <c r="C305" s="10"/>
    </row>
    <row r="306" spans="3:3" ht="15" customHeight="1" x14ac:dyDescent="0.25">
      <c r="C306" s="10"/>
    </row>
    <row r="307" spans="3:3" ht="15" customHeight="1" x14ac:dyDescent="0.25">
      <c r="C307" s="10"/>
    </row>
    <row r="308" spans="3:3" ht="15" customHeight="1" x14ac:dyDescent="0.25">
      <c r="C308" s="10"/>
    </row>
    <row r="309" spans="3:3" ht="15" customHeight="1" x14ac:dyDescent="0.25">
      <c r="C309" s="10"/>
    </row>
    <row r="310" spans="3:3" ht="15" customHeight="1" x14ac:dyDescent="0.25">
      <c r="C310" s="10"/>
    </row>
    <row r="311" spans="3:3" ht="15" customHeight="1" x14ac:dyDescent="0.25">
      <c r="C311" s="10"/>
    </row>
    <row r="312" spans="3:3" ht="15" customHeight="1" x14ac:dyDescent="0.25">
      <c r="C312" s="10"/>
    </row>
    <row r="313" spans="3:3" ht="15" customHeight="1" x14ac:dyDescent="0.25">
      <c r="C313" s="10"/>
    </row>
    <row r="314" spans="3:3" ht="15" customHeight="1" x14ac:dyDescent="0.25">
      <c r="C314" s="10"/>
    </row>
    <row r="315" spans="3:3" ht="15" customHeight="1" x14ac:dyDescent="0.25">
      <c r="C315" s="10"/>
    </row>
    <row r="316" spans="3:3" ht="15" customHeight="1" x14ac:dyDescent="0.25">
      <c r="C316" s="10"/>
    </row>
    <row r="317" spans="3:3" ht="15" customHeight="1" x14ac:dyDescent="0.25">
      <c r="C317" s="10"/>
    </row>
    <row r="318" spans="3:3" ht="15" customHeight="1" x14ac:dyDescent="0.25">
      <c r="C318" s="10"/>
    </row>
    <row r="319" spans="3:3" ht="15" customHeight="1" x14ac:dyDescent="0.25">
      <c r="C319" s="10"/>
    </row>
    <row r="320" spans="3:3" ht="15" customHeight="1" x14ac:dyDescent="0.25">
      <c r="C320" s="10"/>
    </row>
    <row r="321" spans="3:3" ht="15" customHeight="1" x14ac:dyDescent="0.25">
      <c r="C321" s="10"/>
    </row>
    <row r="322" spans="3:3" ht="15" customHeight="1" x14ac:dyDescent="0.25">
      <c r="C322" s="10"/>
    </row>
    <row r="323" spans="3:3" ht="15" customHeight="1" x14ac:dyDescent="0.25">
      <c r="C323" s="10"/>
    </row>
    <row r="324" spans="3:3" ht="15" customHeight="1" x14ac:dyDescent="0.25">
      <c r="C324" s="10"/>
    </row>
    <row r="325" spans="3:3" ht="15" customHeight="1" x14ac:dyDescent="0.25">
      <c r="C325" s="10"/>
    </row>
    <row r="326" spans="3:3" ht="15" customHeight="1" x14ac:dyDescent="0.25">
      <c r="C326" s="10"/>
    </row>
    <row r="327" spans="3:3" ht="15" customHeight="1" x14ac:dyDescent="0.25">
      <c r="C327" s="10"/>
    </row>
    <row r="328" spans="3:3" ht="15" customHeight="1" x14ac:dyDescent="0.25">
      <c r="C328" s="10"/>
    </row>
    <row r="329" spans="3:3" ht="15" customHeight="1" x14ac:dyDescent="0.25">
      <c r="C329" s="10"/>
    </row>
    <row r="330" spans="3:3" ht="15" customHeight="1" x14ac:dyDescent="0.25">
      <c r="C330" s="10"/>
    </row>
    <row r="331" spans="3:3" ht="15" customHeight="1" x14ac:dyDescent="0.25">
      <c r="C331" s="10"/>
    </row>
    <row r="332" spans="3:3" ht="15" customHeight="1" x14ac:dyDescent="0.25">
      <c r="C332" s="10"/>
    </row>
    <row r="333" spans="3:3" ht="15" customHeight="1" x14ac:dyDescent="0.25">
      <c r="C333" s="10"/>
    </row>
    <row r="334" spans="3:3" ht="15" customHeight="1" x14ac:dyDescent="0.25">
      <c r="C334" s="10"/>
    </row>
    <row r="335" spans="3:3" ht="15" customHeight="1" x14ac:dyDescent="0.25">
      <c r="C335" s="10"/>
    </row>
    <row r="336" spans="3:3" ht="15" customHeight="1" x14ac:dyDescent="0.25">
      <c r="C336" s="10"/>
    </row>
    <row r="337" spans="3:3" ht="15" customHeight="1" x14ac:dyDescent="0.25">
      <c r="C337" s="10"/>
    </row>
    <row r="338" spans="3:3" ht="15" customHeight="1" x14ac:dyDescent="0.25">
      <c r="C338" s="10"/>
    </row>
    <row r="339" spans="3:3" ht="15" customHeight="1" x14ac:dyDescent="0.25">
      <c r="C339" s="10"/>
    </row>
    <row r="340" spans="3:3" ht="15" customHeight="1" x14ac:dyDescent="0.25">
      <c r="C340" s="10"/>
    </row>
    <row r="341" spans="3:3" ht="15" customHeight="1" x14ac:dyDescent="0.25">
      <c r="C341" s="10"/>
    </row>
    <row r="342" spans="3:3" ht="15" customHeight="1" x14ac:dyDescent="0.25">
      <c r="C342" s="10"/>
    </row>
    <row r="343" spans="3:3" ht="15" customHeight="1" x14ac:dyDescent="0.25">
      <c r="C343" s="10"/>
    </row>
    <row r="344" spans="3:3" ht="15" customHeight="1" x14ac:dyDescent="0.25">
      <c r="C344" s="10"/>
    </row>
    <row r="345" spans="3:3" ht="15" customHeight="1" x14ac:dyDescent="0.25">
      <c r="C345" s="10"/>
    </row>
    <row r="346" spans="3:3" ht="15" customHeight="1" x14ac:dyDescent="0.25">
      <c r="C346" s="10"/>
    </row>
    <row r="347" spans="3:3" ht="15" customHeight="1" x14ac:dyDescent="0.25">
      <c r="C347" s="10"/>
    </row>
    <row r="348" spans="3:3" ht="15" customHeight="1" x14ac:dyDescent="0.25">
      <c r="C348" s="10"/>
    </row>
    <row r="349" spans="3:3" ht="15" customHeight="1" x14ac:dyDescent="0.25">
      <c r="C349" s="10"/>
    </row>
    <row r="350" spans="3:3" ht="15" customHeight="1" x14ac:dyDescent="0.25">
      <c r="C350" s="10"/>
    </row>
    <row r="351" spans="3:3" ht="15" customHeight="1" x14ac:dyDescent="0.25">
      <c r="C351" s="10"/>
    </row>
    <row r="352" spans="3:3" ht="15" customHeight="1" x14ac:dyDescent="0.25">
      <c r="C352" s="10"/>
    </row>
    <row r="353" spans="3:3" ht="15" customHeight="1" x14ac:dyDescent="0.25">
      <c r="C353" s="10"/>
    </row>
    <row r="354" spans="3:3" ht="15" customHeight="1" x14ac:dyDescent="0.25">
      <c r="C354" s="10"/>
    </row>
    <row r="355" spans="3:3" ht="15" customHeight="1" x14ac:dyDescent="0.25">
      <c r="C355" s="10"/>
    </row>
    <row r="356" spans="3:3" ht="15" customHeight="1" x14ac:dyDescent="0.25">
      <c r="C356" s="10"/>
    </row>
    <row r="357" spans="3:3" ht="15" customHeight="1" x14ac:dyDescent="0.25">
      <c r="C357" s="10"/>
    </row>
    <row r="358" spans="3:3" ht="15" customHeight="1" x14ac:dyDescent="0.25">
      <c r="C358" s="10"/>
    </row>
    <row r="359" spans="3:3" ht="15" customHeight="1" x14ac:dyDescent="0.25">
      <c r="C359" s="10"/>
    </row>
    <row r="360" spans="3:3" ht="15" customHeight="1" x14ac:dyDescent="0.25">
      <c r="C360" s="10"/>
    </row>
    <row r="361" spans="3:3" ht="15" customHeight="1" x14ac:dyDescent="0.25">
      <c r="C361" s="10"/>
    </row>
    <row r="362" spans="3:3" ht="15" customHeight="1" x14ac:dyDescent="0.25">
      <c r="C362" s="10"/>
    </row>
    <row r="363" spans="3:3" ht="15" customHeight="1" x14ac:dyDescent="0.25">
      <c r="C363" s="10"/>
    </row>
    <row r="364" spans="3:3" ht="15" customHeight="1" x14ac:dyDescent="0.25">
      <c r="C364" s="10"/>
    </row>
    <row r="365" spans="3:3" ht="15" customHeight="1" x14ac:dyDescent="0.25">
      <c r="C365" s="10"/>
    </row>
    <row r="366" spans="3:3" ht="15" customHeight="1" x14ac:dyDescent="0.25">
      <c r="C366" s="10"/>
    </row>
    <row r="367" spans="3:3" ht="15" customHeight="1" x14ac:dyDescent="0.25">
      <c r="C367" s="10"/>
    </row>
    <row r="368" spans="3:3" ht="15" customHeight="1" x14ac:dyDescent="0.25">
      <c r="C368" s="10"/>
    </row>
    <row r="369" spans="3:3" ht="15" customHeight="1" x14ac:dyDescent="0.25">
      <c r="C369" s="10"/>
    </row>
    <row r="370" spans="3:3" ht="15" customHeight="1" x14ac:dyDescent="0.25">
      <c r="C370" s="10"/>
    </row>
    <row r="371" spans="3:3" ht="15" customHeight="1" x14ac:dyDescent="0.25">
      <c r="C371" s="10"/>
    </row>
    <row r="372" spans="3:3" ht="15" customHeight="1" x14ac:dyDescent="0.25">
      <c r="C372" s="10"/>
    </row>
    <row r="373" spans="3:3" ht="15" customHeight="1" x14ac:dyDescent="0.25">
      <c r="C373" s="10"/>
    </row>
    <row r="374" spans="3:3" ht="15" customHeight="1" x14ac:dyDescent="0.25">
      <c r="C374" s="10"/>
    </row>
    <row r="375" spans="3:3" ht="15" customHeight="1" x14ac:dyDescent="0.25">
      <c r="C375" s="10"/>
    </row>
    <row r="376" spans="3:3" ht="15" customHeight="1" x14ac:dyDescent="0.25">
      <c r="C376" s="10"/>
    </row>
    <row r="377" spans="3:3" ht="15" customHeight="1" x14ac:dyDescent="0.25">
      <c r="C377" s="10"/>
    </row>
    <row r="378" spans="3:3" ht="15" customHeight="1" x14ac:dyDescent="0.25">
      <c r="C378" s="10"/>
    </row>
    <row r="379" spans="3:3" ht="15" customHeight="1" x14ac:dyDescent="0.25">
      <c r="C379" s="10"/>
    </row>
    <row r="380" spans="3:3" ht="15" customHeight="1" x14ac:dyDescent="0.25">
      <c r="C380" s="10"/>
    </row>
    <row r="381" spans="3:3" ht="15" customHeight="1" x14ac:dyDescent="0.25">
      <c r="C381" s="10"/>
    </row>
    <row r="382" spans="3:3" ht="15" customHeight="1" x14ac:dyDescent="0.25">
      <c r="C382" s="10"/>
    </row>
    <row r="383" spans="3:3" ht="15" customHeight="1" x14ac:dyDescent="0.25">
      <c r="C383" s="10"/>
    </row>
    <row r="384" spans="3:3" ht="15" customHeight="1" x14ac:dyDescent="0.25">
      <c r="C384" s="10"/>
    </row>
    <row r="385" spans="3:3" ht="15" customHeight="1" x14ac:dyDescent="0.25">
      <c r="C385" s="10"/>
    </row>
    <row r="386" spans="3:3" ht="15" customHeight="1" x14ac:dyDescent="0.25">
      <c r="C386" s="10"/>
    </row>
    <row r="387" spans="3:3" ht="15" customHeight="1" x14ac:dyDescent="0.25">
      <c r="C387" s="10"/>
    </row>
    <row r="388" spans="3:3" ht="15" customHeight="1" x14ac:dyDescent="0.25">
      <c r="C388" s="10"/>
    </row>
    <row r="389" spans="3:3" ht="15" customHeight="1" x14ac:dyDescent="0.25">
      <c r="C389" s="10"/>
    </row>
    <row r="390" spans="3:3" ht="15" customHeight="1" x14ac:dyDescent="0.25">
      <c r="C390" s="10"/>
    </row>
    <row r="391" spans="3:3" ht="15" customHeight="1" x14ac:dyDescent="0.25">
      <c r="C391" s="10"/>
    </row>
    <row r="392" spans="3:3" ht="15" customHeight="1" x14ac:dyDescent="0.25">
      <c r="C392" s="10"/>
    </row>
    <row r="393" spans="3:3" ht="15" customHeight="1" x14ac:dyDescent="0.25">
      <c r="C393" s="10"/>
    </row>
    <row r="394" spans="3:3" ht="15" customHeight="1" x14ac:dyDescent="0.25">
      <c r="C394" s="10"/>
    </row>
    <row r="395" spans="3:3" ht="15" customHeight="1" x14ac:dyDescent="0.25">
      <c r="C395" s="10"/>
    </row>
    <row r="396" spans="3:3" ht="15" customHeight="1" x14ac:dyDescent="0.25">
      <c r="C396" s="10"/>
    </row>
    <row r="397" spans="3:3" ht="15" customHeight="1" x14ac:dyDescent="0.25">
      <c r="C397" s="10"/>
    </row>
    <row r="398" spans="3:3" ht="15" customHeight="1" x14ac:dyDescent="0.25">
      <c r="C398" s="10"/>
    </row>
    <row r="399" spans="3:3" ht="15" customHeight="1" x14ac:dyDescent="0.25">
      <c r="C399" s="10"/>
    </row>
    <row r="400" spans="3:3" ht="15" customHeight="1" x14ac:dyDescent="0.25">
      <c r="C400" s="10"/>
    </row>
    <row r="401" spans="3:3" ht="15" customHeight="1" x14ac:dyDescent="0.25">
      <c r="C401" s="10"/>
    </row>
    <row r="402" spans="3:3" ht="15" customHeight="1" x14ac:dyDescent="0.25">
      <c r="C402" s="10"/>
    </row>
    <row r="403" spans="3:3" ht="15" customHeight="1" x14ac:dyDescent="0.25">
      <c r="C403" s="10"/>
    </row>
    <row r="404" spans="3:3" ht="15" customHeight="1" x14ac:dyDescent="0.25">
      <c r="C404" s="10"/>
    </row>
    <row r="405" spans="3:3" ht="15" customHeight="1" x14ac:dyDescent="0.25">
      <c r="C405" s="10"/>
    </row>
    <row r="406" spans="3:3" ht="15" customHeight="1" x14ac:dyDescent="0.25">
      <c r="C406" s="10"/>
    </row>
    <row r="407" spans="3:3" ht="15" customHeight="1" x14ac:dyDescent="0.25">
      <c r="C407" s="10"/>
    </row>
    <row r="408" spans="3:3" ht="15" customHeight="1" x14ac:dyDescent="0.25">
      <c r="C408" s="10"/>
    </row>
    <row r="409" spans="3:3" ht="15" customHeight="1" x14ac:dyDescent="0.25">
      <c r="C409" s="10"/>
    </row>
    <row r="410" spans="3:3" ht="15" customHeight="1" x14ac:dyDescent="0.25">
      <c r="C410" s="10"/>
    </row>
    <row r="411" spans="3:3" ht="15" customHeight="1" x14ac:dyDescent="0.25">
      <c r="C411" s="10"/>
    </row>
    <row r="412" spans="3:3" ht="15" customHeight="1" x14ac:dyDescent="0.25">
      <c r="C412" s="10"/>
    </row>
    <row r="413" spans="3:3" ht="15" customHeight="1" x14ac:dyDescent="0.25">
      <c r="C413" s="10"/>
    </row>
    <row r="414" spans="3:3" ht="15" customHeight="1" x14ac:dyDescent="0.25">
      <c r="C414" s="10"/>
    </row>
    <row r="415" spans="3:3" ht="15" customHeight="1" x14ac:dyDescent="0.25">
      <c r="C415" s="10"/>
    </row>
    <row r="416" spans="3:3" ht="15" customHeight="1" x14ac:dyDescent="0.25">
      <c r="C416" s="10"/>
    </row>
    <row r="417" spans="3:3" ht="15" customHeight="1" x14ac:dyDescent="0.25">
      <c r="C417" s="10"/>
    </row>
    <row r="418" spans="3:3" ht="15" customHeight="1" x14ac:dyDescent="0.25">
      <c r="C418" s="10"/>
    </row>
    <row r="419" spans="3:3" ht="15" customHeight="1" x14ac:dyDescent="0.25">
      <c r="C419" s="10"/>
    </row>
    <row r="420" spans="3:3" ht="15" customHeight="1" x14ac:dyDescent="0.25">
      <c r="C420" s="10"/>
    </row>
    <row r="421" spans="3:3" ht="15" customHeight="1" x14ac:dyDescent="0.25">
      <c r="C421" s="10"/>
    </row>
    <row r="422" spans="3:3" ht="15" customHeight="1" x14ac:dyDescent="0.25">
      <c r="C422" s="10"/>
    </row>
    <row r="423" spans="3:3" ht="15" customHeight="1" x14ac:dyDescent="0.25">
      <c r="C423" s="10"/>
    </row>
    <row r="424" spans="3:3" ht="15" customHeight="1" x14ac:dyDescent="0.25">
      <c r="C424" s="10"/>
    </row>
    <row r="425" spans="3:3" ht="15" customHeight="1" x14ac:dyDescent="0.25">
      <c r="C425" s="10"/>
    </row>
    <row r="426" spans="3:3" ht="15" customHeight="1" x14ac:dyDescent="0.25">
      <c r="C426" s="10"/>
    </row>
    <row r="427" spans="3:3" ht="15" customHeight="1" x14ac:dyDescent="0.25">
      <c r="C427" s="10"/>
    </row>
    <row r="428" spans="3:3" ht="15" customHeight="1" x14ac:dyDescent="0.25">
      <c r="C428" s="10"/>
    </row>
    <row r="429" spans="3:3" ht="15" customHeight="1" x14ac:dyDescent="0.25">
      <c r="C429" s="10"/>
    </row>
    <row r="430" spans="3:3" ht="15" customHeight="1" x14ac:dyDescent="0.25">
      <c r="C430" s="10"/>
    </row>
    <row r="431" spans="3:3" ht="15" customHeight="1" x14ac:dyDescent="0.25">
      <c r="C431" s="10"/>
    </row>
    <row r="432" spans="3:3" ht="15" customHeight="1" x14ac:dyDescent="0.25">
      <c r="C432" s="10"/>
    </row>
    <row r="433" spans="3:3" ht="15" customHeight="1" x14ac:dyDescent="0.25">
      <c r="C433" s="10"/>
    </row>
    <row r="434" spans="3:3" ht="15" customHeight="1" x14ac:dyDescent="0.25">
      <c r="C434" s="10"/>
    </row>
    <row r="435" spans="3:3" ht="15" customHeight="1" x14ac:dyDescent="0.25">
      <c r="C435" s="10"/>
    </row>
    <row r="436" spans="3:3" ht="15" customHeight="1" x14ac:dyDescent="0.25">
      <c r="C436" s="10"/>
    </row>
    <row r="437" spans="3:3" ht="15" customHeight="1" x14ac:dyDescent="0.25">
      <c r="C437" s="10"/>
    </row>
    <row r="438" spans="3:3" ht="15" customHeight="1" x14ac:dyDescent="0.25">
      <c r="C438" s="10"/>
    </row>
    <row r="439" spans="3:3" ht="15" customHeight="1" x14ac:dyDescent="0.25">
      <c r="C439" s="10"/>
    </row>
    <row r="440" spans="3:3" ht="15" customHeight="1" x14ac:dyDescent="0.25">
      <c r="C440" s="10"/>
    </row>
    <row r="441" spans="3:3" ht="15" customHeight="1" x14ac:dyDescent="0.25">
      <c r="C441" s="10"/>
    </row>
    <row r="442" spans="3:3" ht="15" customHeight="1" x14ac:dyDescent="0.25">
      <c r="C442" s="10"/>
    </row>
    <row r="443" spans="3:3" ht="15" customHeight="1" x14ac:dyDescent="0.25">
      <c r="C443" s="10"/>
    </row>
    <row r="444" spans="3:3" ht="15" customHeight="1" x14ac:dyDescent="0.25">
      <c r="C444" s="10"/>
    </row>
    <row r="445" spans="3:3" ht="15" customHeight="1" x14ac:dyDescent="0.25">
      <c r="C445" s="10"/>
    </row>
    <row r="446" spans="3:3" ht="15" customHeight="1" x14ac:dyDescent="0.25">
      <c r="C446" s="10"/>
    </row>
    <row r="447" spans="3:3" ht="15" customHeight="1" x14ac:dyDescent="0.25">
      <c r="C447" s="10"/>
    </row>
    <row r="448" spans="3:3" ht="15" customHeight="1" x14ac:dyDescent="0.25">
      <c r="C448" s="10"/>
    </row>
    <row r="449" spans="3:3" ht="15" customHeight="1" x14ac:dyDescent="0.25">
      <c r="C449" s="10"/>
    </row>
    <row r="450" spans="3:3" ht="15" customHeight="1" x14ac:dyDescent="0.25">
      <c r="C450" s="10"/>
    </row>
    <row r="451" spans="3:3" ht="15" customHeight="1" x14ac:dyDescent="0.25">
      <c r="C451" s="10"/>
    </row>
    <row r="452" spans="3:3" ht="15" customHeight="1" x14ac:dyDescent="0.25">
      <c r="C452" s="10"/>
    </row>
    <row r="453" spans="3:3" ht="15" customHeight="1" x14ac:dyDescent="0.25">
      <c r="C453" s="10"/>
    </row>
    <row r="454" spans="3:3" ht="15" customHeight="1" x14ac:dyDescent="0.25">
      <c r="C454" s="10"/>
    </row>
    <row r="455" spans="3:3" ht="15" customHeight="1" x14ac:dyDescent="0.25">
      <c r="C455" s="10"/>
    </row>
    <row r="456" spans="3:3" ht="15" customHeight="1" x14ac:dyDescent="0.25">
      <c r="C456" s="10"/>
    </row>
    <row r="457" spans="3:3" ht="15" customHeight="1" x14ac:dyDescent="0.25">
      <c r="C457" s="10"/>
    </row>
  </sheetData>
  <mergeCells count="4">
    <mergeCell ref="A1:A4"/>
    <mergeCell ref="C24:C26"/>
    <mergeCell ref="C28:C30"/>
    <mergeCell ref="A9:A12"/>
  </mergeCells>
  <hyperlinks>
    <hyperlink ref="F35" r:id="rId1"/>
  </hyperlinks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F551"/>
  <sheetViews>
    <sheetView topLeftCell="G4" workbookViewId="0">
      <selection activeCell="Q57" sqref="Q57"/>
    </sheetView>
  </sheetViews>
  <sheetFormatPr defaultRowHeight="15" customHeight="1" x14ac:dyDescent="0.25"/>
  <cols>
    <col min="1" max="1" width="32.28515625" customWidth="1"/>
    <col min="3" max="3" width="30.28515625" customWidth="1"/>
    <col min="5" max="5" width="9.140625" customWidth="1"/>
  </cols>
  <sheetData>
    <row r="1" spans="1:31" ht="15" customHeight="1" x14ac:dyDescent="0.25">
      <c r="A1" s="55" t="s">
        <v>101</v>
      </c>
      <c r="AD1" t="s">
        <v>65</v>
      </c>
      <c r="AE1" t="s">
        <v>66</v>
      </c>
    </row>
    <row r="2" spans="1:31" ht="15" customHeight="1" x14ac:dyDescent="0.25">
      <c r="A2" s="55"/>
      <c r="C2" t="s">
        <v>0</v>
      </c>
      <c r="E2" s="8">
        <v>1</v>
      </c>
      <c r="F2" s="8">
        <v>2</v>
      </c>
      <c r="G2" s="8">
        <v>3</v>
      </c>
      <c r="H2" s="8">
        <v>4</v>
      </c>
      <c r="I2" s="8">
        <v>5</v>
      </c>
      <c r="J2" s="8">
        <v>6</v>
      </c>
      <c r="K2" s="8">
        <v>7</v>
      </c>
      <c r="L2" s="8">
        <v>8</v>
      </c>
      <c r="M2" s="8">
        <v>9</v>
      </c>
      <c r="N2" s="8">
        <v>10</v>
      </c>
      <c r="O2" s="8" t="s">
        <v>2</v>
      </c>
      <c r="P2" t="s">
        <v>3</v>
      </c>
      <c r="Q2" t="s">
        <v>16</v>
      </c>
      <c r="AD2">
        <f>$E$17*AE2/(1+$E$18*AE2)</f>
        <v>4.3044948733892578</v>
      </c>
      <c r="AE2">
        <v>0.1</v>
      </c>
    </row>
    <row r="3" spans="1:31" ht="15" customHeight="1" x14ac:dyDescent="0.25">
      <c r="A3" s="55"/>
      <c r="C3" t="s">
        <v>27</v>
      </c>
      <c r="D3" s="1" t="s">
        <v>12</v>
      </c>
      <c r="E3" s="2">
        <v>1.4514176135884901E-2</v>
      </c>
      <c r="F3" s="2">
        <v>4.2231692167386099E-2</v>
      </c>
      <c r="G3" s="2">
        <v>0.100220341134515</v>
      </c>
      <c r="H3" s="2">
        <v>0.15438522658595899</v>
      </c>
      <c r="I3" s="2">
        <v>0.19563793191647399</v>
      </c>
      <c r="J3" s="2">
        <v>0.229635088002342</v>
      </c>
      <c r="K3" s="2">
        <v>0.258843108246047</v>
      </c>
      <c r="L3" s="2">
        <v>0.28409739334216999</v>
      </c>
      <c r="M3" s="2">
        <v>0.304429102114741</v>
      </c>
      <c r="N3" s="2">
        <v>0.31988238382748702</v>
      </c>
      <c r="O3" s="2">
        <v>0.335993044231645</v>
      </c>
      <c r="P3" s="1" t="s">
        <v>85</v>
      </c>
      <c r="Q3" t="s">
        <v>43</v>
      </c>
      <c r="AD3">
        <f t="shared" ref="AD3:AD59" si="0">$E$17*AE3/(1+$E$18*AE3)</f>
        <v>387.28680492788874</v>
      </c>
      <c r="AE3">
        <v>10</v>
      </c>
    </row>
    <row r="4" spans="1:31" ht="15" customHeight="1" x14ac:dyDescent="0.25">
      <c r="A4" s="55"/>
      <c r="C4" s="3" t="s">
        <v>6</v>
      </c>
      <c r="D4" s="3" t="s">
        <v>13</v>
      </c>
      <c r="E4" s="2">
        <v>5.4683991579589E-3</v>
      </c>
      <c r="F4" s="2">
        <v>3.6348653443286097E-2</v>
      </c>
      <c r="G4" s="2">
        <v>0.39111465512684201</v>
      </c>
      <c r="H4" s="2">
        <v>0.88567802012647301</v>
      </c>
      <c r="I4" s="2">
        <v>0.98410828528553496</v>
      </c>
      <c r="J4" s="2">
        <v>0.99653236907821396</v>
      </c>
      <c r="K4" s="2">
        <v>0.99897673122860797</v>
      </c>
      <c r="L4" s="2">
        <v>0.99966407393052303</v>
      </c>
      <c r="M4" s="2">
        <v>0.99988524555633795</v>
      </c>
      <c r="N4" s="2">
        <v>0.99996003551778501</v>
      </c>
      <c r="O4" s="2">
        <v>0.99998592618896298</v>
      </c>
      <c r="P4" s="5" t="s">
        <v>5</v>
      </c>
      <c r="Q4" t="s">
        <v>43</v>
      </c>
      <c r="AD4">
        <f t="shared" si="0"/>
        <v>703.33532308587075</v>
      </c>
      <c r="AE4">
        <v>20</v>
      </c>
    </row>
    <row r="5" spans="1:31" ht="15" customHeight="1" x14ac:dyDescent="0.25">
      <c r="A5" s="38" t="s">
        <v>45</v>
      </c>
      <c r="B5" s="17">
        <v>0.1</v>
      </c>
      <c r="C5" s="1" t="s">
        <v>7</v>
      </c>
      <c r="D5" s="1" t="s">
        <v>9</v>
      </c>
      <c r="E5" s="2">
        <v>0.35</v>
      </c>
      <c r="F5" s="2">
        <v>0.35</v>
      </c>
      <c r="G5" s="2">
        <v>0.35</v>
      </c>
      <c r="H5" s="2">
        <v>0.35</v>
      </c>
      <c r="I5" s="2">
        <v>0.35</v>
      </c>
      <c r="J5" s="2">
        <v>0.35</v>
      </c>
      <c r="K5" s="2">
        <v>0.35</v>
      </c>
      <c r="L5" s="2">
        <v>0.35</v>
      </c>
      <c r="M5" s="2">
        <v>0.35</v>
      </c>
      <c r="N5" s="2">
        <v>0.35</v>
      </c>
      <c r="O5" s="2">
        <v>0.35</v>
      </c>
      <c r="P5" s="4" t="s">
        <v>5</v>
      </c>
      <c r="Q5" t="s">
        <v>44</v>
      </c>
      <c r="AD5">
        <f t="shared" si="0"/>
        <v>966.14563293875904</v>
      </c>
      <c r="AE5">
        <v>30</v>
      </c>
    </row>
    <row r="6" spans="1:31" ht="15" customHeight="1" x14ac:dyDescent="0.35">
      <c r="C6" s="11" t="s">
        <v>8</v>
      </c>
      <c r="D6" s="11" t="s">
        <v>24</v>
      </c>
      <c r="E6" s="19">
        <v>1</v>
      </c>
      <c r="F6">
        <f>E6*EXP(-E5)</f>
        <v>0.70468808971871344</v>
      </c>
      <c r="G6">
        <f t="shared" ref="G6:N6" si="1">F6*EXP(-F5)</f>
        <v>0.49658530379140953</v>
      </c>
      <c r="H6">
        <f t="shared" si="1"/>
        <v>0.34993774911115538</v>
      </c>
      <c r="I6">
        <f t="shared" si="1"/>
        <v>0.24659696394160649</v>
      </c>
      <c r="J6">
        <f t="shared" si="1"/>
        <v>0.17377394345044514</v>
      </c>
      <c r="K6">
        <f t="shared" si="1"/>
        <v>0.12245642825298192</v>
      </c>
      <c r="L6">
        <f t="shared" si="1"/>
        <v>8.6293586499370523E-2</v>
      </c>
      <c r="M6">
        <f t="shared" si="1"/>
        <v>6.0810062625217973E-2</v>
      </c>
      <c r="N6">
        <f t="shared" si="1"/>
        <v>4.2852126867040187E-2</v>
      </c>
      <c r="O6" s="20">
        <f>N6*EXP(-N5)/(1-EXP(-O5))</f>
        <v>0.10225589409365608</v>
      </c>
      <c r="P6" s="7" t="s">
        <v>5</v>
      </c>
      <c r="Q6" t="s">
        <v>17</v>
      </c>
      <c r="AD6">
        <f t="shared" si="0"/>
        <v>1188.1246850079892</v>
      </c>
      <c r="AE6">
        <v>40</v>
      </c>
    </row>
    <row r="7" spans="1:31" ht="15" customHeight="1" x14ac:dyDescent="0.35">
      <c r="C7" s="12" t="s">
        <v>11</v>
      </c>
      <c r="D7" s="15" t="s">
        <v>22</v>
      </c>
      <c r="E7">
        <f>SUMPRODUCT(E6:O6,E3:O3,E4:O4)</f>
        <v>0.27846452131696486</v>
      </c>
      <c r="P7" s="1" t="s">
        <v>86</v>
      </c>
      <c r="AD7">
        <f t="shared" si="0"/>
        <v>1378.1021346188363</v>
      </c>
      <c r="AE7">
        <v>50</v>
      </c>
    </row>
    <row r="8" spans="1:31" ht="15" customHeight="1" x14ac:dyDescent="0.25">
      <c r="C8" s="3" t="s">
        <v>4</v>
      </c>
      <c r="D8" s="3" t="s">
        <v>14</v>
      </c>
      <c r="E8" s="2">
        <v>3.6261919131430301E-2</v>
      </c>
      <c r="F8" s="2">
        <v>0.442038807084495</v>
      </c>
      <c r="G8" s="2">
        <v>0.953383075836302</v>
      </c>
      <c r="H8" s="2">
        <v>0.97124383638185796</v>
      </c>
      <c r="I8" s="2">
        <v>0.98163231396893003</v>
      </c>
      <c r="J8" s="2">
        <v>0.979759308829527</v>
      </c>
      <c r="K8" s="2">
        <v>0.97361862431421398</v>
      </c>
      <c r="L8" s="2">
        <v>0.96596967900267705</v>
      </c>
      <c r="M8" s="2">
        <v>0.95949060754709004</v>
      </c>
      <c r="N8" s="2">
        <v>0.95474833216409505</v>
      </c>
      <c r="O8" s="2">
        <v>0.951256923690879</v>
      </c>
      <c r="P8" s="4" t="s">
        <v>5</v>
      </c>
      <c r="Q8" t="s">
        <v>46</v>
      </c>
      <c r="AD8">
        <f t="shared" si="0"/>
        <v>1542.5329560834762</v>
      </c>
      <c r="AE8">
        <v>60</v>
      </c>
    </row>
    <row r="9" spans="1:31" ht="15" customHeight="1" x14ac:dyDescent="0.25">
      <c r="A9" s="55" t="s">
        <v>102</v>
      </c>
      <c r="C9" t="s">
        <v>21</v>
      </c>
      <c r="D9" t="s">
        <v>20</v>
      </c>
      <c r="E9" s="6">
        <f>B5</f>
        <v>0.1</v>
      </c>
      <c r="P9" s="4" t="s">
        <v>5</v>
      </c>
      <c r="AD9">
        <f t="shared" si="0"/>
        <v>1686.2454681548129</v>
      </c>
      <c r="AE9">
        <v>70</v>
      </c>
    </row>
    <row r="10" spans="1:31" ht="15" customHeight="1" x14ac:dyDescent="0.35">
      <c r="A10" s="55"/>
      <c r="C10" s="13" t="s">
        <v>18</v>
      </c>
      <c r="D10" s="13" t="s">
        <v>25</v>
      </c>
      <c r="E10" s="20">
        <v>1</v>
      </c>
      <c r="F10">
        <f>E10*EXP(-E5-$E$9*E8)</f>
        <v>0.70213738293763173</v>
      </c>
      <c r="G10">
        <f t="shared" ref="G10:N10" si="2">F10*EXP(-F5-$E$9*F8)</f>
        <v>0.47339266675026376</v>
      </c>
      <c r="H10">
        <f t="shared" si="2"/>
        <v>0.30325890080704587</v>
      </c>
      <c r="I10">
        <f t="shared" si="2"/>
        <v>0.19392326026043458</v>
      </c>
      <c r="J10">
        <f t="shared" si="2"/>
        <v>0.12387825685179521</v>
      </c>
      <c r="K10">
        <f t="shared" si="2"/>
        <v>7.9148303559177235E-2</v>
      </c>
      <c r="L10">
        <f t="shared" si="2"/>
        <v>5.0600501657669258E-2</v>
      </c>
      <c r="M10">
        <f t="shared" si="2"/>
        <v>3.2374287839012965E-2</v>
      </c>
      <c r="N10">
        <f t="shared" si="2"/>
        <v>2.0726549474486308E-2</v>
      </c>
      <c r="O10" s="20">
        <f>N10*EXP(-N5-$E$9*N8)/(1-EXP(-O5-$E$9*O8))</f>
        <v>3.6953484345372316E-2</v>
      </c>
      <c r="P10" s="4" t="s">
        <v>5</v>
      </c>
      <c r="AD10">
        <f t="shared" si="0"/>
        <v>1812.9233632865871</v>
      </c>
      <c r="AE10">
        <v>80</v>
      </c>
    </row>
    <row r="11" spans="1:31" ht="15" customHeight="1" x14ac:dyDescent="0.35">
      <c r="A11" s="55"/>
      <c r="C11" s="14" t="s">
        <v>19</v>
      </c>
      <c r="D11" s="14" t="s">
        <v>23</v>
      </c>
      <c r="E11">
        <f>SUMPRODUCT(E10:O10,E3:O3,E4:O4)</f>
        <v>0.19060029400935319</v>
      </c>
      <c r="P11" s="1" t="s">
        <v>86</v>
      </c>
      <c r="AD11">
        <f t="shared" si="0"/>
        <v>1925.4259187207306</v>
      </c>
      <c r="AE11">
        <v>90</v>
      </c>
    </row>
    <row r="12" spans="1:31" ht="15" customHeight="1" x14ac:dyDescent="0.25">
      <c r="A12" s="55"/>
      <c r="C12" s="14" t="s">
        <v>52</v>
      </c>
      <c r="D12" s="14" t="s">
        <v>26</v>
      </c>
      <c r="E12">
        <f>E11/E7</f>
        <v>0.68446886198619394</v>
      </c>
      <c r="P12" s="4" t="s">
        <v>5</v>
      </c>
      <c r="AD12">
        <f t="shared" si="0"/>
        <v>2026.0064078117005</v>
      </c>
      <c r="AE12">
        <v>100</v>
      </c>
    </row>
    <row r="13" spans="1:31" ht="15" customHeight="1" x14ac:dyDescent="0.25">
      <c r="C13" s="14" t="s">
        <v>55</v>
      </c>
      <c r="D13" s="14" t="s">
        <v>54</v>
      </c>
      <c r="E13">
        <f>E10*E3*$E$9*E8*(1-EXP(-$E$9*E8-E5))/($E$9*E8+E5)</f>
        <v>4.433173728069964E-5</v>
      </c>
      <c r="F13">
        <f t="shared" ref="F13:O13" si="3">F10*F3*$E$9*F8*(1-EXP(-$E$9*F8-F5))/($E$9*F8+F5)</f>
        <v>1.083250896845982E-3</v>
      </c>
      <c r="G13">
        <f t="shared" ref="G13:N13" si="4">G10*G3*$E$9*G8*(1-EXP(-$E$9*G8-G5))/($E$9*G8+G5)</f>
        <v>3.6502598019605152E-3</v>
      </c>
      <c r="H13">
        <f t="shared" si="4"/>
        <v>3.6666327602132513E-3</v>
      </c>
      <c r="I13">
        <f t="shared" si="4"/>
        <v>3.0015310989262001E-3</v>
      </c>
      <c r="J13">
        <f t="shared" si="4"/>
        <v>2.2464740751173017E-3</v>
      </c>
      <c r="K13">
        <f t="shared" si="4"/>
        <v>1.608196808347475E-3</v>
      </c>
      <c r="L13">
        <f t="shared" si="4"/>
        <v>1.1199830090050794E-3</v>
      </c>
      <c r="M13">
        <f t="shared" si="4"/>
        <v>7.6292746191224049E-4</v>
      </c>
      <c r="N13">
        <f t="shared" si="4"/>
        <v>5.1080803707729064E-4</v>
      </c>
      <c r="O13">
        <f t="shared" si="3"/>
        <v>9.5324645916366189E-4</v>
      </c>
      <c r="P13" t="s">
        <v>85</v>
      </c>
      <c r="AD13">
        <f t="shared" si="0"/>
        <v>2116.4645692078534</v>
      </c>
      <c r="AE13">
        <v>110</v>
      </c>
    </row>
    <row r="14" spans="1:31" ht="15" customHeight="1" x14ac:dyDescent="0.25">
      <c r="C14" s="14" t="s">
        <v>51</v>
      </c>
      <c r="D14" s="14" t="s">
        <v>53</v>
      </c>
      <c r="E14">
        <f>SUM(E13:O13)</f>
        <v>1.8647642145849699E-2</v>
      </c>
      <c r="P14" t="s">
        <v>85</v>
      </c>
      <c r="AD14">
        <f t="shared" si="0"/>
        <v>2198.2552483481509</v>
      </c>
      <c r="AE14">
        <v>120</v>
      </c>
    </row>
    <row r="15" spans="1:31" ht="15" customHeight="1" x14ac:dyDescent="0.25">
      <c r="C15" s="18" t="s">
        <v>69</v>
      </c>
      <c r="D15" s="18" t="s">
        <v>30</v>
      </c>
      <c r="E15" s="17">
        <f>3.505041*1000</f>
        <v>3505.0409999999997</v>
      </c>
      <c r="P15" t="s">
        <v>89</v>
      </c>
      <c r="Q15" t="s">
        <v>46</v>
      </c>
      <c r="AD15">
        <f t="shared" si="0"/>
        <v>2272.5672374182418</v>
      </c>
      <c r="AE15">
        <v>130</v>
      </c>
    </row>
    <row r="16" spans="1:31" ht="15" customHeight="1" x14ac:dyDescent="0.25">
      <c r="C16" t="s">
        <v>28</v>
      </c>
      <c r="D16" s="1" t="s">
        <v>29</v>
      </c>
      <c r="E16" s="17">
        <v>0.75</v>
      </c>
      <c r="P16" s="7" t="s">
        <v>5</v>
      </c>
      <c r="Q16" t="s">
        <v>44</v>
      </c>
      <c r="AD16">
        <f t="shared" si="0"/>
        <v>2340.381434162025</v>
      </c>
      <c r="AE16">
        <v>140</v>
      </c>
    </row>
    <row r="17" spans="1:31" ht="15" customHeight="1" x14ac:dyDescent="0.25">
      <c r="C17" s="1" t="s">
        <v>31</v>
      </c>
      <c r="D17" s="1" t="s">
        <v>33</v>
      </c>
      <c r="E17">
        <f>4*E16/(E7*(1-E16))</f>
        <v>43.093461038581957</v>
      </c>
      <c r="P17" s="7" t="s">
        <v>90</v>
      </c>
      <c r="AD17">
        <f t="shared" si="0"/>
        <v>2402.5143836393368</v>
      </c>
      <c r="AE17">
        <v>150</v>
      </c>
    </row>
    <row r="18" spans="1:31" ht="15" customHeight="1" x14ac:dyDescent="0.25">
      <c r="C18" s="1" t="s">
        <v>32</v>
      </c>
      <c r="D18" s="1" t="s">
        <v>34</v>
      </c>
      <c r="E18">
        <f>1/E15*(E17-1/E7)</f>
        <v>1.1270150416319466E-2</v>
      </c>
      <c r="P18" s="7" t="s">
        <v>91</v>
      </c>
      <c r="AD18">
        <f t="shared" si="0"/>
        <v>2459.6513166029531</v>
      </c>
      <c r="AE18">
        <v>160</v>
      </c>
    </row>
    <row r="19" spans="1:31" ht="15" customHeight="1" x14ac:dyDescent="0.35">
      <c r="C19" s="18" t="s">
        <v>71</v>
      </c>
      <c r="D19" s="11" t="s">
        <v>68</v>
      </c>
      <c r="E19">
        <f>E15/(E17-E18*E15)</f>
        <v>976.02956426133596</v>
      </c>
      <c r="F19" s="43">
        <v>0</v>
      </c>
      <c r="P19" t="s">
        <v>67</v>
      </c>
      <c r="AD19">
        <f t="shared" si="0"/>
        <v>2512.3715262092851</v>
      </c>
      <c r="AE19">
        <v>170</v>
      </c>
    </row>
    <row r="20" spans="1:31" ht="15" customHeight="1" x14ac:dyDescent="0.35">
      <c r="C20" s="44" t="s">
        <v>70</v>
      </c>
      <c r="D20" s="13" t="s">
        <v>72</v>
      </c>
      <c r="E20">
        <f>1/E18*(E17-1/E11)</f>
        <v>3358.1521112788701</v>
      </c>
      <c r="P20" t="s">
        <v>89</v>
      </c>
      <c r="AD20">
        <f t="shared" si="0"/>
        <v>2561.1680788083872</v>
      </c>
      <c r="AE20">
        <v>180</v>
      </c>
    </row>
    <row r="21" spans="1:31" ht="15" customHeight="1" x14ac:dyDescent="0.35">
      <c r="B21" s="42"/>
      <c r="C21" s="44" t="s">
        <v>73</v>
      </c>
      <c r="D21" s="13" t="s">
        <v>74</v>
      </c>
      <c r="E21">
        <f>E20/(E17-E20*E18)</f>
        <v>640.06477973788242</v>
      </c>
      <c r="P21" t="s">
        <v>67</v>
      </c>
      <c r="AD21">
        <f t="shared" si="0"/>
        <v>2606.4632817476763</v>
      </c>
      <c r="AE21">
        <v>190</v>
      </c>
    </row>
    <row r="22" spans="1:31" ht="15" customHeight="1" x14ac:dyDescent="0.25">
      <c r="C22" s="45" t="s">
        <v>75</v>
      </c>
      <c r="D22" s="41" t="s">
        <v>75</v>
      </c>
      <c r="E22">
        <f>MAX(E14*E20,0)</f>
        <v>62.621618842458005</v>
      </c>
      <c r="P22" t="s">
        <v>67</v>
      </c>
      <c r="AD22">
        <f t="shared" si="0"/>
        <v>2648.6209368634891</v>
      </c>
      <c r="AE22">
        <v>200</v>
      </c>
    </row>
    <row r="23" spans="1:31" ht="15" customHeight="1" x14ac:dyDescent="0.25">
      <c r="C23" s="45"/>
      <c r="D23" s="41"/>
      <c r="AD23">
        <f t="shared" si="0"/>
        <v>2687.9561328552736</v>
      </c>
      <c r="AE23">
        <v>210</v>
      </c>
    </row>
    <row r="24" spans="1:31" ht="15" customHeight="1" x14ac:dyDescent="0.25">
      <c r="A24" s="55" t="s">
        <v>95</v>
      </c>
      <c r="C24" t="s">
        <v>79</v>
      </c>
      <c r="D24" s="10" t="s">
        <v>77</v>
      </c>
      <c r="E24">
        <f>VLOOKUP(E25,G43:M544,7,FALSE)</f>
        <v>0.34</v>
      </c>
      <c r="P24" s="7" t="s">
        <v>5</v>
      </c>
      <c r="Q24" t="s">
        <v>104</v>
      </c>
      <c r="AD24">
        <f t="shared" si="0"/>
        <v>2724.7431345647515</v>
      </c>
      <c r="AE24">
        <v>220</v>
      </c>
    </row>
    <row r="25" spans="1:31" ht="15" customHeight="1" x14ac:dyDescent="0.25">
      <c r="A25" s="55"/>
      <c r="C25" t="s">
        <v>76</v>
      </c>
      <c r="D25" s="10" t="s">
        <v>76</v>
      </c>
      <c r="E25">
        <f>MAX(G43:G294)</f>
        <v>97.321996542674583</v>
      </c>
      <c r="P25" t="s">
        <v>67</v>
      </c>
      <c r="Q25" t="s">
        <v>106</v>
      </c>
      <c r="AD25">
        <f t="shared" si="0"/>
        <v>2759.2217871209359</v>
      </c>
      <c r="AE25">
        <v>230</v>
      </c>
    </row>
    <row r="26" spans="1:31" ht="15" customHeight="1" x14ac:dyDescent="0.35">
      <c r="A26" s="55"/>
      <c r="C26" t="s">
        <v>80</v>
      </c>
      <c r="D26" s="10" t="s">
        <v>78</v>
      </c>
      <c r="E26">
        <f>VLOOKUP(E24,A43:F544,6,FALSE)</f>
        <v>279.96184713603287</v>
      </c>
      <c r="P26" t="s">
        <v>67</v>
      </c>
      <c r="Q26" t="s">
        <v>105</v>
      </c>
      <c r="AD26">
        <f t="shared" si="0"/>
        <v>2791.6027511965476</v>
      </c>
      <c r="AE26">
        <v>240</v>
      </c>
    </row>
    <row r="27" spans="1:31" ht="15" customHeight="1" x14ac:dyDescent="0.25">
      <c r="A27" s="55"/>
      <c r="AD27">
        <f t="shared" si="0"/>
        <v>2822.0718109316886</v>
      </c>
      <c r="AE27">
        <v>250</v>
      </c>
    </row>
    <row r="28" spans="1:31" ht="15" customHeight="1" x14ac:dyDescent="0.25">
      <c r="AD28">
        <f t="shared" si="0"/>
        <v>2850.7934406667632</v>
      </c>
      <c r="AE28">
        <v>260</v>
      </c>
    </row>
    <row r="29" spans="1:31" ht="15" customHeight="1" x14ac:dyDescent="0.25">
      <c r="AD29">
        <f t="shared" si="0"/>
        <v>2877.9137751153189</v>
      </c>
      <c r="AE29">
        <v>270</v>
      </c>
    </row>
    <row r="30" spans="1:31" ht="15" customHeight="1" x14ac:dyDescent="0.25">
      <c r="C30" s="10"/>
      <c r="AD30">
        <f t="shared" si="0"/>
        <v>2903.5630962282589</v>
      </c>
      <c r="AE30">
        <v>280</v>
      </c>
    </row>
    <row r="31" spans="1:31" ht="15" customHeight="1" x14ac:dyDescent="0.25">
      <c r="C31" s="9"/>
      <c r="AD31">
        <f t="shared" si="0"/>
        <v>2927.8579260785209</v>
      </c>
      <c r="AE31">
        <v>290</v>
      </c>
    </row>
    <row r="32" spans="1:31" ht="15" customHeight="1" x14ac:dyDescent="0.25">
      <c r="C32" s="9"/>
      <c r="F32" s="40"/>
      <c r="AD32">
        <f t="shared" si="0"/>
        <v>2950.9027967115389</v>
      </c>
      <c r="AE32">
        <v>300</v>
      </c>
    </row>
    <row r="33" spans="1:32" ht="15" customHeight="1" x14ac:dyDescent="0.25">
      <c r="C33" s="10"/>
      <c r="F33" s="40"/>
      <c r="AD33">
        <f t="shared" si="0"/>
        <v>2972.7917536725258</v>
      </c>
      <c r="AE33">
        <v>310</v>
      </c>
    </row>
    <row r="34" spans="1:32" ht="15" customHeight="1" x14ac:dyDescent="0.25">
      <c r="C34" s="10"/>
      <c r="F34" s="40"/>
      <c r="AD34">
        <f t="shared" si="0"/>
        <v>2993.6096388216856</v>
      </c>
      <c r="AE34">
        <v>320</v>
      </c>
    </row>
    <row r="35" spans="1:32" ht="15" customHeight="1" x14ac:dyDescent="0.25">
      <c r="C35" s="10"/>
      <c r="F35" s="16"/>
      <c r="AD35">
        <f t="shared" si="0"/>
        <v>3013.4331893342751</v>
      </c>
      <c r="AE35">
        <v>330</v>
      </c>
    </row>
    <row r="36" spans="1:32" ht="15" customHeight="1" x14ac:dyDescent="0.25">
      <c r="C36" s="10"/>
      <c r="AD36">
        <f t="shared" si="0"/>
        <v>3032.33198289754</v>
      </c>
      <c r="AE36">
        <v>340</v>
      </c>
    </row>
    <row r="37" spans="1:32" ht="15" customHeight="1" x14ac:dyDescent="0.25">
      <c r="C37" s="10"/>
      <c r="AD37">
        <f t="shared" si="0"/>
        <v>3050.3692536440558</v>
      </c>
      <c r="AE37">
        <v>350</v>
      </c>
    </row>
    <row r="38" spans="1:32" ht="15" customHeight="1" x14ac:dyDescent="0.25">
      <c r="C38" s="10"/>
      <c r="AD38">
        <f t="shared" si="0"/>
        <v>3067.6025989860386</v>
      </c>
      <c r="AE38">
        <v>360</v>
      </c>
    </row>
    <row r="39" spans="1:32" ht="15" customHeight="1" x14ac:dyDescent="0.25">
      <c r="C39" s="10"/>
      <c r="AD39">
        <f t="shared" si="0"/>
        <v>3084.0845939986289</v>
      </c>
      <c r="AE39">
        <v>370</v>
      </c>
    </row>
    <row r="40" spans="1:32" ht="15" customHeight="1" x14ac:dyDescent="0.25">
      <c r="C40" s="10"/>
      <c r="AD40">
        <f t="shared" si="0"/>
        <v>3099.8633271587451</v>
      </c>
      <c r="AE40">
        <v>380</v>
      </c>
    </row>
    <row r="41" spans="1:32" s="25" customFormat="1" ht="15" customHeight="1" x14ac:dyDescent="0.25">
      <c r="A41" s="58" t="s">
        <v>94</v>
      </c>
      <c r="B41" s="59"/>
      <c r="C41" s="59"/>
      <c r="D41" s="59"/>
      <c r="E41" s="59"/>
      <c r="F41" s="59"/>
      <c r="G41" s="59"/>
      <c r="AD41">
        <f t="shared" si="0"/>
        <v>3114.9828689389301</v>
      </c>
      <c r="AE41">
        <v>390</v>
      </c>
      <c r="AF41"/>
    </row>
    <row r="42" spans="1:32" ht="15" customHeight="1" x14ac:dyDescent="0.35">
      <c r="A42" s="35" t="s">
        <v>20</v>
      </c>
      <c r="B42" s="36" t="s">
        <v>26</v>
      </c>
      <c r="C42" s="36" t="s">
        <v>53</v>
      </c>
      <c r="D42" s="36" t="s">
        <v>23</v>
      </c>
      <c r="E42" s="46" t="s">
        <v>93</v>
      </c>
      <c r="F42" s="46" t="s">
        <v>92</v>
      </c>
      <c r="G42" s="47" t="s">
        <v>75</v>
      </c>
      <c r="M42" t="s">
        <v>20</v>
      </c>
      <c r="AD42">
        <f t="shared" si="0"/>
        <v>3129.4836828732423</v>
      </c>
      <c r="AE42">
        <v>400</v>
      </c>
    </row>
    <row r="43" spans="1:32" s="25" customFormat="1" ht="15" customHeight="1" x14ac:dyDescent="0.25">
      <c r="A43" s="48"/>
      <c r="B43" s="49">
        <f>E12</f>
        <v>0.68446886198619394</v>
      </c>
      <c r="C43" s="49">
        <f>E14</f>
        <v>1.8647642145849699E-2</v>
      </c>
      <c r="D43" s="49">
        <f>E11</f>
        <v>0.19060029400935319</v>
      </c>
      <c r="E43" s="27">
        <f>E20</f>
        <v>3358.1521112788701</v>
      </c>
      <c r="F43" s="27">
        <f>E21</f>
        <v>640.06477973788242</v>
      </c>
      <c r="G43" s="28">
        <f>E22</f>
        <v>62.621618842458005</v>
      </c>
      <c r="M43" s="25">
        <f>A43</f>
        <v>0</v>
      </c>
      <c r="X43" s="25" t="s">
        <v>20</v>
      </c>
      <c r="Y43" s="25" t="s">
        <v>76</v>
      </c>
      <c r="AA43" s="25" t="s">
        <v>96</v>
      </c>
      <c r="AD43">
        <f t="shared" si="0"/>
        <v>3143.4029871696321</v>
      </c>
      <c r="AE43">
        <v>410</v>
      </c>
      <c r="AF43"/>
    </row>
    <row r="44" spans="1:32" ht="15" customHeight="1" x14ac:dyDescent="0.25">
      <c r="A44" s="29">
        <v>1E-4</v>
      </c>
      <c r="B44" s="30">
        <f t="dataTable" ref="B44:G531" dt2D="0" dtr="0" r1="B5"/>
        <v>0.99957921186715459</v>
      </c>
      <c r="C44" s="30">
        <v>2.6831243809218875E-5</v>
      </c>
      <c r="D44" s="30">
        <v>0.27834734675097622</v>
      </c>
      <c r="E44" s="30">
        <v>3504.9068635880863</v>
      </c>
      <c r="F44" s="30">
        <v>975.58152608902992</v>
      </c>
      <c r="G44" s="31">
        <v>9.4041010585536586E-2</v>
      </c>
      <c r="L44" s="25"/>
      <c r="M44" s="25">
        <f t="shared" ref="M44:M107" si="5">A44</f>
        <v>1E-4</v>
      </c>
      <c r="X44" t="str">
        <f>D20</f>
        <v>Eq_recF</v>
      </c>
      <c r="Y44">
        <f>VLOOKUP(E24,A44:E294,5,FALSE)</f>
        <v>2903.4678808316362</v>
      </c>
      <c r="Z44">
        <v>0</v>
      </c>
      <c r="AA44">
        <f>E15</f>
        <v>3505.0409999999997</v>
      </c>
      <c r="AD44">
        <f t="shared" si="0"/>
        <v>3156.7750736734706</v>
      </c>
      <c r="AE44">
        <v>420</v>
      </c>
    </row>
    <row r="45" spans="1:32" ht="15" customHeight="1" x14ac:dyDescent="0.25">
      <c r="A45" s="29">
        <v>0.01</v>
      </c>
      <c r="B45" s="30">
        <v>0.95923692764839574</v>
      </c>
      <c r="C45" s="30">
        <v>2.5782733080532043E-3</v>
      </c>
      <c r="D45" s="30">
        <v>0.26711345188716656</v>
      </c>
      <c r="E45" s="30">
        <v>3491.5002899778242</v>
      </c>
      <c r="F45" s="30">
        <v>932.62669472101891</v>
      </c>
      <c r="G45" s="31">
        <v>9.0020420027098478</v>
      </c>
      <c r="L45" s="25"/>
      <c r="M45" s="25">
        <f t="shared" si="5"/>
        <v>0.01</v>
      </c>
      <c r="X45" t="str">
        <f>D21</f>
        <v>Eq_SSBF</v>
      </c>
      <c r="Y45">
        <f>E26</f>
        <v>279.96184713603287</v>
      </c>
      <c r="Z45">
        <v>0</v>
      </c>
      <c r="AA45">
        <f>E19</f>
        <v>976.02956426133596</v>
      </c>
      <c r="AD45">
        <f t="shared" si="0"/>
        <v>3169.6315899374931</v>
      </c>
      <c r="AE45">
        <v>430</v>
      </c>
    </row>
    <row r="46" spans="1:32" ht="15" customHeight="1" x14ac:dyDescent="0.25">
      <c r="A46" s="29">
        <v>0.02</v>
      </c>
      <c r="B46" s="30">
        <v>0.92098392015969677</v>
      </c>
      <c r="C46" s="30">
        <v>4.9577543154900811E-3</v>
      </c>
      <c r="D46" s="30">
        <v>0.25646134646789176</v>
      </c>
      <c r="E46" s="30">
        <v>3477.7031819203653</v>
      </c>
      <c r="F46" s="30">
        <v>891.89644065096843</v>
      </c>
      <c r="G46" s="31">
        <v>17.241597958159279</v>
      </c>
      <c r="L46" s="25"/>
      <c r="M46" s="25">
        <f t="shared" si="5"/>
        <v>0.02</v>
      </c>
      <c r="X46" t="str">
        <f>CONCATENATE("(",X45,",",X44,") at F",Y43)</f>
        <v>(Eq_SSBF,Eq_recF) at FMSY</v>
      </c>
      <c r="AD46">
        <f t="shared" si="0"/>
        <v>3182.0017892825872</v>
      </c>
      <c r="AE46">
        <v>440</v>
      </c>
    </row>
    <row r="47" spans="1:32" ht="15" customHeight="1" x14ac:dyDescent="0.25">
      <c r="A47" s="29">
        <v>0.03</v>
      </c>
      <c r="B47" s="30">
        <v>0.8850352768045644</v>
      </c>
      <c r="C47" s="30">
        <v>7.1564693829870487E-3</v>
      </c>
      <c r="D47" s="30">
        <v>0.24645092470401053</v>
      </c>
      <c r="E47" s="30">
        <v>3463.6501415671087</v>
      </c>
      <c r="F47" s="30">
        <v>853.61978024039092</v>
      </c>
      <c r="G47" s="31">
        <v>24.78750619150377</v>
      </c>
      <c r="L47" s="25"/>
      <c r="M47" s="25">
        <f t="shared" si="5"/>
        <v>0.03</v>
      </c>
      <c r="AD47">
        <f t="shared" si="0"/>
        <v>3193.912753008553</v>
      </c>
      <c r="AE47">
        <v>450</v>
      </c>
    </row>
    <row r="48" spans="1:32" ht="15" customHeight="1" x14ac:dyDescent="0.25">
      <c r="A48" s="29">
        <v>0.04</v>
      </c>
      <c r="B48" s="30">
        <v>0.85120627324999176</v>
      </c>
      <c r="C48" s="30">
        <v>9.1905063333097767E-3</v>
      </c>
      <c r="D48" s="30">
        <v>0.23703074742255656</v>
      </c>
      <c r="E48" s="30">
        <v>3449.3416376852665</v>
      </c>
      <c r="F48" s="30">
        <v>817.60002649628382</v>
      </c>
      <c r="G48" s="31">
        <v>31.70119616689556</v>
      </c>
      <c r="L48" s="25"/>
      <c r="M48" s="25">
        <f t="shared" si="5"/>
        <v>0.04</v>
      </c>
      <c r="AD48">
        <f t="shared" si="0"/>
        <v>3205.3895883075757</v>
      </c>
      <c r="AE48">
        <v>460</v>
      </c>
    </row>
    <row r="49" spans="1:31" ht="15" customHeight="1" x14ac:dyDescent="0.25">
      <c r="A49" s="29">
        <v>0.05</v>
      </c>
      <c r="B49" s="30">
        <v>0.81933060785614542</v>
      </c>
      <c r="C49" s="30">
        <v>1.107425715962243E-2</v>
      </c>
      <c r="D49" s="30">
        <v>0.2281545055169994</v>
      </c>
      <c r="E49" s="30">
        <v>3434.7781403128201</v>
      </c>
      <c r="F49" s="30">
        <v>783.66010816367066</v>
      </c>
      <c r="G49" s="31">
        <v>38.037616412073866</v>
      </c>
      <c r="L49" s="25"/>
      <c r="M49" s="25">
        <f t="shared" si="5"/>
        <v>0.05</v>
      </c>
      <c r="AD49">
        <f t="shared" si="0"/>
        <v>3216.4556049244907</v>
      </c>
      <c r="AE49">
        <v>470</v>
      </c>
    </row>
    <row r="50" spans="1:31" ht="15" customHeight="1" x14ac:dyDescent="0.25">
      <c r="A50" s="29">
        <v>0.06</v>
      </c>
      <c r="B50" s="30">
        <v>0.78925820861960994</v>
      </c>
      <c r="C50" s="30">
        <v>1.2820625972301701E-2</v>
      </c>
      <c r="D50" s="30">
        <v>0.21978040925874487</v>
      </c>
      <c r="E50" s="30">
        <v>3419.9601192053142</v>
      </c>
      <c r="F50" s="30">
        <v>751.64023464752984</v>
      </c>
      <c r="G50" s="31">
        <v>43.846029528519672</v>
      </c>
      <c r="L50" s="25"/>
      <c r="M50" s="25">
        <f t="shared" si="5"/>
        <v>0.06</v>
      </c>
      <c r="AD50">
        <f t="shared" si="0"/>
        <v>3227.1324731796985</v>
      </c>
      <c r="AE50">
        <v>480</v>
      </c>
    </row>
    <row r="51" spans="1:31" ht="15" customHeight="1" x14ac:dyDescent="0.25">
      <c r="A51" s="29">
        <v>7.0000000000000007E-2</v>
      </c>
      <c r="B51" s="30">
        <v>0.76085334295682439</v>
      </c>
      <c r="C51" s="30">
        <v>1.4441207792607399E-2</v>
      </c>
      <c r="D51" s="30">
        <v>0.2118706619388846</v>
      </c>
      <c r="E51" s="30">
        <v>3404.8880424737727</v>
      </c>
      <c r="F51" s="30">
        <v>721.39588338671103</v>
      </c>
      <c r="G51" s="31">
        <v>49.170695731927999</v>
      </c>
      <c r="L51" s="25"/>
      <c r="M51" s="25">
        <f t="shared" si="5"/>
        <v>7.0000000000000007E-2</v>
      </c>
      <c r="AD51">
        <f t="shared" si="0"/>
        <v>3237.4403656090117</v>
      </c>
      <c r="AE51">
        <v>490</v>
      </c>
    </row>
    <row r="52" spans="1:31" ht="15" customHeight="1" x14ac:dyDescent="0.25">
      <c r="A52" s="29">
        <v>0.08</v>
      </c>
      <c r="B52" s="30">
        <v>0.7339929828557693</v>
      </c>
      <c r="C52" s="30">
        <v>1.5946442796102703E-2</v>
      </c>
      <c r="D52" s="30">
        <v>0.20439100462094301</v>
      </c>
      <c r="E52" s="30">
        <v>3389.5623754012831</v>
      </c>
      <c r="F52" s="30">
        <v>692.79605913361843</v>
      </c>
      <c r="G52" s="31">
        <v>54.051462523158555</v>
      </c>
      <c r="L52" s="25"/>
      <c r="M52" s="25">
        <f t="shared" si="5"/>
        <v>0.08</v>
      </c>
      <c r="AD52">
        <f t="shared" si="0"/>
        <v>3247.3980841683715</v>
      </c>
      <c r="AE52">
        <v>500</v>
      </c>
    </row>
    <row r="53" spans="1:31" ht="15" customHeight="1" x14ac:dyDescent="0.25">
      <c r="A53" s="29">
        <v>0.09</v>
      </c>
      <c r="B53" s="30">
        <v>0.70856538622649956</v>
      </c>
      <c r="C53" s="30">
        <v>1.7345749801153023E-2</v>
      </c>
      <c r="D53" s="30">
        <v>0.19731032109733254</v>
      </c>
      <c r="E53" s="30">
        <v>3373.9835794260293</v>
      </c>
      <c r="F53" s="30">
        <v>665.72178343367727</v>
      </c>
      <c r="G53" s="31">
        <v>58.524275001922611</v>
      </c>
      <c r="L53" s="25"/>
      <c r="M53" s="25">
        <f t="shared" si="5"/>
        <v>0.09</v>
      </c>
      <c r="AD53">
        <f t="shared" si="0"/>
        <v>3257.0231746911154</v>
      </c>
      <c r="AE53">
        <v>510</v>
      </c>
    </row>
    <row r="54" spans="1:31" ht="15" customHeight="1" x14ac:dyDescent="0.25">
      <c r="A54" s="29">
        <v>0.1</v>
      </c>
      <c r="B54" s="30">
        <v>0.68446886198619394</v>
      </c>
      <c r="C54" s="30">
        <v>1.8647642145849699E-2</v>
      </c>
      <c r="D54" s="30">
        <v>0.19060029400935319</v>
      </c>
      <c r="E54" s="30">
        <v>3358.1521112788701</v>
      </c>
      <c r="F54" s="30">
        <v>640.06477973788242</v>
      </c>
      <c r="G54" s="31">
        <v>62.621618842458005</v>
      </c>
      <c r="L54" s="25"/>
      <c r="M54" s="25">
        <f t="shared" si="5"/>
        <v>0.1</v>
      </c>
      <c r="AD54">
        <f t="shared" si="0"/>
        <v>3266.3320300636574</v>
      </c>
      <c r="AE54">
        <v>520</v>
      </c>
    </row>
    <row r="55" spans="1:31" ht="15" customHeight="1" x14ac:dyDescent="0.25">
      <c r="A55" s="29">
        <v>0.11</v>
      </c>
      <c r="B55" s="30">
        <v>0.66161069185628396</v>
      </c>
      <c r="C55" s="30">
        <v>1.9859828567731084E-2</v>
      </c>
      <c r="D55" s="30">
        <v>0.18423510460594605</v>
      </c>
      <c r="E55" s="30">
        <v>3342.0684222639075</v>
      </c>
      <c r="F55" s="30">
        <v>615.72632537601999</v>
      </c>
      <c r="G55" s="31">
        <v>66.372905927788693</v>
      </c>
      <c r="L55" s="25"/>
      <c r="M55" s="25">
        <f t="shared" si="5"/>
        <v>0.11</v>
      </c>
      <c r="AD55">
        <f t="shared" si="0"/>
        <v>3275.3399833959397</v>
      </c>
      <c r="AE55">
        <v>530</v>
      </c>
    </row>
    <row r="56" spans="1:31" ht="15" customHeight="1" x14ac:dyDescent="0.25">
      <c r="A56" s="29">
        <v>0.12</v>
      </c>
      <c r="B56" s="30">
        <v>0.63990618628682094</v>
      </c>
      <c r="C56" s="30">
        <v>2.0989301269480565E-2</v>
      </c>
      <c r="D56" s="30">
        <v>0.17819116985212413</v>
      </c>
      <c r="E56" s="30">
        <v>3325.7329576709026</v>
      </c>
      <c r="F56" s="30">
        <v>592.61624634314319</v>
      </c>
      <c r="G56" s="31">
        <v>69.804810990395225</v>
      </c>
      <c r="L56" s="25"/>
      <c r="M56" s="25">
        <f t="shared" si="5"/>
        <v>0.12</v>
      </c>
      <c r="AD56">
        <f t="shared" si="0"/>
        <v>3284.0613923005712</v>
      </c>
      <c r="AE56">
        <v>540</v>
      </c>
    </row>
    <row r="57" spans="1:31" ht="15" customHeight="1" x14ac:dyDescent="0.25">
      <c r="A57" s="29">
        <v>0.13</v>
      </c>
      <c r="B57" s="30">
        <v>0.61927785555832326</v>
      </c>
      <c r="C57" s="30">
        <v>2.2042413000715765E-2</v>
      </c>
      <c r="D57" s="30">
        <v>0.172446911610245</v>
      </c>
      <c r="E57" s="30">
        <v>3309.146156308831</v>
      </c>
      <c r="F57" s="30">
        <v>570.65203472237124</v>
      </c>
      <c r="G57" s="31">
        <v>72.941566257090372</v>
      </c>
      <c r="L57" s="25"/>
      <c r="M57" s="25">
        <f t="shared" si="5"/>
        <v>0.13</v>
      </c>
      <c r="AD57">
        <f t="shared" si="0"/>
        <v>3292.5097152550989</v>
      </c>
      <c r="AE57">
        <v>550</v>
      </c>
    </row>
    <row r="58" spans="1:31" ht="15" customHeight="1" x14ac:dyDescent="0.25">
      <c r="A58" s="29">
        <v>0.14000000000000001</v>
      </c>
      <c r="B58" s="30">
        <v>0.59965468010187983</v>
      </c>
      <c r="C58" s="30">
        <v>2.302494469564919E-2</v>
      </c>
      <c r="D58" s="30">
        <v>0.16698255345004767</v>
      </c>
      <c r="E58" s="30">
        <v>3292.3084501503217</v>
      </c>
      <c r="F58" s="30">
        <v>549.75807175126999</v>
      </c>
      <c r="G58" s="31">
        <v>75.80521998572965</v>
      </c>
      <c r="L58" s="25"/>
      <c r="M58" s="25">
        <f t="shared" si="5"/>
        <v>0.14000000000000001</v>
      </c>
      <c r="AD58">
        <f t="shared" si="0"/>
        <v>3300.6975809016435</v>
      </c>
      <c r="AE58">
        <v>560</v>
      </c>
    </row>
    <row r="59" spans="1:31" ht="15" customHeight="1" x14ac:dyDescent="0.25">
      <c r="A59" s="29">
        <v>0.15</v>
      </c>
      <c r="B59" s="30">
        <v>0.58097146654880893</v>
      </c>
      <c r="C59" s="30">
        <v>2.3942164966673545E-2</v>
      </c>
      <c r="D59" s="30">
        <v>0.16177994133132914</v>
      </c>
      <c r="E59" s="30">
        <v>3275.2202640772084</v>
      </c>
      <c r="F59" s="30">
        <v>529.86494216959125</v>
      </c>
      <c r="G59" s="31">
        <v>78.415863864728621</v>
      </c>
      <c r="L59" s="25"/>
      <c r="M59" s="25">
        <f t="shared" si="5"/>
        <v>0.15</v>
      </c>
      <c r="AD59">
        <f t="shared" si="0"/>
        <v>3308.6368510344287</v>
      </c>
      <c r="AE59">
        <v>570</v>
      </c>
    </row>
    <row r="60" spans="1:31" ht="15" customHeight="1" x14ac:dyDescent="0.25">
      <c r="A60" s="29">
        <v>0.16</v>
      </c>
      <c r="B60" s="30">
        <v>0.56316827807014747</v>
      </c>
      <c r="C60" s="30">
        <v>2.4798882555206347E-2</v>
      </c>
      <c r="D60" s="30">
        <v>0.15682238497370299</v>
      </c>
      <c r="E60" s="30">
        <v>3257.8820157179248</v>
      </c>
      <c r="F60" s="30">
        <v>510.90882766781993</v>
      </c>
      <c r="G60" s="31">
        <v>80.791833486507741</v>
      </c>
      <c r="L60" s="25"/>
      <c r="M60" s="25">
        <f t="shared" si="5"/>
        <v>0.16</v>
      </c>
      <c r="AD60">
        <f t="shared" ref="AD60:AD113" si="6">$E$17*AE60/(1+$E$18*AE60)</f>
        <v>3316.3386779359225</v>
      </c>
      <c r="AE60">
        <v>580</v>
      </c>
    </row>
    <row r="61" spans="1:31" ht="15" customHeight="1" x14ac:dyDescent="0.25">
      <c r="A61" s="29">
        <v>0.17</v>
      </c>
      <c r="B61" s="30">
        <v>0.54618992927210608</v>
      </c>
      <c r="C61" s="30">
        <v>2.5599492675784891E-2</v>
      </c>
      <c r="D61" s="30">
        <v>0.15209451720290393</v>
      </c>
      <c r="E61" s="30">
        <v>3240.2941153679362</v>
      </c>
      <c r="F61" s="30">
        <v>492.83096907229685</v>
      </c>
      <c r="G61" s="31">
        <v>82.949885473750371</v>
      </c>
      <c r="L61" s="25"/>
      <c r="M61" s="25">
        <f t="shared" si="5"/>
        <v>0.17</v>
      </c>
      <c r="AD61">
        <f t="shared" si="6"/>
        <v>3323.8135566444384</v>
      </c>
      <c r="AE61">
        <v>590</v>
      </c>
    </row>
    <row r="62" spans="1:31" ht="15" customHeight="1" x14ac:dyDescent="0.25">
      <c r="A62" s="29">
        <v>0.18</v>
      </c>
      <c r="B62" s="30">
        <v>0.529985537338996</v>
      </c>
      <c r="C62" s="30">
        <v>2.6348018051333116E-2</v>
      </c>
      <c r="D62" s="30">
        <v>0.14758216896001794</v>
      </c>
      <c r="E62" s="30">
        <v>3222.4569659849449</v>
      </c>
      <c r="F62" s="30">
        <v>475.57718842037684</v>
      </c>
      <c r="G62" s="31">
        <v>84.905354309415472</v>
      </c>
      <c r="L62" s="25"/>
      <c r="M62" s="25">
        <f t="shared" si="5"/>
        <v>0.18</v>
      </c>
      <c r="AD62">
        <f t="shared" si="6"/>
        <v>3331.0713726683484</v>
      </c>
      <c r="AE62">
        <v>600</v>
      </c>
    </row>
    <row r="63" spans="1:31" ht="15" customHeight="1" x14ac:dyDescent="0.25">
      <c r="A63" s="29">
        <v>0.19</v>
      </c>
      <c r="B63" s="30">
        <v>0.51450812231029308</v>
      </c>
      <c r="C63" s="30">
        <v>2.7048145321829226E-2</v>
      </c>
      <c r="D63" s="30">
        <v>0.14327225799282617</v>
      </c>
      <c r="E63" s="30">
        <v>3204.3709632510408</v>
      </c>
      <c r="F63" s="30">
        <v>459.09746335162379</v>
      </c>
      <c r="G63" s="31">
        <v>86.672291479064043</v>
      </c>
      <c r="L63" s="25"/>
      <c r="M63" s="25">
        <f t="shared" si="5"/>
        <v>0.19</v>
      </c>
      <c r="AD63">
        <f t="shared" si="6"/>
        <v>3338.1214456030716</v>
      </c>
      <c r="AE63">
        <v>610</v>
      </c>
    </row>
    <row r="64" spans="1:31" ht="15" customHeight="1" x14ac:dyDescent="0.25">
      <c r="A64" s="29">
        <v>0.2</v>
      </c>
      <c r="B64" s="30">
        <v>0.49971425038404899</v>
      </c>
      <c r="C64" s="30">
        <v>2.7703257411339003E-2</v>
      </c>
      <c r="D64" s="30">
        <v>0.13915268952846013</v>
      </c>
      <c r="E64" s="30">
        <v>3186.0364956945173</v>
      </c>
      <c r="F64" s="30">
        <v>443.34554731172233</v>
      </c>
      <c r="G64" s="31">
        <v>88.263589162145678</v>
      </c>
      <c r="L64" s="25"/>
      <c r="M64" s="25">
        <f t="shared" si="5"/>
        <v>0.2</v>
      </c>
      <c r="AD64">
        <f t="shared" si="6"/>
        <v>3344.9725690555165</v>
      </c>
      <c r="AE64">
        <v>620</v>
      </c>
    </row>
    <row r="65" spans="1:31" ht="15" customHeight="1" x14ac:dyDescent="0.25">
      <c r="A65" s="29">
        <v>0.21</v>
      </c>
      <c r="B65" s="30">
        <v>0.48556371498754353</v>
      </c>
      <c r="C65" s="30">
        <v>2.831646235634885E-2</v>
      </c>
      <c r="D65" s="30">
        <v>0.13521226746289347</v>
      </c>
      <c r="E65" s="30">
        <v>3167.4539448644869</v>
      </c>
      <c r="F65" s="30">
        <v>428.27862996941383</v>
      </c>
      <c r="G65" s="31">
        <v>89.69109039522391</v>
      </c>
      <c r="L65" s="25"/>
      <c r="M65" s="25">
        <f t="shared" si="5"/>
        <v>0.21</v>
      </c>
      <c r="AD65">
        <f t="shared" si="6"/>
        <v>3351.633047235604</v>
      </c>
      <c r="AE65">
        <v>630</v>
      </c>
    </row>
    <row r="66" spans="1:31" ht="15" customHeight="1" x14ac:dyDescent="0.25">
      <c r="A66" s="29">
        <v>0.22</v>
      </c>
      <c r="B66" s="30">
        <v>0.47201925107466908</v>
      </c>
      <c r="C66" s="30">
        <v>2.8890619028937085E-2</v>
      </c>
      <c r="D66" s="30">
        <v>0.13144061480289998</v>
      </c>
      <c r="E66" s="30">
        <v>3148.623685551941</v>
      </c>
      <c r="F66" s="30">
        <v>413.85703301191978</v>
      </c>
      <c r="G66" s="31">
        <v>90.965687364768925</v>
      </c>
      <c r="L66" s="25"/>
      <c r="M66" s="25">
        <f t="shared" si="5"/>
        <v>0.22</v>
      </c>
      <c r="AD66">
        <f t="shared" si="6"/>
        <v>3358.1107285350331</v>
      </c>
      <c r="AE66">
        <v>640</v>
      </c>
    </row>
    <row r="67" spans="1:31" ht="15" customHeight="1" x14ac:dyDescent="0.25">
      <c r="A67" s="29">
        <v>0.23</v>
      </c>
      <c r="B67" s="30">
        <v>0.45904627871976766</v>
      </c>
      <c r="C67" s="30">
        <v>2.9428360129442985E-2</v>
      </c>
      <c r="D67" s="30">
        <v>0.12782810226603414</v>
      </c>
      <c r="E67" s="30">
        <v>3129.5460860513122</v>
      </c>
      <c r="F67" s="30">
        <v>400.0439371340338</v>
      </c>
      <c r="G67" s="31">
        <v>92.097409262006778</v>
      </c>
      <c r="L67" s="25"/>
      <c r="M67" s="25">
        <f t="shared" si="5"/>
        <v>0.23</v>
      </c>
      <c r="AD67">
        <f t="shared" si="6"/>
        <v>3364.4130363787526</v>
      </c>
      <c r="AE67">
        <v>650</v>
      </c>
    </row>
    <row r="68" spans="1:31" ht="15" customHeight="1" x14ac:dyDescent="0.25">
      <c r="A68" s="29">
        <v>0.24</v>
      </c>
      <c r="B68" s="30">
        <v>0.4466126725973425</v>
      </c>
      <c r="C68" s="30">
        <v>2.9932112773194745E-2</v>
      </c>
      <c r="D68" s="30">
        <v>0.12436578408890933</v>
      </c>
      <c r="E68" s="30">
        <v>3110.2215084570475</v>
      </c>
      <c r="F68" s="30">
        <v>386.80513658945091</v>
      </c>
      <c r="G68" s="31">
        <v>93.095500940752217</v>
      </c>
      <c r="L68" s="25"/>
      <c r="M68" s="25">
        <f t="shared" si="5"/>
        <v>0.24</v>
      </c>
      <c r="AD68">
        <f t="shared" si="6"/>
        <v>3370.5469976041422</v>
      </c>
      <c r="AE68">
        <v>660</v>
      </c>
    </row>
    <row r="69" spans="1:31" ht="15" customHeight="1" x14ac:dyDescent="0.25">
      <c r="A69" s="29">
        <v>0.25</v>
      </c>
      <c r="B69" s="30">
        <v>0.43468855438093951</v>
      </c>
      <c r="C69" s="30">
        <v>3.0404116953115356E-2</v>
      </c>
      <c r="D69" s="30">
        <v>0.12104534021765177</v>
      </c>
      <c r="E69" s="30">
        <v>3090.6503089901112</v>
      </c>
      <c r="F69" s="30">
        <v>374.1088181454985</v>
      </c>
      <c r="G69" s="31">
        <v>93.96849345571745</v>
      </c>
      <c r="L69" s="25"/>
      <c r="M69" s="25">
        <f t="shared" si="5"/>
        <v>0.25</v>
      </c>
      <c r="AD69">
        <f t="shared" si="6"/>
        <v>3376.5192685959664</v>
      </c>
      <c r="AE69">
        <v>670</v>
      </c>
    </row>
    <row r="70" spans="1:31" ht="15" customHeight="1" x14ac:dyDescent="0.25">
      <c r="A70" s="29">
        <v>0.26</v>
      </c>
      <c r="B70" s="30">
        <v>0.42324610547457209</v>
      </c>
      <c r="C70" s="30">
        <v>3.0846442123461156E-2</v>
      </c>
      <c r="D70" s="30">
        <v>0.11785902416024634</v>
      </c>
      <c r="E70" s="30">
        <v>3070.8328383497192</v>
      </c>
      <c r="F70" s="30">
        <v>361.92536168713724</v>
      </c>
      <c r="G70" s="31">
        <v>94.724267418978556</v>
      </c>
      <c r="L70" s="25"/>
      <c r="M70" s="25">
        <f t="shared" si="5"/>
        <v>0.26</v>
      </c>
      <c r="AD70">
        <f t="shared" si="6"/>
        <v>3382.3361593814871</v>
      </c>
      <c r="AE70">
        <v>680</v>
      </c>
    </row>
    <row r="71" spans="1:31" ht="15" customHeight="1" x14ac:dyDescent="0.25">
      <c r="A71" s="29">
        <v>0.27</v>
      </c>
      <c r="B71" s="30">
        <v>0.41225939781640808</v>
      </c>
      <c r="C71" s="30">
        <v>3.1261002118592375E-2</v>
      </c>
      <c r="D71" s="30">
        <v>0.11479961587136626</v>
      </c>
      <c r="E71" s="30">
        <v>3050.769442086008</v>
      </c>
      <c r="F71" s="30">
        <v>350.22716006357592</v>
      </c>
      <c r="G71" s="31">
        <v>95.370109992387569</v>
      </c>
      <c r="L71" s="25"/>
      <c r="M71" s="25">
        <f t="shared" si="5"/>
        <v>0.27</v>
      </c>
      <c r="AD71">
        <f t="shared" si="6"/>
        <v>3388.0036558690763</v>
      </c>
      <c r="AE71">
        <v>690</v>
      </c>
    </row>
    <row r="72" spans="1:31" ht="15" customHeight="1" x14ac:dyDescent="0.25">
      <c r="A72" s="29">
        <v>0.28000000000000003</v>
      </c>
      <c r="B72" s="30">
        <v>0.40170424077530392</v>
      </c>
      <c r="C72" s="30">
        <v>3.1649568593716891E-2</v>
      </c>
      <c r="D72" s="30">
        <v>0.11186037911848981</v>
      </c>
      <c r="E72" s="30">
        <v>3030.4604609896655</v>
      </c>
      <c r="F72" s="30">
        <v>338.98845606989738</v>
      </c>
      <c r="G72" s="31">
        <v>95.912766230639335</v>
      </c>
      <c r="L72" s="25"/>
      <c r="M72" s="25">
        <f t="shared" si="5"/>
        <v>0.28000000000000003</v>
      </c>
      <c r="AD72">
        <f t="shared" si="6"/>
        <v>3393.5274403951016</v>
      </c>
      <c r="AE72">
        <v>700</v>
      </c>
    </row>
    <row r="73" spans="1:31" ht="15" customHeight="1" x14ac:dyDescent="0.25">
      <c r="A73" s="29">
        <v>0.28999999999999998</v>
      </c>
      <c r="B73" s="30">
        <v>0.39155804240312425</v>
      </c>
      <c r="C73" s="30">
        <v>3.2013783151319856E-2</v>
      </c>
      <c r="D73" s="30">
        <v>0.10903502284559383</v>
      </c>
      <c r="E73" s="30">
        <v>3009.9062314949183</v>
      </c>
      <c r="F73" s="30">
        <v>328.18519471414351</v>
      </c>
      <c r="G73" s="31">
        <v>96.358485400884661</v>
      </c>
      <c r="L73" s="25"/>
      <c r="M73" s="25">
        <f t="shared" si="5"/>
        <v>0.28999999999999998</v>
      </c>
      <c r="AD73">
        <f t="shared" si="6"/>
        <v>3398.9129107273443</v>
      </c>
      <c r="AE73">
        <v>710</v>
      </c>
    </row>
    <row r="74" spans="1:31" ht="15" customHeight="1" x14ac:dyDescent="0.25">
      <c r="A74" s="29">
        <v>0.3</v>
      </c>
      <c r="B74" s="30">
        <v>0.38179968351535931</v>
      </c>
      <c r="C74" s="30">
        <v>3.2355168296928388E-2</v>
      </c>
      <c r="D74" s="30">
        <v>0.10631766610907321</v>
      </c>
      <c r="E74" s="30">
        <v>2989.107086092577</v>
      </c>
      <c r="F74" s="30">
        <v>317.79488914345546</v>
      </c>
      <c r="G74" s="31">
        <v>96.713062828066541</v>
      </c>
      <c r="L74" s="25"/>
      <c r="M74" s="25">
        <f t="shared" si="5"/>
        <v>0.3</v>
      </c>
      <c r="AD74">
        <f t="shared" si="6"/>
        <v>3404.1651976585504</v>
      </c>
      <c r="AE74">
        <v>720</v>
      </c>
    </row>
    <row r="75" spans="1:31" ht="15" customHeight="1" x14ac:dyDescent="0.25">
      <c r="A75" s="29">
        <v>0.31</v>
      </c>
      <c r="B75" s="30">
        <v>0.37240940325421801</v>
      </c>
      <c r="C75" s="30">
        <v>3.2675137350494272E-2</v>
      </c>
      <c r="D75" s="30">
        <v>0.10370280621112235</v>
      </c>
      <c r="E75" s="30">
        <v>2968.0633537501353</v>
      </c>
      <c r="F75" s="30">
        <v>307.79649879628425</v>
      </c>
      <c r="G75" s="31">
        <v>96.981877748754343</v>
      </c>
      <c r="L75" s="25"/>
      <c r="M75" s="25">
        <f t="shared" si="5"/>
        <v>0.31</v>
      </c>
      <c r="AD75">
        <f t="shared" si="6"/>
        <v>3409.2891813106453</v>
      </c>
      <c r="AE75">
        <v>730</v>
      </c>
    </row>
    <row r="76" spans="1:31" ht="15" customHeight="1" x14ac:dyDescent="0.25">
      <c r="A76" s="29">
        <v>0.32</v>
      </c>
      <c r="B76" s="30">
        <v>0.36336869494617685</v>
      </c>
      <c r="C76" s="30">
        <v>3.2975003424613757E-2</v>
      </c>
      <c r="D76" s="30">
        <v>0.10118528969975736</v>
      </c>
      <c r="E76" s="30">
        <v>2946.7753603362112</v>
      </c>
      <c r="F76" s="30">
        <v>298.17031851572636</v>
      </c>
      <c r="G76" s="31">
        <v>97.169927598653999</v>
      </c>
      <c r="L76" s="25"/>
      <c r="M76" s="25">
        <f t="shared" si="5"/>
        <v>0.32</v>
      </c>
      <c r="AD76">
        <f t="shared" si="6"/>
        <v>3414.2895062585299</v>
      </c>
      <c r="AE76">
        <v>740</v>
      </c>
    </row>
    <row r="77" spans="1:31" ht="15" customHeight="1" x14ac:dyDescent="0.25">
      <c r="A77" s="29">
        <v>0.33</v>
      </c>
      <c r="B77" s="30">
        <v>0.35466021120334157</v>
      </c>
      <c r="C77" s="30">
        <v>3.3255987567709033E-2</v>
      </c>
      <c r="D77" s="30">
        <v>9.8760285942912168E-2</v>
      </c>
      <c r="E77" s="30">
        <v>2925.2434290468718</v>
      </c>
      <c r="F77" s="30">
        <v>288.89787750529393</v>
      </c>
      <c r="G77" s="31">
        <v>97.281859108905309</v>
      </c>
      <c r="L77" s="25"/>
      <c r="M77" s="25">
        <f t="shared" si="5"/>
        <v>0.33</v>
      </c>
      <c r="AD77">
        <f t="shared" si="6"/>
        <v>3419.1705955719658</v>
      </c>
      <c r="AE77">
        <v>750</v>
      </c>
    </row>
    <row r="78" spans="1:31" ht="15" customHeight="1" x14ac:dyDescent="0.25">
      <c r="A78" s="29">
        <v>0.34</v>
      </c>
      <c r="B78" s="30">
        <v>0.34626767733781055</v>
      </c>
      <c r="C78" s="30">
        <v>3.3519226158892031E-2</v>
      </c>
      <c r="D78" s="30">
        <v>9.6423263017410665E-2</v>
      </c>
      <c r="E78" s="30">
        <v>2903.4678808316362</v>
      </c>
      <c r="F78" s="30">
        <v>279.96184713603287</v>
      </c>
      <c r="G78" s="31">
        <v>97.321996542674583</v>
      </c>
      <c r="L78" s="25"/>
      <c r="M78" s="25">
        <f t="shared" si="5"/>
        <v>0.34</v>
      </c>
      <c r="AD78">
        <f t="shared" si="6"/>
        <v>3423.9366638647889</v>
      </c>
      <c r="AE78">
        <v>760</v>
      </c>
    </row>
    <row r="79" spans="1:31" ht="15" customHeight="1" x14ac:dyDescent="0.25">
      <c r="A79" s="29">
        <v>0.35</v>
      </c>
      <c r="B79" s="30">
        <v>0.33817581226297005</v>
      </c>
      <c r="C79" s="30">
        <v>3.3765777631279394E-2</v>
      </c>
      <c r="D79" s="30">
        <v>9.4169965682783727E-2</v>
      </c>
      <c r="E79" s="30">
        <v>2881.4490348171785</v>
      </c>
      <c r="F79" s="30">
        <v>271.34595672542406</v>
      </c>
      <c r="G79" s="31">
        <v>97.294367365501486</v>
      </c>
      <c r="L79" s="25"/>
      <c r="M79" s="25">
        <f t="shared" si="5"/>
        <v>0.35</v>
      </c>
      <c r="AD79">
        <f t="shared" si="6"/>
        <v>3428.5917294323622</v>
      </c>
      <c r="AE79">
        <v>770</v>
      </c>
    </row>
    <row r="80" spans="1:31" ht="15" customHeight="1" x14ac:dyDescent="0.25">
      <c r="A80" s="29">
        <v>0.36</v>
      </c>
      <c r="B80" s="30">
        <v>0.33037025614737897</v>
      </c>
      <c r="C80" s="30">
        <v>3.399662859182636E-2</v>
      </c>
      <c r="D80" s="30">
        <v>9.1996395235442951E-2</v>
      </c>
      <c r="E80" s="30">
        <v>2859.1872087269585</v>
      </c>
      <c r="F80" s="30">
        <v>263.0349165061682</v>
      </c>
      <c r="G80" s="31">
        <v>97.202725609591113</v>
      </c>
      <c r="L80" s="25"/>
      <c r="M80" s="25">
        <f t="shared" si="5"/>
        <v>0.36</v>
      </c>
      <c r="AD80">
        <f t="shared" si="6"/>
        <v>3433.1396255507439</v>
      </c>
      <c r="AE80">
        <v>780</v>
      </c>
    </row>
    <row r="81" spans="1:31" ht="15" customHeight="1" x14ac:dyDescent="0.25">
      <c r="A81" s="29">
        <v>0.37</v>
      </c>
      <c r="B81" s="30">
        <v>0.32283750416738044</v>
      </c>
      <c r="C81" s="30">
        <v>3.4212699398127683E-2</v>
      </c>
      <c r="D81" s="30">
        <v>8.9898791061133243E-2</v>
      </c>
      <c r="E81" s="30">
        <v>2836.6827192952192</v>
      </c>
      <c r="F81" s="30">
        <v>255.01434708864818</v>
      </c>
      <c r="G81" s="31">
        <v>97.050573163110741</v>
      </c>
      <c r="L81" s="25"/>
      <c r="M81" s="25">
        <f t="shared" si="5"/>
        <v>0.37</v>
      </c>
      <c r="AD81">
        <f t="shared" si="6"/>
        <v>3437.5840110043378</v>
      </c>
      <c r="AE81">
        <v>790</v>
      </c>
    </row>
    <row r="82" spans="1:31" ht="15" customHeight="1" x14ac:dyDescent="0.25">
      <c r="A82" s="29">
        <v>0.38</v>
      </c>
      <c r="B82" s="30">
        <v>0.31556484577532051</v>
      </c>
      <c r="C82" s="30">
        <v>3.4414849245946968E-2</v>
      </c>
      <c r="D82" s="30">
        <v>8.7873613723286462E-2</v>
      </c>
      <c r="E82" s="30">
        <v>2813.9358826739503</v>
      </c>
      <c r="F82" s="30">
        <v>247.27071479618584</v>
      </c>
      <c r="G82" s="31">
        <v>96.841179189984715</v>
      </c>
      <c r="L82" s="25"/>
      <c r="M82" s="25">
        <f t="shared" si="5"/>
        <v>0.38</v>
      </c>
      <c r="AD82">
        <f t="shared" si="6"/>
        <v>3441.9283799028099</v>
      </c>
      <c r="AE82">
        <v>800</v>
      </c>
    </row>
    <row r="83" spans="1:31" ht="15" customHeight="1" x14ac:dyDescent="0.25">
      <c r="A83" s="29">
        <v>0.39</v>
      </c>
      <c r="B83" s="30">
        <v>0.30854030896254203</v>
      </c>
      <c r="C83" s="30">
        <v>3.4603880815359998E-2</v>
      </c>
      <c r="D83" s="30">
        <v>8.5917529442242707E-2</v>
      </c>
      <c r="E83" s="30">
        <v>2790.9470148316109</v>
      </c>
      <c r="F83" s="30">
        <v>239.79127231853428</v>
      </c>
      <c r="G83" s="31">
        <v>96.577597863217832</v>
      </c>
      <c r="L83" s="25"/>
      <c r="M83" s="25">
        <f t="shared" si="5"/>
        <v>0.39</v>
      </c>
      <c r="AD83">
        <f t="shared" si="6"/>
        <v>3446.1760708426082</v>
      </c>
      <c r="AE83">
        <v>810</v>
      </c>
    </row>
    <row r="84" spans="1:31" ht="15" customHeight="1" x14ac:dyDescent="0.25">
      <c r="A84" s="29">
        <v>0.4</v>
      </c>
      <c r="B84" s="30">
        <v>0.30175260905127022</v>
      </c>
      <c r="C84" s="30">
        <v>3.4780544518223849E-2</v>
      </c>
      <c r="D84" s="30">
        <v>8.4027395835607199E-2</v>
      </c>
      <c r="E84" s="30">
        <v>2767.7164319425419</v>
      </c>
      <c r="F84" s="30">
        <v>232.56400418755044</v>
      </c>
      <c r="G84" s="31">
        <v>96.262684574997252</v>
      </c>
      <c r="L84" s="25"/>
      <c r="M84" s="25">
        <f t="shared" si="5"/>
        <v>0.4</v>
      </c>
      <c r="AD84">
        <f t="shared" si="6"/>
        <v>3450.3302754635893</v>
      </c>
      <c r="AE84">
        <v>820</v>
      </c>
    </row>
    <row r="85" spans="1:31" ht="15" customHeight="1" x14ac:dyDescent="0.25">
      <c r="A85" s="29">
        <v>0.41</v>
      </c>
      <c r="B85" s="30">
        <v>0.29519110159804574</v>
      </c>
      <c r="C85" s="30">
        <v>3.4945542385122895E-2</v>
      </c>
      <c r="D85" s="30">
        <v>8.2200248803527345E-2</v>
      </c>
      <c r="E85" s="30">
        <v>2744.2444507661398</v>
      </c>
      <c r="F85" s="30">
        <v>225.57757663067594</v>
      </c>
      <c r="G85" s="31">
        <v>95.899110769386439</v>
      </c>
      <c r="L85" s="25"/>
      <c r="M85" s="25">
        <f t="shared" si="5"/>
        <v>0.41</v>
      </c>
      <c r="AD85">
        <f t="shared" si="6"/>
        <v>3454.3940464468287</v>
      </c>
      <c r="AE85">
        <v>830</v>
      </c>
    </row>
    <row r="86" spans="1:31" ht="15" customHeight="1" x14ac:dyDescent="0.25">
      <c r="A86" s="29">
        <v>0.42</v>
      </c>
      <c r="B86" s="30">
        <v>0.28884573903432609</v>
      </c>
      <c r="C86" s="30">
        <v>3.509953162591363E-2</v>
      </c>
      <c r="D86" s="30">
        <v>8.0433290454638567E-2</v>
      </c>
      <c r="E86" s="30">
        <v>2720.5313890150146</v>
      </c>
      <c r="F86" s="30">
        <v>218.82129140360601</v>
      </c>
      <c r="G86" s="31">
        <v>95.48937752802324</v>
      </c>
      <c r="L86" s="25"/>
      <c r="M86" s="25">
        <f t="shared" si="5"/>
        <v>0.42</v>
      </c>
      <c r="AD86">
        <f t="shared" si="6"/>
        <v>3458.3703049957426</v>
      </c>
      <c r="AE86">
        <v>840</v>
      </c>
    </row>
    <row r="87" spans="1:31" ht="15" customHeight="1" x14ac:dyDescent="0.25">
      <c r="A87" s="29">
        <v>0.43</v>
      </c>
      <c r="B87" s="30">
        <v>0.28270703070795095</v>
      </c>
      <c r="C87" s="30">
        <v>3.5243127894427746E-2</v>
      </c>
      <c r="D87" s="30">
        <v>7.8723877979030049E-2</v>
      </c>
      <c r="E87" s="30">
        <v>2696.5775657114441</v>
      </c>
      <c r="F87" s="30">
        <v>212.28504324405765</v>
      </c>
      <c r="G87" s="31">
        <v>95.035828025613071</v>
      </c>
      <c r="L87" s="25"/>
      <c r="M87" s="25">
        <f t="shared" si="5"/>
        <v>0.43</v>
      </c>
      <c r="AD87">
        <f t="shared" si="6"/>
        <v>3462.2618478390386</v>
      </c>
      <c r="AE87">
        <v>850</v>
      </c>
    </row>
    <row r="88" spans="1:31" ht="15" customHeight="1" x14ac:dyDescent="0.25">
      <c r="A88" s="29">
        <v>0.44</v>
      </c>
      <c r="B88" s="30">
        <v>0.27676600602296936</v>
      </c>
      <c r="C88" s="30">
        <v>3.5376908284736761E-2</v>
      </c>
      <c r="D88" s="30">
        <v>7.706951338399437E-2</v>
      </c>
      <c r="E88" s="30">
        <v>2672.3833015315672</v>
      </c>
      <c r="F88" s="30">
        <v>205.95928062455016</v>
      </c>
      <c r="G88" s="31">
        <v>94.540658959944281</v>
      </c>
      <c r="L88" s="25"/>
      <c r="M88" s="25">
        <f t="shared" si="5"/>
        <v>0.44</v>
      </c>
      <c r="AD88">
        <f t="shared" si="6"/>
        <v>3466.07135379079</v>
      </c>
      <c r="AE88">
        <v>860</v>
      </c>
    </row>
    <row r="89" spans="1:31" ht="15" customHeight="1" x14ac:dyDescent="0.25">
      <c r="A89" s="29">
        <v>0.45</v>
      </c>
      <c r="B89" s="30">
        <v>0.2710141804053825</v>
      </c>
      <c r="C89" s="30">
        <v>3.5501414083581637E-2</v>
      </c>
      <c r="D89" s="30">
        <v>7.5467834016694393E-2</v>
      </c>
      <c r="E89" s="30">
        <v>2647.9489191368621</v>
      </c>
      <c r="F89" s="30">
        <v>199.83496951410606</v>
      </c>
      <c r="G89" s="31">
        <v>94.005931050450172</v>
      </c>
      <c r="L89" s="25"/>
      <c r="M89" s="25">
        <f t="shared" si="5"/>
        <v>0.45</v>
      </c>
      <c r="AD89">
        <f t="shared" si="6"/>
        <v>3469.8013898999543</v>
      </c>
      <c r="AE89">
        <v>870</v>
      </c>
    </row>
    <row r="90" spans="1:31" ht="15" customHeight="1" x14ac:dyDescent="0.25">
      <c r="A90" s="29">
        <v>0.46</v>
      </c>
      <c r="B90" s="30">
        <v>0.26544352384910719</v>
      </c>
      <c r="C90" s="30">
        <v>3.5617153301084704E-2</v>
      </c>
      <c r="D90" s="30">
        <v>7.3916603805329981E-2</v>
      </c>
      <c r="E90" s="30">
        <v>2623.2747434925172</v>
      </c>
      <c r="F90" s="30">
        <v>193.90355988726509</v>
      </c>
      <c r="G90" s="31">
        <v>93.433578689836636</v>
      </c>
      <c r="L90" s="25"/>
      <c r="M90" s="25">
        <f t="shared" si="5"/>
        <v>0.46</v>
      </c>
      <c r="AD90">
        <f t="shared" si="6"/>
        <v>3473.454417219019</v>
      </c>
      <c r="AE90">
        <v>880</v>
      </c>
    </row>
    <row r="91" spans="1:31" ht="15" customHeight="1" x14ac:dyDescent="0.25">
      <c r="A91" s="29">
        <v>0.47</v>
      </c>
      <c r="B91" s="30">
        <v>0.26004643182032355</v>
      </c>
      <c r="C91" s="30">
        <v>3.5724602999648344E-2</v>
      </c>
      <c r="D91" s="30">
        <v>7.2413705157031133E-2</v>
      </c>
      <c r="E91" s="30">
        <v>2598.3611021724173</v>
      </c>
      <c r="F91" s="30">
        <v>188.15695474421184</v>
      </c>
      <c r="G91" s="31">
        <v>92.825418824838323</v>
      </c>
      <c r="L91" s="25"/>
      <c r="M91" s="25">
        <f t="shared" si="5"/>
        <v>0.47</v>
      </c>
      <c r="AD91">
        <f t="shared" si="6"/>
        <v>3477.0327962189981</v>
      </c>
      <c r="AE91">
        <v>890</v>
      </c>
    </row>
    <row r="92" spans="1:31" ht="15" customHeight="1" x14ac:dyDescent="0.25">
      <c r="A92" s="29">
        <v>0.48</v>
      </c>
      <c r="B92" s="30">
        <v>0.25481569831967105</v>
      </c>
      <c r="C92" s="30">
        <v>3.5824211438975503E-2</v>
      </c>
      <c r="D92" s="30">
        <v>7.0957131456635333E-2</v>
      </c>
      <c r="E92" s="30">
        <v>2573.2083256505271</v>
      </c>
      <c r="F92" s="30">
        <v>182.58748142849294</v>
      </c>
      <c r="G92" s="31">
        <v>92.183159134636611</v>
      </c>
      <c r="L92" s="25"/>
      <c r="M92" s="25">
        <f t="shared" si="5"/>
        <v>0.48</v>
      </c>
      <c r="AD92">
        <f t="shared" si="6"/>
        <v>3480.5387918758333</v>
      </c>
      <c r="AE92">
        <v>900</v>
      </c>
    </row>
    <row r="93" spans="1:31" ht="15" customHeight="1" x14ac:dyDescent="0.25">
      <c r="A93" s="29">
        <v>0.49</v>
      </c>
      <c r="B93" s="30">
        <v>0.24974449092079545</v>
      </c>
      <c r="C93" s="30">
        <v>3.5916400053389773E-2</v>
      </c>
      <c r="D93" s="30">
        <v>6.9544980115808383E-2</v>
      </c>
      <c r="E93" s="30">
        <v>2547.8167475785099</v>
      </c>
      <c r="F93" s="30">
        <v>177.18786504907109</v>
      </c>
      <c r="G93" s="31">
        <v>91.508405568756146</v>
      </c>
      <c r="L93" s="25"/>
      <c r="M93" s="25">
        <f t="shared" si="5"/>
        <v>0.49</v>
      </c>
      <c r="AD93">
        <f t="shared" si="6"/>
        <v>3483.9745784512165</v>
      </c>
      <c r="AE93">
        <v>910</v>
      </c>
    </row>
    <row r="94" spans="1:31" ht="15" customHeight="1" x14ac:dyDescent="0.25">
      <c r="A94" s="29">
        <v>0.5</v>
      </c>
      <c r="B94" s="30">
        <v>0.24482632762079964</v>
      </c>
      <c r="C94" s="30">
        <v>3.6001565276063602E-2</v>
      </c>
      <c r="D94" s="30">
        <v>6.8175446126716388E-2</v>
      </c>
      <c r="E94" s="30">
        <v>2522.186705049503</v>
      </c>
      <c r="F94" s="30">
        <v>171.95120383162276</v>
      </c>
      <c r="G94" s="31">
        <v>90.802669300259453</v>
      </c>
      <c r="L94" s="25"/>
      <c r="M94" s="25">
        <f t="shared" si="5"/>
        <v>0.5</v>
      </c>
      <c r="AD94">
        <f t="shared" si="6"/>
        <v>3487.3422439890528</v>
      </c>
      <c r="AE94">
        <v>920</v>
      </c>
    </row>
    <row r="95" spans="1:31" ht="15" customHeight="1" x14ac:dyDescent="0.25">
      <c r="A95" s="29">
        <v>0.51</v>
      </c>
      <c r="B95" s="30">
        <v>0.2400550553534288</v>
      </c>
      <c r="C95" s="30">
        <v>3.6080080223361281E-2</v>
      </c>
      <c r="D95" s="30">
        <v>6.6846816078710056E-2</v>
      </c>
      <c r="E95" s="30">
        <v>2496.3185388480115</v>
      </c>
      <c r="F95" s="30">
        <v>166.87094624024726</v>
      </c>
      <c r="G95" s="31">
        <v>90.067373144700269</v>
      </c>
      <c r="L95" s="25"/>
      <c r="M95" s="25">
        <f t="shared" si="5"/>
        <v>0.51</v>
      </c>
      <c r="AD95">
        <f t="shared" si="6"/>
        <v>3490.6437945470843</v>
      </c>
      <c r="AE95">
        <v>930</v>
      </c>
    </row>
    <row r="96" spans="1:31" ht="15" customHeight="1" x14ac:dyDescent="0.25">
      <c r="A96" s="29">
        <v>0.52</v>
      </c>
      <c r="B96" s="30">
        <v>0.23542483002953274</v>
      </c>
      <c r="C96" s="30">
        <v>3.6152296251246906E-2</v>
      </c>
      <c r="D96" s="30">
        <v>6.5557462600301653E-2</v>
      </c>
      <c r="E96" s="30">
        <v>2470.2125936859252</v>
      </c>
      <c r="F96" s="30">
        <v>161.94086972535919</v>
      </c>
      <c r="G96" s="31">
        <v>89.303857490494565</v>
      </c>
      <c r="L96" s="25"/>
      <c r="M96" s="25">
        <f t="shared" si="5"/>
        <v>0.52</v>
      </c>
      <c r="AD96">
        <f t="shared" si="6"/>
        <v>3493.8811581817217</v>
      </c>
      <c r="AE96">
        <v>940</v>
      </c>
    </row>
    <row r="97" spans="1:31" ht="15" customHeight="1" x14ac:dyDescent="0.25">
      <c r="A97" s="29">
        <v>0.53</v>
      </c>
      <c r="B97" s="30">
        <v>0.23093009798167222</v>
      </c>
      <c r="C97" s="30">
        <v>3.6218544394583239E-2</v>
      </c>
      <c r="D97" s="30">
        <v>6.430583919214615E-2</v>
      </c>
      <c r="E97" s="30">
        <v>2443.8692184247175</v>
      </c>
      <c r="F97" s="30">
        <v>157.15506096665578</v>
      </c>
      <c r="G97" s="31">
        <v>88.513385782071069</v>
      </c>
      <c r="L97" s="25"/>
      <c r="M97" s="25">
        <f t="shared" si="5"/>
        <v>0.53</v>
      </c>
      <c r="AD97">
        <f t="shared" si="6"/>
        <v>3497.0561887026897</v>
      </c>
      <c r="AE97">
        <v>950</v>
      </c>
    </row>
    <row r="98" spans="1:31" ht="15" customHeight="1" x14ac:dyDescent="0.25">
      <c r="A98" s="29">
        <v>0.54</v>
      </c>
      <c r="B98" s="30">
        <v>0.22656557870081895</v>
      </c>
      <c r="C98" s="30">
        <v>3.627913669913755E-2</v>
      </c>
      <c r="D98" s="30">
        <v>6.3090475419824682E-2</v>
      </c>
      <c r="E98" s="30">
        <v>2417.2887662839244</v>
      </c>
      <c r="F98" s="30">
        <v>152.50789749185432</v>
      </c>
      <c r="G98" s="31">
        <v>87.697149593304047</v>
      </c>
      <c r="L98" s="25"/>
      <c r="M98" s="25">
        <f t="shared" si="5"/>
        <v>0.54</v>
      </c>
      <c r="AD98">
        <f t="shared" si="6"/>
        <v>3500.1706692128651</v>
      </c>
      <c r="AE98">
        <v>960</v>
      </c>
    </row>
    <row r="99" spans="1:31" ht="15" customHeight="1" x14ac:dyDescent="0.25">
      <c r="A99" s="29">
        <v>0.55000000000000004</v>
      </c>
      <c r="B99" s="30">
        <v>0.22232624876308388</v>
      </c>
      <c r="C99" s="30">
        <v>3.6334367455203589E-2</v>
      </c>
      <c r="D99" s="30">
        <v>6.1909972438008602E-2</v>
      </c>
      <c r="E99" s="30">
        <v>2390.4715950360178</v>
      </c>
      <c r="F99" s="30">
        <v>147.99403056252237</v>
      </c>
      <c r="G99" s="31">
        <v>86.856273325265306</v>
      </c>
      <c r="L99" s="25"/>
      <c r="M99" s="25">
        <f t="shared" si="5"/>
        <v>0.55000000000000004</v>
      </c>
      <c r="AD99">
        <f t="shared" si="6"/>
        <v>3503.2263154475086</v>
      </c>
      <c r="AE99">
        <v>970</v>
      </c>
    </row>
    <row r="100" spans="1:31" ht="15" customHeight="1" x14ac:dyDescent="0.25">
      <c r="A100" s="29">
        <v>0.56000000000000005</v>
      </c>
      <c r="B100" s="30">
        <v>0.21820732685340971</v>
      </c>
      <c r="C100" s="30">
        <v>3.6384514340934739E-2</v>
      </c>
      <c r="D100" s="30">
        <v>6.0762998820089231E-2</v>
      </c>
      <c r="E100" s="30">
        <v>2363.4180671878416</v>
      </c>
      <c r="F100" s="30">
        <v>143.60836922791239</v>
      </c>
      <c r="G100" s="31">
        <v>85.991818559220292</v>
      </c>
      <c r="L100" s="25"/>
      <c r="M100" s="25">
        <f t="shared" si="5"/>
        <v>0.56000000000000005</v>
      </c>
      <c r="AD100">
        <f t="shared" si="6"/>
        <v>3506.2247789260232</v>
      </c>
      <c r="AE100">
        <v>980</v>
      </c>
    </row>
    <row r="101" spans="1:31" ht="15" customHeight="1" x14ac:dyDescent="0.25">
      <c r="A101" s="29">
        <v>0.56999999999999995</v>
      </c>
      <c r="B101" s="30">
        <v>0.2142042598012916</v>
      </c>
      <c r="C101" s="30">
        <v>3.6429839482748388E-2</v>
      </c>
      <c r="D101" s="30">
        <v>5.9648286669621443E-2</v>
      </c>
      <c r="E101" s="30">
        <v>2336.1285501487901</v>
      </c>
      <c r="F101" s="30">
        <v>139.3460654563622</v>
      </c>
      <c r="G101" s="31">
        <v>85.104788092986141</v>
      </c>
      <c r="L101" s="25"/>
      <c r="M101" s="25">
        <f t="shared" si="5"/>
        <v>0.56999999999999995</v>
      </c>
      <c r="AD101">
        <f t="shared" si="6"/>
        <v>3509.1676499284108</v>
      </c>
      <c r="AE101">
        <v>990</v>
      </c>
    </row>
    <row r="102" spans="1:31" ht="15" customHeight="1" x14ac:dyDescent="0.25">
      <c r="A102" s="29">
        <v>0.57999999999999996</v>
      </c>
      <c r="B102" s="30">
        <v>0.21031270955093084</v>
      </c>
      <c r="C102" s="30">
        <v>3.6470590439501113E-2</v>
      </c>
      <c r="D102" s="30">
        <v>5.8564627991973824E-2</v>
      </c>
      <c r="E102" s="30">
        <v>2308.6034163859222</v>
      </c>
      <c r="F102" s="30">
        <v>135.2025002616414</v>
      </c>
      <c r="G102" s="31">
        <v>84.196129686244021</v>
      </c>
      <c r="L102" s="25"/>
      <c r="M102" s="25">
        <f t="shared" si="5"/>
        <v>0.57999999999999996</v>
      </c>
      <c r="AD102">
        <f t="shared" si="6"/>
        <v>3512.0564603076964</v>
      </c>
      <c r="AE102">
        <v>1000</v>
      </c>
    </row>
    <row r="103" spans="1:31" ht="15" customHeight="1" x14ac:dyDescent="0.25">
      <c r="A103" s="29">
        <v>0.59</v>
      </c>
      <c r="B103" s="30">
        <v>0.20652854099487075</v>
      </c>
      <c r="C103" s="30">
        <v>3.6507001116538318E-2</v>
      </c>
      <c r="D103" s="30">
        <v>5.751087130642784E-2</v>
      </c>
      <c r="E103" s="30">
        <v>2280.8430435662563</v>
      </c>
      <c r="F103" s="30">
        <v>131.17327074870016</v>
      </c>
      <c r="G103" s="31">
        <v>83.266739538121968</v>
      </c>
      <c r="L103" s="25"/>
      <c r="M103" s="25">
        <f t="shared" si="5"/>
        <v>0.59</v>
      </c>
      <c r="AD103">
        <f t="shared" si="6"/>
        <v>3514.8926861487712</v>
      </c>
      <c r="AE103">
        <v>1010</v>
      </c>
    </row>
    <row r="104" spans="1:31" ht="15" customHeight="1" x14ac:dyDescent="0.25">
      <c r="A104" s="29">
        <v>0.6</v>
      </c>
      <c r="B104" s="30">
        <v>0.20284781060617973</v>
      </c>
      <c r="C104" s="30">
        <v>3.6539292615182649E-2</v>
      </c>
      <c r="D104" s="30">
        <v>5.6485918480644187E-2</v>
      </c>
      <c r="E104" s="30">
        <v>2252.8478146864704</v>
      </c>
      <c r="F104" s="30">
        <v>127.25417800967739</v>
      </c>
      <c r="G104" s="31">
        <v>82.31746551830372</v>
      </c>
      <c r="L104" s="25"/>
      <c r="M104" s="25">
        <f t="shared" si="5"/>
        <v>0.6</v>
      </c>
      <c r="AD104">
        <f t="shared" si="6"/>
        <v>3517.6777502833465</v>
      </c>
      <c r="AE104">
        <v>1020</v>
      </c>
    </row>
    <row r="105" spans="1:31" ht="15" customHeight="1" x14ac:dyDescent="0.25">
      <c r="A105" s="29">
        <v>0.61</v>
      </c>
      <c r="B105" s="30">
        <v>0.19926675580969788</v>
      </c>
      <c r="C105" s="30">
        <v>3.65676740227402E-2</v>
      </c>
      <c r="D105" s="30">
        <v>5.5488721770932045E-2</v>
      </c>
      <c r="E105" s="30">
        <v>2224.6181181902693</v>
      </c>
      <c r="F105" s="30">
        <v>123.44121580683428</v>
      </c>
      <c r="G105" s="31">
        <v>81.349110171063501</v>
      </c>
      <c r="L105" s="25"/>
      <c r="M105" s="25">
        <f t="shared" si="5"/>
        <v>0.61</v>
      </c>
      <c r="AD105">
        <f t="shared" si="6"/>
        <v>3520.4130246700252</v>
      </c>
      <c r="AE105">
        <v>1030</v>
      </c>
    </row>
    <row r="106" spans="1:31" ht="15" customHeight="1" x14ac:dyDescent="0.25">
      <c r="A106" s="29">
        <v>0.62</v>
      </c>
      <c r="B106" s="30">
        <v>0.1957817850378121</v>
      </c>
      <c r="C106" s="30">
        <v>3.659234314766216E-2</v>
      </c>
      <c r="D106" s="30">
        <v>5.4518281053135262E-2</v>
      </c>
      <c r="E106" s="30">
        <v>2196.15434807369</v>
      </c>
      <c r="F106" s="30">
        <v>119.73055998434647</v>
      </c>
      <c r="G106" s="31">
        <v>80.362433509942747</v>
      </c>
      <c r="L106" s="25"/>
      <c r="M106" s="25">
        <f t="shared" si="5"/>
        <v>0.62</v>
      </c>
      <c r="AD106">
        <f t="shared" si="6"/>
        <v>3523.0998326478598</v>
      </c>
      <c r="AE106">
        <v>1040</v>
      </c>
    </row>
    <row r="107" spans="1:31" ht="15" customHeight="1" x14ac:dyDescent="0.25">
      <c r="A107" s="29">
        <v>0.630000000000001</v>
      </c>
      <c r="B107" s="30">
        <v>0.192389468420718</v>
      </c>
      <c r="C107" s="30">
        <v>3.6613487204102339E-2</v>
      </c>
      <c r="D107" s="30">
        <v>5.3573641230200565E-2</v>
      </c>
      <c r="E107" s="30">
        <v>2167.4569039786106</v>
      </c>
      <c r="F107" s="30">
        <v>116.11855855567137</v>
      </c>
      <c r="G107" s="31">
        <v>79.358155619264139</v>
      </c>
      <c r="L107" s="25"/>
      <c r="M107" s="25">
        <f t="shared" si="5"/>
        <v>0.630000000000001</v>
      </c>
      <c r="AD107">
        <f t="shared" si="6"/>
        <v>3525.7394510711688</v>
      </c>
      <c r="AE107">
        <v>1050</v>
      </c>
    </row>
    <row r="108" spans="1:31" ht="15" customHeight="1" x14ac:dyDescent="0.25">
      <c r="A108" s="29">
        <v>0.64000000000000101</v>
      </c>
      <c r="B108" s="30">
        <v>0.18908652906521395</v>
      </c>
      <c r="C108" s="30">
        <v>3.6631283449749204E-2</v>
      </c>
      <c r="D108" s="30">
        <v>5.2653889803631164E-2</v>
      </c>
      <c r="E108" s="30">
        <v>2138.5261912747792</v>
      </c>
      <c r="F108" s="30">
        <v>112.60172241756128</v>
      </c>
      <c r="G108" s="31">
        <v>78.336959077299014</v>
      </c>
      <c r="L108" s="25"/>
      <c r="M108" s="25">
        <f t="shared" ref="M108:M171" si="7">A108</f>
        <v>0.64000000000000101</v>
      </c>
      <c r="AD108">
        <f t="shared" si="6"/>
        <v>3528.3331123328412</v>
      </c>
      <c r="AE108">
        <v>1060</v>
      </c>
    </row>
    <row r="109" spans="1:31" ht="15" customHeight="1" x14ac:dyDescent="0.25">
      <c r="A109" s="29">
        <v>0.65000000000000102</v>
      </c>
      <c r="B109" s="30">
        <v>0.18586983487978326</v>
      </c>
      <c r="C109" s="30">
        <v>3.6645899780483562E-2</v>
      </c>
      <c r="D109" s="30">
        <v>5.1758154597062143E-2</v>
      </c>
      <c r="E109" s="30">
        <v>2109.3626211305991</v>
      </c>
      <c r="F109" s="30">
        <v>109.17671664574176</v>
      </c>
      <c r="G109" s="31">
        <v>77.299491214650047</v>
      </c>
      <c r="L109" s="25"/>
      <c r="M109" s="25">
        <f t="shared" si="7"/>
        <v>0.65000000000000102</v>
      </c>
      <c r="AD109">
        <f t="shared" si="6"/>
        <v>3530.8820062828822</v>
      </c>
      <c r="AE109">
        <v>1070</v>
      </c>
    </row>
    <row r="110" spans="1:31" ht="15" customHeight="1" x14ac:dyDescent="0.25">
      <c r="A110" s="29">
        <v>0.66000000000000103</v>
      </c>
      <c r="B110" s="30">
        <v>0.18273639090711699</v>
      </c>
      <c r="C110" s="30">
        <v>3.6657495285115839E-2</v>
      </c>
      <c r="D110" s="30">
        <v>5.0885601621140107E-2</v>
      </c>
      <c r="E110" s="30">
        <v>2079.9666105730294</v>
      </c>
      <c r="F110" s="30">
        <v>105.84035233089224</v>
      </c>
      <c r="G110" s="31">
        <v>76.246366220279199</v>
      </c>
      <c r="L110" s="25"/>
      <c r="M110" s="25">
        <f t="shared" si="7"/>
        <v>0.66000000000000103</v>
      </c>
      <c r="AD110">
        <f t="shared" si="6"/>
        <v>3533.3872820484585</v>
      </c>
      <c r="AE110">
        <v>1080</v>
      </c>
    </row>
    <row r="111" spans="1:31" ht="15" customHeight="1" x14ac:dyDescent="0.25">
      <c r="A111" s="29">
        <v>0.67000000000000104</v>
      </c>
      <c r="B111" s="30">
        <v>0.17968333212830656</v>
      </c>
      <c r="C111" s="30">
        <v>3.6666220763187027E-2</v>
      </c>
      <c r="D111" s="30">
        <v>5.0035433069746102E-2</v>
      </c>
      <c r="E111" s="30">
        <v>2050.338582536865</v>
      </c>
      <c r="F111" s="30">
        <v>102.5895789168414</v>
      </c>
      <c r="G111" s="31">
        <v>75.178167106576652</v>
      </c>
      <c r="L111" s="25"/>
      <c r="M111" s="25">
        <f t="shared" si="7"/>
        <v>0.67000000000000104</v>
      </c>
      <c r="AD111">
        <f t="shared" si="6"/>
        <v>3535.8500497613045</v>
      </c>
      <c r="AE111">
        <v>1090</v>
      </c>
    </row>
    <row r="112" spans="1:31" ht="15" customHeight="1" x14ac:dyDescent="0.25">
      <c r="A112" s="29">
        <v>0.68000000000000105</v>
      </c>
      <c r="B112" s="30">
        <v>0.17670791670575453</v>
      </c>
      <c r="C112" s="30">
        <v>3.6672219208570937E-2</v>
      </c>
      <c r="D112" s="30">
        <v>4.9206885438386035E-2</v>
      </c>
      <c r="E112" s="30">
        <v>2020.4789659037069</v>
      </c>
      <c r="F112" s="30">
        <v>99.421477005892385</v>
      </c>
      <c r="G112" s="31">
        <v>74.095447543927463</v>
      </c>
      <c r="L112" s="25"/>
      <c r="M112" s="25">
        <f t="shared" si="7"/>
        <v>0.68000000000000105</v>
      </c>
      <c r="AD112">
        <f t="shared" si="6"/>
        <v>3538.2713821979328</v>
      </c>
      <c r="AE112">
        <v>1100</v>
      </c>
    </row>
    <row r="113" spans="1:31" ht="15" customHeight="1" x14ac:dyDescent="0.25">
      <c r="A113" s="29">
        <v>0.69000000000000095</v>
      </c>
      <c r="B113" s="30">
        <v>0.17380751963442465</v>
      </c>
      <c r="C113" s="30">
        <v>3.667562626139264E-2</v>
      </c>
      <c r="D113" s="30">
        <v>4.8399227756289027E-2</v>
      </c>
      <c r="E113" s="30">
        <v>1990.3881955309298</v>
      </c>
      <c r="F113" s="30">
        <v>96.333251598930616</v>
      </c>
      <c r="G113" s="31">
        <v>72.998733574380083</v>
      </c>
      <c r="L113" s="25"/>
      <c r="M113" s="25">
        <f t="shared" si="7"/>
        <v>0.69000000000000095</v>
      </c>
      <c r="AD113">
        <f t="shared" si="6"/>
        <v>3540.6523163377533</v>
      </c>
      <c r="AE113">
        <v>1110</v>
      </c>
    </row>
    <row r="114" spans="1:31" ht="15" customHeight="1" x14ac:dyDescent="0.25">
      <c r="A114" s="29">
        <v>0.70000000000000095</v>
      </c>
      <c r="B114" s="30">
        <v>0.1709796267733992</v>
      </c>
      <c r="C114" s="30">
        <v>3.6676570630573543E-2</v>
      </c>
      <c r="D114" s="30">
        <v>4.7611759924407915E-2</v>
      </c>
      <c r="E114" s="30">
        <v>1960.0667122709419</v>
      </c>
      <c r="F114" s="30">
        <v>93.322225740467601</v>
      </c>
      <c r="G114" s="31">
        <v>71.888525213241266</v>
      </c>
      <c r="L114" s="25"/>
      <c r="M114" s="25">
        <f t="shared" si="7"/>
        <v>0.70000000000000095</v>
      </c>
    </row>
    <row r="115" spans="1:31" ht="15" customHeight="1" x14ac:dyDescent="0.25">
      <c r="A115" s="29">
        <v>0.71000000000000096</v>
      </c>
      <c r="B115" s="30">
        <v>0.16822182923186518</v>
      </c>
      <c r="C115" s="30">
        <v>3.6675174489128617E-2</v>
      </c>
      <c r="D115" s="30">
        <v>4.6843811152115541E-2</v>
      </c>
      <c r="E115" s="30">
        <v>1929.5149629810692</v>
      </c>
      <c r="F115" s="30">
        <v>90.385834541066416</v>
      </c>
      <c r="G115" s="31">
        <v>70.765297946715251</v>
      </c>
      <c r="L115" s="25"/>
      <c r="M115" s="25">
        <f t="shared" si="7"/>
        <v>0.71000000000000096</v>
      </c>
    </row>
    <row r="116" spans="1:31" ht="15" customHeight="1" x14ac:dyDescent="0.25">
      <c r="A116" s="29">
        <v>0.72000000000000097</v>
      </c>
      <c r="B116" s="30">
        <v>0.1655318180856126</v>
      </c>
      <c r="C116" s="30">
        <v>3.6671553844171201E-2</v>
      </c>
      <c r="D116" s="30">
        <v>4.6094738485937016E-2</v>
      </c>
      <c r="E116" s="30">
        <v>1898.7334005243265</v>
      </c>
      <c r="F116" s="30">
        <v>87.521619551682733</v>
      </c>
      <c r="G116" s="31">
        <v>69.629504133054127</v>
      </c>
      <c r="L116" s="25"/>
      <c r="M116" s="25">
        <f t="shared" si="7"/>
        <v>0.72000000000000097</v>
      </c>
    </row>
    <row r="117" spans="1:31" ht="15" customHeight="1" x14ac:dyDescent="0.25">
      <c r="A117" s="29">
        <v>0.73000000000000098</v>
      </c>
      <c r="B117" s="30">
        <v>0.1629073794019365</v>
      </c>
      <c r="C117" s="30">
        <v>3.6665818883426619E-2</v>
      </c>
      <c r="D117" s="30">
        <v>4.5363925424161428E-2</v>
      </c>
      <c r="E117" s="30">
        <v>1867.7224837614074</v>
      </c>
      <c r="F117" s="30">
        <v>84.727223466382043</v>
      </c>
      <c r="G117" s="31">
        <v>68.481574314099475</v>
      </c>
      <c r="L117" s="25"/>
      <c r="M117" s="25">
        <f t="shared" si="7"/>
        <v>0.73000000000000098</v>
      </c>
    </row>
    <row r="118" spans="1:31" ht="15" customHeight="1" x14ac:dyDescent="0.25">
      <c r="A118" s="29">
        <v>0.74000000000000099</v>
      </c>
      <c r="B118" s="30">
        <v>0.1603463895524842</v>
      </c>
      <c r="C118" s="30">
        <v>3.6658074299914405E-2</v>
      </c>
      <c r="D118" s="30">
        <v>4.465078061163609E-2</v>
      </c>
      <c r="E118" s="30">
        <v>1836.4826775341867</v>
      </c>
      <c r="F118" s="30">
        <v>82.000385131648997</v>
      </c>
      <c r="G118" s="31">
        <v>67.321918443553955</v>
      </c>
      <c r="L118" s="25"/>
      <c r="M118" s="25">
        <f t="shared" si="7"/>
        <v>0.74000000000000099</v>
      </c>
    </row>
    <row r="119" spans="1:31" ht="15" customHeight="1" x14ac:dyDescent="0.25">
      <c r="A119" s="29">
        <v>0.750000000000001</v>
      </c>
      <c r="B119" s="30">
        <v>0.15784681079510487</v>
      </c>
      <c r="C119" s="30">
        <v>3.66484195963298E-2</v>
      </c>
      <c r="D119" s="30">
        <v>4.3954736609468401E-2</v>
      </c>
      <c r="E119" s="30">
        <v>1805.0144526410179</v>
      </c>
      <c r="F119" s="30">
        <v>79.338934842119713</v>
      </c>
      <c r="G119" s="31">
        <v>66.150927037827586</v>
      </c>
      <c r="L119" s="25"/>
      <c r="M119" s="25">
        <f t="shared" si="7"/>
        <v>0.750000000000001</v>
      </c>
    </row>
    <row r="120" spans="1:31" ht="15" customHeight="1" x14ac:dyDescent="0.25">
      <c r="A120" s="29">
        <v>0.76000000000000101</v>
      </c>
      <c r="B120" s="30">
        <v>0.15540668710715289</v>
      </c>
      <c r="C120" s="30">
        <v>3.6636949370536506E-2</v>
      </c>
      <c r="D120" s="30">
        <v>4.3275248734748667E-2</v>
      </c>
      <c r="E120" s="30">
        <v>1773.3182858041305</v>
      </c>
      <c r="F120" s="30">
        <v>76.74078990405188</v>
      </c>
      <c r="G120" s="31">
        <v>64.968972254852517</v>
      </c>
      <c r="L120" s="25"/>
      <c r="M120" s="25">
        <f t="shared" si="7"/>
        <v>0.76000000000000101</v>
      </c>
    </row>
    <row r="121" spans="1:31" ht="15" customHeight="1" x14ac:dyDescent="0.25">
      <c r="A121" s="29">
        <v>0.77000000000000102</v>
      </c>
      <c r="B121" s="30">
        <v>0.15302414025397557</v>
      </c>
      <c r="C121" s="30">
        <v>3.6623753583475499E-2</v>
      </c>
      <c r="D121" s="30">
        <v>4.2611793965763402E-2</v>
      </c>
      <c r="E121" s="30">
        <v>1741.3946596294179</v>
      </c>
      <c r="F121" s="30">
        <v>74.203950449209444</v>
      </c>
      <c r="G121" s="31">
        <v>63.776408905847994</v>
      </c>
      <c r="L121" s="25"/>
      <c r="M121" s="25">
        <f t="shared" si="7"/>
        <v>0.77000000000000102</v>
      </c>
    </row>
    <row r="122" spans="1:31" ht="15" customHeight="1" x14ac:dyDescent="0.25">
      <c r="A122" s="29">
        <v>0.78000000000000103</v>
      </c>
      <c r="B122" s="30">
        <v>0.15069736607749043</v>
      </c>
      <c r="C122" s="30">
        <v>3.6608917810693892E-2</v>
      </c>
      <c r="D122" s="30">
        <v>4.1963869908495793E-2</v>
      </c>
      <c r="E122" s="30">
        <v>1709.244062558892</v>
      </c>
      <c r="F122" s="30">
        <v>71.72649548309019</v>
      </c>
      <c r="G122" s="31">
        <v>62.573575404635008</v>
      </c>
      <c r="L122" s="25"/>
      <c r="M122" s="25">
        <f t="shared" si="7"/>
        <v>0.78000000000000103</v>
      </c>
    </row>
    <row r="123" spans="1:31" ht="15" customHeight="1" x14ac:dyDescent="0.25">
      <c r="A123" s="29">
        <v>0.79000000000000103</v>
      </c>
      <c r="B123" s="30">
        <v>0.14842463099084269</v>
      </c>
      <c r="C123" s="30">
        <v>3.6592523478608759E-2</v>
      </c>
      <c r="D123" s="30">
        <v>4.1330993820512155E-2</v>
      </c>
      <c r="E123" s="30">
        <v>1676.86698881609</v>
      </c>
      <c r="F123" s="30">
        <v>69.306579152578649</v>
      </c>
      <c r="G123" s="31">
        <v>61.360794658756745</v>
      </c>
      <c r="L123" s="25"/>
      <c r="M123" s="25">
        <f t="shared" si="7"/>
        <v>0.79000000000000103</v>
      </c>
    </row>
    <row r="124" spans="1:31" ht="15" customHeight="1" x14ac:dyDescent="0.25">
      <c r="A124" s="29">
        <v>0.80000000000000104</v>
      </c>
      <c r="B124" s="30">
        <v>0.1462042686661279</v>
      </c>
      <c r="C124" s="30">
        <v>3.6574648086535502E-2</v>
      </c>
      <c r="D124" s="30">
        <v>4.0712701688610228E-2</v>
      </c>
      <c r="E124" s="30">
        <v>1644.2639383447049</v>
      </c>
      <c r="F124" s="30">
        <v>66.942427219167371</v>
      </c>
      <c r="G124" s="31">
        <v>60.138374906338491</v>
      </c>
      <c r="L124" s="25"/>
      <c r="M124" s="25">
        <f t="shared" si="7"/>
        <v>0.80000000000000104</v>
      </c>
    </row>
    <row r="125" spans="1:31" ht="15" customHeight="1" x14ac:dyDescent="0.25">
      <c r="A125" s="29">
        <v>0.81000000000000105</v>
      </c>
      <c r="B125" s="30">
        <v>0.14403467690308647</v>
      </c>
      <c r="C125" s="30">
        <v>3.6555365415435179E-2</v>
      </c>
      <c r="D125" s="30">
        <v>4.0108547356861667E-2</v>
      </c>
      <c r="E125" s="30">
        <v>1611.4354167407275</v>
      </c>
      <c r="F125" s="30">
        <v>64.632333724869596</v>
      </c>
      <c r="G125" s="31">
        <v>58.906610502331368</v>
      </c>
      <c r="L125" s="25"/>
      <c r="M125" s="25">
        <f t="shared" si="7"/>
        <v>0.81000000000000105</v>
      </c>
    </row>
    <row r="126" spans="1:31" ht="15" customHeight="1" x14ac:dyDescent="0.25">
      <c r="A126" s="29">
        <v>0.82000000000000095</v>
      </c>
      <c r="B126" s="30">
        <v>0.14191431466752008</v>
      </c>
      <c r="C126" s="30">
        <v>3.6534745724263955E-2</v>
      </c>
      <c r="D126" s="30">
        <v>3.9518101701916102E-2</v>
      </c>
      <c r="E126" s="30">
        <v>1578.38193517834</v>
      </c>
      <c r="F126" s="30">
        <v>62.374657838844783</v>
      </c>
      <c r="G126" s="31">
        <v>57.665782657512324</v>
      </c>
      <c r="L126" s="25"/>
      <c r="M126" s="25">
        <f t="shared" si="7"/>
        <v>0.82000000000000095</v>
      </c>
    </row>
    <row r="127" spans="1:31" ht="15" customHeight="1" x14ac:dyDescent="0.25">
      <c r="A127" s="29">
        <v>0.83000000000000096</v>
      </c>
      <c r="B127" s="30">
        <v>0.13984169928896542</v>
      </c>
      <c r="C127" s="30">
        <v>3.6512855934743377E-2</v>
      </c>
      <c r="D127" s="30">
        <v>3.89409518526527E-2</v>
      </c>
      <c r="E127" s="30">
        <v>1545.1040103298499</v>
      </c>
      <c r="F127" s="30">
        <v>60.167820873595282</v>
      </c>
      <c r="G127" s="31">
        <v>56.416160133368052</v>
      </c>
      <c r="L127" s="25"/>
      <c r="M127" s="25">
        <f t="shared" si="7"/>
        <v>0.83000000000000096</v>
      </c>
    </row>
    <row r="128" spans="1:31" ht="15" customHeight="1" x14ac:dyDescent="0.25">
      <c r="A128" s="29">
        <v>0.84000000000000097</v>
      </c>
      <c r="B128" s="30">
        <v>0.13781540380787985</v>
      </c>
      <c r="C128" s="30">
        <v>3.6489759805310544E-2</v>
      </c>
      <c r="D128" s="30">
        <v>3.8376700451465476E-2</v>
      </c>
      <c r="E128" s="30">
        <v>1511.6021642799028</v>
      </c>
      <c r="F128" s="30">
        <v>58.010303460356738</v>
      </c>
      <c r="G128" s="31">
        <v>55.157999895761222</v>
      </c>
      <c r="L128" s="25"/>
      <c r="M128" s="25">
        <f t="shared" si="7"/>
        <v>0.84000000000000097</v>
      </c>
    </row>
    <row r="129" spans="1:13" ht="15" customHeight="1" x14ac:dyDescent="0.25">
      <c r="A129" s="29">
        <v>0.85000000000000098</v>
      </c>
      <c r="B129" s="30">
        <v>0.13583405446326136</v>
      </c>
      <c r="C129" s="30">
        <v>3.6465518094952618E-2</v>
      </c>
      <c r="D129" s="30">
        <v>3.7824964954654608E-2</v>
      </c>
      <c r="E129" s="30">
        <v>1477.8769244342352</v>
      </c>
      <c r="F129" s="30">
        <v>55.900642874017677</v>
      </c>
      <c r="G129" s="31">
        <v>53.891547730069526</v>
      </c>
      <c r="L129" s="25"/>
      <c r="M129" s="25">
        <f t="shared" si="7"/>
        <v>0.85000000000000098</v>
      </c>
    </row>
    <row r="130" spans="1:13" ht="15" customHeight="1" x14ac:dyDescent="0.25">
      <c r="A130" s="29">
        <v>0.86000000000000099</v>
      </c>
      <c r="B130" s="30">
        <v>0.13389632831224135</v>
      </c>
      <c r="C130" s="30">
        <v>3.6440188717579036E-2</v>
      </c>
      <c r="D130" s="30">
        <v>3.7285376969567456E-2</v>
      </c>
      <c r="E130" s="30">
        <v>1443.9288234232054</v>
      </c>
      <c r="F130" s="30">
        <v>53.837430498558213</v>
      </c>
      <c r="G130" s="31">
        <v>52.617038820293459</v>
      </c>
      <c r="L130" s="25"/>
      <c r="M130" s="25">
        <f t="shared" si="7"/>
        <v>0.86000000000000099</v>
      </c>
    </row>
    <row r="131" spans="1:13" ht="15" customHeight="1" x14ac:dyDescent="0.25">
      <c r="A131" s="29">
        <v>0.87000000000000099</v>
      </c>
      <c r="B131" s="30">
        <v>0.13200095097376005</v>
      </c>
      <c r="C131" s="30">
        <v>3.6413826887539157E-2</v>
      </c>
      <c r="D131" s="30">
        <v>3.6757581626292238E-2</v>
      </c>
      <c r="E131" s="30">
        <v>1409.7583990003627</v>
      </c>
      <c r="F131" s="30">
        <v>51.819309424606899</v>
      </c>
      <c r="G131" s="31">
        <v>51.33469829445356</v>
      </c>
      <c r="L131" s="25"/>
      <c r="M131" s="25">
        <f t="shared" si="7"/>
        <v>0.87000000000000099</v>
      </c>
    </row>
    <row r="132" spans="1:13" ht="15" customHeight="1" x14ac:dyDescent="0.25">
      <c r="A132" s="29">
        <v>0.880000000000001</v>
      </c>
      <c r="B132" s="30">
        <v>0.1301466944889596</v>
      </c>
      <c r="C132" s="30">
        <v>3.6386485256849219E-2</v>
      </c>
      <c r="D132" s="30">
        <v>3.6241236981853407E-2</v>
      </c>
      <c r="E132" s="30">
        <v>1375.3661939362655</v>
      </c>
      <c r="F132" s="30">
        <v>49.844972171273952</v>
      </c>
      <c r="G132" s="31">
        <v>50.044741738430751</v>
      </c>
      <c r="L132" s="25"/>
      <c r="M132" s="25">
        <f t="shared" si="7"/>
        <v>0.880000000000001</v>
      </c>
    </row>
    <row r="133" spans="1:13" ht="15" customHeight="1" x14ac:dyDescent="0.25">
      <c r="A133" s="29">
        <v>0.89000000000000101</v>
      </c>
      <c r="B133" s="30">
        <v>0.12833237529142189</v>
      </c>
      <c r="C133" s="30">
        <v>3.6358214044653413E-2</v>
      </c>
      <c r="D133" s="30">
        <v>3.5736013454994886E-2</v>
      </c>
      <c r="E133" s="30">
        <v>1340.7527559078001</v>
      </c>
      <c r="F133" s="30">
        <v>47.913158524942617</v>
      </c>
      <c r="G133" s="31">
        <v>48.747375680254748</v>
      </c>
      <c r="L133" s="25"/>
      <c r="M133" s="25">
        <f t="shared" si="7"/>
        <v>0.89000000000000101</v>
      </c>
    </row>
    <row r="134" spans="1:13" ht="15" customHeight="1" x14ac:dyDescent="0.25">
      <c r="A134" s="29">
        <v>0.90000000000000102</v>
      </c>
      <c r="B134" s="30">
        <v>0.12655685228082889</v>
      </c>
      <c r="C134" s="30">
        <v>3.6329061159407212E-2</v>
      </c>
      <c r="D134" s="30">
        <v>3.5241593289762847E-2</v>
      </c>
      <c r="E134" s="30">
        <v>1305.9186373832201</v>
      </c>
      <c r="F134" s="30">
        <v>46.02265348818073</v>
      </c>
      <c r="G134" s="31">
        <v>47.442798046704738</v>
      </c>
      <c r="L134" s="25"/>
      <c r="M134" s="25">
        <f t="shared" si="7"/>
        <v>0.90000000000000102</v>
      </c>
    </row>
    <row r="135" spans="1:13" ht="15" customHeight="1" x14ac:dyDescent="0.25">
      <c r="A135" s="29">
        <v>0.91000000000000103</v>
      </c>
      <c r="B135" s="30">
        <v>0.12481902499404413</v>
      </c>
      <c r="C135" s="30">
        <v>3.6299072314236992E-2</v>
      </c>
      <c r="D135" s="30">
        <v>3.4757670046216771E-2</v>
      </c>
      <c r="E135" s="30">
        <v>1270.8643955031207</v>
      </c>
      <c r="F135" s="30">
        <v>44.172285332382202</v>
      </c>
      <c r="G135" s="31">
        <v>46.13119859395686</v>
      </c>
      <c r="L135" s="25"/>
      <c r="M135" s="25">
        <f t="shared" si="7"/>
        <v>0.91000000000000103</v>
      </c>
    </row>
    <row r="136" spans="1:13" ht="15" customHeight="1" x14ac:dyDescent="0.25">
      <c r="A136" s="29">
        <v>0.92000000000000104</v>
      </c>
      <c r="B136" s="30">
        <v>0.12311783186800436</v>
      </c>
      <c r="C136" s="30">
        <v>3.6268291135899411E-2</v>
      </c>
      <c r="D136" s="30">
        <v>3.4283948116706396E-2</v>
      </c>
      <c r="E136" s="30">
        <v>1235.590591957586</v>
      </c>
      <c r="F136" s="30">
        <v>42.360923748164424</v>
      </c>
      <c r="G136" s="31">
        <v>44.812759313896024</v>
      </c>
      <c r="L136" s="25"/>
      <c r="M136" s="25">
        <f t="shared" si="7"/>
        <v>0.92000000000000104</v>
      </c>
    </row>
    <row r="137" spans="1:13" ht="15" customHeight="1" x14ac:dyDescent="0.25">
      <c r="A137" s="29">
        <v>0.93000000000000105</v>
      </c>
      <c r="B137" s="30">
        <v>0.12145224858916953</v>
      </c>
      <c r="C137" s="30">
        <v>3.6236759267734252E-2</v>
      </c>
      <c r="D137" s="30">
        <v>3.3820142266252115E-2</v>
      </c>
      <c r="E137" s="30">
        <v>1200.0977928596751</v>
      </c>
      <c r="F137" s="30">
        <v>40.587478087929377</v>
      </c>
      <c r="G137" s="31">
        <v>43.487654817595249</v>
      </c>
      <c r="L137" s="25"/>
      <c r="M137" s="25">
        <f t="shared" si="7"/>
        <v>0.93000000000000105</v>
      </c>
    </row>
    <row r="138" spans="1:13" ht="15" customHeight="1" x14ac:dyDescent="0.25">
      <c r="A138" s="29">
        <v>0.94000000000000095</v>
      </c>
      <c r="B138" s="30">
        <v>0.1198212865246206</v>
      </c>
      <c r="C138" s="30">
        <v>3.6204516466978323E-2</v>
      </c>
      <c r="D138" s="30">
        <v>3.3365977195661367E-2</v>
      </c>
      <c r="E138" s="30">
        <v>1164.3865686155291</v>
      </c>
      <c r="F138" s="30">
        <v>38.85089569536013</v>
      </c>
      <c r="G138" s="31">
        <v>42.156052697369311</v>
      </c>
      <c r="L138" s="25"/>
      <c r="M138" s="25">
        <f t="shared" si="7"/>
        <v>0.94000000000000095</v>
      </c>
    </row>
    <row r="139" spans="1:13" ht="15" customHeight="1" x14ac:dyDescent="0.25">
      <c r="A139" s="29">
        <v>0.95000000000000095</v>
      </c>
      <c r="B139" s="30">
        <v>0.11822399123019922</v>
      </c>
      <c r="C139" s="30">
        <v>3.6171600696783338E-2</v>
      </c>
      <c r="D139" s="30">
        <v>3.2921187126098476E-2</v>
      </c>
      <c r="E139" s="30">
        <v>1128.457493791205</v>
      </c>
      <c r="F139" s="30">
        <v>37.150160316948373</v>
      </c>
      <c r="G139" s="31">
        <v>40.81811386870833</v>
      </c>
      <c r="L139" s="25"/>
      <c r="M139" s="25">
        <f t="shared" si="7"/>
        <v>0.95000000000000095</v>
      </c>
    </row>
    <row r="140" spans="1:13" ht="15" customHeight="1" x14ac:dyDescent="0.25">
      <c r="A140" s="29">
        <v>0.96000000000000096</v>
      </c>
      <c r="B140" s="30">
        <v>0.11665944103138211</v>
      </c>
      <c r="C140" s="30">
        <v>3.6138048213256779E-2</v>
      </c>
      <c r="D140" s="30">
        <v>3.248551540390851E-2</v>
      </c>
      <c r="E140" s="30">
        <v>1092.3111469765227</v>
      </c>
      <c r="F140" s="30">
        <v>35.4842905909668</v>
      </c>
      <c r="G140" s="31">
        <v>39.473992893315391</v>
      </c>
      <c r="L140" s="25"/>
      <c r="M140" s="25">
        <f t="shared" si="7"/>
        <v>0.96000000000000096</v>
      </c>
    </row>
    <row r="141" spans="1:13" ht="15" customHeight="1" x14ac:dyDescent="0.25">
      <c r="A141" s="29">
        <v>0.97000000000000097</v>
      </c>
      <c r="B141" s="30">
        <v>0.11512674567284613</v>
      </c>
      <c r="C141" s="30">
        <v>3.6103893647825125E-2</v>
      </c>
      <c r="D141" s="30">
        <v>3.2058714124569052E-2</v>
      </c>
      <c r="E141" s="30">
        <v>1055.9481106460553</v>
      </c>
      <c r="F141" s="30">
        <v>33.852338609580698</v>
      </c>
      <c r="G141" s="31">
        <v>38.123838284387055</v>
      </c>
      <c r="L141" s="25"/>
      <c r="M141" s="25">
        <f t="shared" si="7"/>
        <v>0.97000000000000097</v>
      </c>
    </row>
    <row r="142" spans="1:13" ht="15" customHeight="1" x14ac:dyDescent="0.25">
      <c r="A142" s="29">
        <v>0.98000000000000098</v>
      </c>
      <c r="B142" s="30">
        <v>0.11362504503293556</v>
      </c>
      <c r="C142" s="30">
        <v>3.6069170085197381E-2</v>
      </c>
      <c r="D142" s="30">
        <v>3.164054377471498E-2</v>
      </c>
      <c r="E142" s="30">
        <v>1019.3689710174833</v>
      </c>
      <c r="F142" s="30">
        <v>32.253388550064848</v>
      </c>
      <c r="G142" s="31">
        <v>36.767792795202247</v>
      </c>
      <c r="L142" s="25"/>
      <c r="M142" s="25">
        <f t="shared" si="7"/>
        <v>0.98000000000000098</v>
      </c>
    </row>
    <row r="143" spans="1:13" ht="15" customHeight="1" x14ac:dyDescent="0.25">
      <c r="A143" s="29">
        <v>0.99000000000000099</v>
      </c>
      <c r="B143" s="30">
        <v>0.11215350789947551</v>
      </c>
      <c r="C143" s="30">
        <v>3.6033909137189804E-2</v>
      </c>
      <c r="D143" s="30">
        <v>3.1230772891245887E-2</v>
      </c>
      <c r="E143" s="30">
        <v>982.57431790746807</v>
      </c>
      <c r="F143" s="30">
        <v>30.686555371338972</v>
      </c>
      <c r="G143" s="31">
        <v>35.405993692013951</v>
      </c>
      <c r="L143" s="25"/>
      <c r="M143" s="25">
        <f t="shared" si="7"/>
        <v>0.99000000000000099</v>
      </c>
    </row>
    <row r="144" spans="1:13" ht="15" customHeight="1" x14ac:dyDescent="0.25">
      <c r="A144" s="29">
        <v>1</v>
      </c>
      <c r="B144" s="30">
        <v>0.11071133080359519</v>
      </c>
      <c r="C144" s="30">
        <v>3.5998141012655263E-2</v>
      </c>
      <c r="D144" s="30">
        <v>3.082917773658728E-2</v>
      </c>
      <c r="E144" s="30">
        <v>945.56474458527327</v>
      </c>
      <c r="F144" s="30">
        <v>29.150983572270146</v>
      </c>
      <c r="G144" s="31">
        <v>34.038573012176023</v>
      </c>
      <c r="L144" s="25"/>
      <c r="M144" s="25">
        <f t="shared" si="7"/>
        <v>1</v>
      </c>
    </row>
    <row r="145" spans="1:13" ht="15" customHeight="1" x14ac:dyDescent="0.25">
      <c r="A145" s="29">
        <v>1.01</v>
      </c>
      <c r="B145" s="30">
        <v>0.10929773690842412</v>
      </c>
      <c r="C145" s="30">
        <v>3.5961894583744748E-2</v>
      </c>
      <c r="D145" s="30">
        <v>3.0435541989231887E-2</v>
      </c>
      <c r="E145" s="30">
        <v>908.3408476242206</v>
      </c>
      <c r="F145" s="30">
        <v>27.645846008401449</v>
      </c>
      <c r="G145" s="31">
        <v>32.66565780837157</v>
      </c>
      <c r="L145" s="25"/>
      <c r="M145" s="25">
        <f t="shared" si="7"/>
        <v>1.01</v>
      </c>
    </row>
    <row r="146" spans="1:13" ht="15" customHeight="1" x14ac:dyDescent="0.25">
      <c r="A146" s="29">
        <v>1.02</v>
      </c>
      <c r="B146" s="30">
        <v>0.1079119749497213</v>
      </c>
      <c r="C146" s="30">
        <v>3.5925197448714148E-2</v>
      </c>
      <c r="D146" s="30">
        <v>3.0049656448742443E-2</v>
      </c>
      <c r="E146" s="30">
        <v>870.90322675126447</v>
      </c>
      <c r="F146" s="30">
        <v>26.170342763976738</v>
      </c>
      <c r="G146" s="31">
        <v>31.287370379761445</v>
      </c>
      <c r="L146" s="25"/>
      <c r="M146" s="25">
        <f t="shared" si="7"/>
        <v>1.02</v>
      </c>
    </row>
    <row r="147" spans="1:13" ht="15" customHeight="1" x14ac:dyDescent="0.25">
      <c r="A147" s="29">
        <v>1.03</v>
      </c>
      <c r="B147" s="30">
        <v>0.1065533182256652</v>
      </c>
      <c r="C147" s="30">
        <v>3.5888075991475893E-2</v>
      </c>
      <c r="D147" s="30">
        <v>2.9671318754444089E-2</v>
      </c>
      <c r="E147" s="30">
        <v>833.25248469473331</v>
      </c>
      <c r="F147" s="30">
        <v>24.723700076309978</v>
      </c>
      <c r="G147" s="31">
        <v>29.903828490810692</v>
      </c>
      <c r="L147" s="25"/>
      <c r="M147" s="25">
        <f t="shared" si="7"/>
        <v>1.03</v>
      </c>
    </row>
    <row r="148" spans="1:13" ht="15" customHeight="1" x14ac:dyDescent="0.25">
      <c r="A148" s="29">
        <v>1.04</v>
      </c>
      <c r="B148" s="30">
        <v>0.1052210636332062</v>
      </c>
      <c r="C148" s="30">
        <v>3.5850555438081889E-2</v>
      </c>
      <c r="D148" s="30">
        <v>2.9300333117082664E-2</v>
      </c>
      <c r="E148" s="30">
        <v>795.38922703048956</v>
      </c>
      <c r="F148" s="30">
        <v>23.305169309732236</v>
      </c>
      <c r="G148" s="31">
        <v>28.515145578509667</v>
      </c>
      <c r="L148" s="25"/>
      <c r="M148" s="25">
        <f t="shared" si="7"/>
        <v>1.04</v>
      </c>
    </row>
    <row r="149" spans="1:13" ht="15" customHeight="1" x14ac:dyDescent="0.25">
      <c r="A149" s="29">
        <v>1.05</v>
      </c>
      <c r="B149" s="30">
        <v>0.10391453074853127</v>
      </c>
      <c r="C149" s="30">
        <v>3.5812659910313023E-2</v>
      </c>
      <c r="D149" s="30">
        <v>2.8936510062766787E-2</v>
      </c>
      <c r="E149" s="30">
        <v>757.31406202661094</v>
      </c>
      <c r="F149" s="30">
        <v>21.914025976507816</v>
      </c>
      <c r="G149" s="31">
        <v>27.12143094865672</v>
      </c>
      <c r="L149" s="25"/>
      <c r="M149" s="25">
        <f t="shared" si="7"/>
        <v>1.05</v>
      </c>
    </row>
    <row r="150" spans="1:13" ht="15" customHeight="1" x14ac:dyDescent="0.25">
      <c r="A150" s="29">
        <v>1.06</v>
      </c>
      <c r="B150" s="30">
        <v>0.10263306094933849</v>
      </c>
      <c r="C150" s="30">
        <v>3.5774412476538814E-2</v>
      </c>
      <c r="D150" s="30">
        <v>2.8579666188552424E-2</v>
      </c>
      <c r="E150" s="30">
        <v>719.02760048676646</v>
      </c>
      <c r="F150" s="30">
        <v>20.549568802267618</v>
      </c>
      <c r="G150" s="31">
        <v>25.722789961829545</v>
      </c>
      <c r="L150" s="25"/>
      <c r="M150" s="25">
        <f t="shared" si="7"/>
        <v>1.06</v>
      </c>
    </row>
    <row r="151" spans="1:13" ht="15" customHeight="1" x14ac:dyDescent="0.25">
      <c r="A151" s="29">
        <v>1.07</v>
      </c>
      <c r="B151" s="30">
        <v>0.1013760165767526</v>
      </c>
      <c r="C151" s="30">
        <v>3.5735835200001509E-2</v>
      </c>
      <c r="D151" s="30">
        <v>2.8229623929066108E-2</v>
      </c>
      <c r="E151" s="30">
        <v>680.53045559244367</v>
      </c>
      <c r="F151" s="30">
        <v>19.211118833650708</v>
      </c>
      <c r="G151" s="31">
        <v>24.319324209633514</v>
      </c>
      <c r="L151" s="25"/>
      <c r="M151" s="25">
        <f t="shared" si="7"/>
        <v>1.07</v>
      </c>
    </row>
    <row r="152" spans="1:13" ht="15" customHeight="1" x14ac:dyDescent="0.25">
      <c r="A152" s="29">
        <v>1.08</v>
      </c>
      <c r="B152" s="30">
        <v>0.10014278013483779</v>
      </c>
      <c r="C152" s="30">
        <v>3.5696949184668189E-2</v>
      </c>
      <c r="D152" s="30">
        <v>2.7886211333597664E-2</v>
      </c>
      <c r="E152" s="30">
        <v>641.82324274413895</v>
      </c>
      <c r="F152" s="30">
        <v>17.898018585978015</v>
      </c>
      <c r="G152" s="31">
        <v>22.911131681776485</v>
      </c>
      <c r="L152" s="25"/>
      <c r="M152" s="25">
        <f t="shared" si="7"/>
        <v>1.08</v>
      </c>
    </row>
    <row r="153" spans="1:13" ht="15" customHeight="1" x14ac:dyDescent="0.25">
      <c r="A153" s="29">
        <v>1.0900000000000001</v>
      </c>
      <c r="B153" s="30">
        <v>9.8932753525784664E-2</v>
      </c>
      <c r="C153" s="30">
        <v>3.5657774618786789E-2</v>
      </c>
      <c r="D153" s="30">
        <v>2.7549261853126894E-2</v>
      </c>
      <c r="E153" s="30">
        <v>602.90657940169274</v>
      </c>
      <c r="F153" s="30">
        <v>16.609631228910274</v>
      </c>
      <c r="G153" s="31">
        <v>21.498306924489242</v>
      </c>
      <c r="L153" s="25"/>
      <c r="M153" s="25">
        <f t="shared" si="7"/>
        <v>1.0900000000000001</v>
      </c>
    </row>
    <row r="154" spans="1:13" ht="15" customHeight="1" x14ac:dyDescent="0.25">
      <c r="A154" s="29">
        <v>1.1000000000000001</v>
      </c>
      <c r="B154" s="30">
        <v>9.7745357318956186E-2</v>
      </c>
      <c r="C154" s="30">
        <v>3.5618330816272713E-2</v>
      </c>
      <c r="D154" s="30">
        <v>2.7218614136778823E-2</v>
      </c>
      <c r="E154" s="30">
        <v>563.78108492388947</v>
      </c>
      <c r="F154" s="30">
        <v>15.345339808157879</v>
      </c>
      <c r="G154" s="31">
        <v>20.080941190776237</v>
      </c>
      <c r="L154" s="25"/>
      <c r="M154" s="25">
        <f t="shared" si="7"/>
        <v>1.1000000000000001</v>
      </c>
    </row>
    <row r="155" spans="1:13" ht="15" customHeight="1" x14ac:dyDescent="0.25">
      <c r="A155" s="29">
        <v>1.1100000000000001</v>
      </c>
      <c r="B155" s="30">
        <v>9.6580030052081406E-2</v>
      </c>
      <c r="C155" s="30">
        <v>3.5578636256045397E-2</v>
      </c>
      <c r="D155" s="30">
        <v>2.6894111837230929E-2</v>
      </c>
      <c r="E155" s="30">
        <v>524.44738040742493</v>
      </c>
      <c r="F155" s="30">
        <v>14.104546501420078</v>
      </c>
      <c r="G155" s="31">
        <v>18.659122582951642</v>
      </c>
      <c r="L155" s="25"/>
      <c r="M155" s="25">
        <f t="shared" si="7"/>
        <v>1.1100000000000001</v>
      </c>
    </row>
    <row r="156" spans="1:13" ht="15" customHeight="1" x14ac:dyDescent="0.25">
      <c r="A156" s="29">
        <v>1.1200000000000001</v>
      </c>
      <c r="B156" s="30">
        <v>9.5436227562984366E-2</v>
      </c>
      <c r="C156" s="30">
        <v>3.5538708619427158E-2</v>
      </c>
      <c r="D156" s="30">
        <v>2.6575603424623371E-2</v>
      </c>
      <c r="E156" s="30">
        <v>484.9060885254284</v>
      </c>
      <c r="F156" s="30">
        <v>12.886671906837099</v>
      </c>
      <c r="G156" s="31">
        <v>17.232936187891351</v>
      </c>
      <c r="L156" s="25"/>
      <c r="M156" s="25">
        <f t="shared" si="7"/>
        <v>1.1200000000000001</v>
      </c>
    </row>
    <row r="157" spans="1:13" ht="15" customHeight="1" x14ac:dyDescent="0.25">
      <c r="A157" s="29">
        <v>1.1299999999999999</v>
      </c>
      <c r="B157" s="30">
        <v>9.4313422350324513E-2</v>
      </c>
      <c r="C157" s="30">
        <v>3.5498564825709393E-2</v>
      </c>
      <c r="D157" s="30">
        <v>2.6262942008547851E-2</v>
      </c>
      <c r="E157" s="30">
        <v>445.1578333656268</v>
      </c>
      <c r="F157" s="30">
        <v>11.691154362332263</v>
      </c>
      <c r="G157" s="31">
        <v>15.802464205402043</v>
      </c>
      <c r="L157" s="25"/>
      <c r="M157" s="25">
        <f t="shared" si="7"/>
        <v>1.1299999999999999</v>
      </c>
    </row>
    <row r="158" spans="1:13" ht="15" customHeight="1" x14ac:dyDescent="0.25">
      <c r="A158" s="29">
        <v>1.1399999999999999</v>
      </c>
      <c r="B158" s="30">
        <v>9.3211102961910278E-2</v>
      </c>
      <c r="C158" s="30">
        <v>3.5458221065985208E-2</v>
      </c>
      <c r="D158" s="30">
        <v>2.5955985167714673E-2</v>
      </c>
      <c r="E158" s="30">
        <v>405.2032402682745</v>
      </c>
      <c r="F158" s="30">
        <v>10.517449294313257</v>
      </c>
      <c r="G158" s="31">
        <v>14.367786070085996</v>
      </c>
      <c r="L158" s="25"/>
      <c r="M158" s="25">
        <f t="shared" si="7"/>
        <v>1.1399999999999999</v>
      </c>
    </row>
    <row r="159" spans="1:13" ht="15" customHeight="1" x14ac:dyDescent="0.25">
      <c r="A159" s="29">
        <v>1.1499999999999999</v>
      </c>
      <c r="B159" s="30">
        <v>9.2128773409229162E-2</v>
      </c>
      <c r="C159" s="30">
        <v>3.5417692835341977E-2</v>
      </c>
      <c r="D159" s="30">
        <v>2.5654594786920119E-2</v>
      </c>
      <c r="E159" s="30">
        <v>365.04293566398297</v>
      </c>
      <c r="F159" s="30">
        <v>9.3650285942872351</v>
      </c>
      <c r="G159" s="31">
        <v>12.928978567058452</v>
      </c>
      <c r="L159" s="25"/>
      <c r="M159" s="25">
        <f t="shared" si="7"/>
        <v>1.1499999999999999</v>
      </c>
    </row>
    <row r="160" spans="1:13" ht="15" customHeight="1" x14ac:dyDescent="0.25">
      <c r="A160" s="29">
        <v>1.1599999999999999</v>
      </c>
      <c r="B160" s="30">
        <v>9.106595260691018E-2</v>
      </c>
      <c r="C160" s="30">
        <v>3.5376994963500816E-2</v>
      </c>
      <c r="D160" s="30">
        <v>2.5358636900956653E-2</v>
      </c>
      <c r="E160" s="30">
        <v>324.67754691154909</v>
      </c>
      <c r="F160" s="30">
        <v>8.2333800220232938</v>
      </c>
      <c r="G160" s="31">
        <v>11.486115941851672</v>
      </c>
      <c r="L160" s="25"/>
      <c r="M160" s="25">
        <f t="shared" si="7"/>
        <v>1.1599999999999999</v>
      </c>
    </row>
    <row r="161" spans="1:13" ht="15" customHeight="1" x14ac:dyDescent="0.25">
      <c r="A161" s="29">
        <v>1.17</v>
      </c>
      <c r="B161" s="30">
        <v>9.002217383590766E-2</v>
      </c>
      <c r="C161" s="30">
        <v>3.5336141643986421E-2</v>
      </c>
      <c r="D161" s="30">
        <v>2.5067981545128626E-2</v>
      </c>
      <c r="E161" s="30">
        <v>284.10770213592298</v>
      </c>
      <c r="F161" s="30">
        <v>7.1220066339722186</v>
      </c>
      <c r="G161" s="31">
        <v>10.039270004822479</v>
      </c>
      <c r="L161" s="25"/>
      <c r="M161" s="25">
        <f t="shared" si="7"/>
        <v>1.17</v>
      </c>
    </row>
    <row r="162" spans="1:13" ht="15" customHeight="1" x14ac:dyDescent="0.25">
      <c r="A162" s="29">
        <v>1.18</v>
      </c>
      <c r="B162" s="30">
        <v>8.8996984229258322E-2</v>
      </c>
      <c r="C162" s="30">
        <v>3.5295146461903924E-2</v>
      </c>
      <c r="D162" s="30">
        <v>2.4782502612053888E-2</v>
      </c>
      <c r="E162" s="30">
        <v>243.33403006637079</v>
      </c>
      <c r="F162" s="30">
        <v>6.0304262357214329</v>
      </c>
      <c r="G162" s="31">
        <v>8.5885102303578904</v>
      </c>
      <c r="L162" s="25"/>
      <c r="M162" s="25">
        <f t="shared" si="7"/>
        <v>1.18</v>
      </c>
    </row>
    <row r="163" spans="1:13" ht="15" customHeight="1" x14ac:dyDescent="0.25">
      <c r="A163" s="29">
        <v>1.19</v>
      </c>
      <c r="B163" s="30">
        <v>8.7989944279329255E-2</v>
      </c>
      <c r="C163" s="30">
        <v>3.5254022420396817E-2</v>
      </c>
      <c r="D163" s="30">
        <v>2.4502077714449833E-2</v>
      </c>
      <c r="E163" s="30">
        <v>202.3571598750041</v>
      </c>
      <c r="F163" s="30">
        <v>4.9581708573326999</v>
      </c>
      <c r="G163" s="31">
        <v>7.1339038511612181</v>
      </c>
      <c r="L163" s="25"/>
      <c r="M163" s="25">
        <f t="shared" si="7"/>
        <v>1.19</v>
      </c>
    </row>
    <row r="164" spans="1:13" ht="15" customHeight="1" x14ac:dyDescent="0.25">
      <c r="A164" s="29">
        <v>1.2</v>
      </c>
      <c r="B164" s="30">
        <v>8.7000627365529895E-2</v>
      </c>
      <c r="C164" s="30">
        <v>3.5212781965854402E-2</v>
      </c>
      <c r="D164" s="30">
        <v>2.4226588053617916E-2</v>
      </c>
      <c r="E164" s="30">
        <v>161.17772101571691</v>
      </c>
      <c r="F164" s="30">
        <v>3.9047862504687285</v>
      </c>
      <c r="G164" s="31">
        <v>5.6755159478797488</v>
      </c>
      <c r="L164" s="25"/>
      <c r="M164" s="25">
        <f t="shared" si="7"/>
        <v>1.2</v>
      </c>
    </row>
    <row r="165" spans="1:13" ht="15" customHeight="1" x14ac:dyDescent="0.25">
      <c r="A165" s="29">
        <v>1.21</v>
      </c>
      <c r="B165" s="30">
        <v>8.6028619301517895E-2</v>
      </c>
      <c r="C165" s="30">
        <v>3.5171437011933926E-2</v>
      </c>
      <c r="D165" s="30">
        <v>2.3955918293356585E-2</v>
      </c>
      <c r="E165" s="30">
        <v>119.79634306368618</v>
      </c>
      <c r="F165" s="30">
        <v>2.8698314062765808</v>
      </c>
      <c r="G165" s="31">
        <v>4.213409534324466</v>
      </c>
      <c r="L165" s="25"/>
      <c r="M165" s="25">
        <f t="shared" si="7"/>
        <v>1.21</v>
      </c>
    </row>
    <row r="166" spans="1:13" ht="15" customHeight="1" x14ac:dyDescent="0.25">
      <c r="A166" s="29">
        <v>1.22</v>
      </c>
      <c r="B166" s="30">
        <v>8.5073517900979223E-2</v>
      </c>
      <c r="C166" s="30">
        <v>3.5129998962458497E-2</v>
      </c>
      <c r="D166" s="30">
        <v>2.3689956439046419E-2</v>
      </c>
      <c r="E166" s="30">
        <v>78.213655555471036</v>
      </c>
      <c r="F166" s="30">
        <v>1.8528780930476898</v>
      </c>
      <c r="G166" s="31">
        <v>2.747645638513784</v>
      </c>
      <c r="L166" s="25"/>
      <c r="M166" s="25">
        <f t="shared" si="7"/>
        <v>1.22</v>
      </c>
    </row>
    <row r="167" spans="1:13" ht="15" customHeight="1" x14ac:dyDescent="0.25">
      <c r="A167" s="29">
        <v>1.23</v>
      </c>
      <c r="B167" s="30">
        <v>8.4134932561112749E-2</v>
      </c>
      <c r="C167" s="30">
        <v>3.50884787332491E-2</v>
      </c>
      <c r="D167" s="30">
        <v>2.3428593721665381E-2</v>
      </c>
      <c r="E167" s="30">
        <v>36.430287829863438</v>
      </c>
      <c r="F167" s="30">
        <v>0.85351041272920136</v>
      </c>
      <c r="G167" s="31">
        <v>1.2782833797643067</v>
      </c>
      <c r="L167" s="25"/>
      <c r="M167" s="25">
        <f t="shared" si="7"/>
        <v>1.23</v>
      </c>
    </row>
    <row r="168" spans="1:13" ht="15" customHeight="1" x14ac:dyDescent="0.25">
      <c r="A168" s="29">
        <v>1.24</v>
      </c>
      <c r="B168" s="30">
        <v>8.3212483862993875E-2</v>
      </c>
      <c r="C168" s="30">
        <v>3.5046886772944486E-2</v>
      </c>
      <c r="D168" s="30">
        <v>2.3171724486504251E-2</v>
      </c>
      <c r="E168" s="30">
        <v>-5.5531311304705975</v>
      </c>
      <c r="F168" s="30">
        <v>-0.12867562459269458</v>
      </c>
      <c r="G168" s="31">
        <v>0</v>
      </c>
      <c r="L168" s="25"/>
      <c r="M168" s="25">
        <f t="shared" si="7"/>
        <v>1.24</v>
      </c>
    </row>
    <row r="169" spans="1:13" ht="15" customHeight="1" x14ac:dyDescent="0.25">
      <c r="A169" s="29">
        <v>1.25</v>
      </c>
      <c r="B169" s="30">
        <v>8.2305803188036375E-2</v>
      </c>
      <c r="C169" s="30">
        <v>3.5005233082861152E-2</v>
      </c>
      <c r="D169" s="30">
        <v>2.2919246086364871E-2</v>
      </c>
      <c r="E169" s="30">
        <v>-47.735972856433079</v>
      </c>
      <c r="F169" s="30">
        <v>-1.0940725090686236</v>
      </c>
      <c r="G169" s="31">
        <v>0</v>
      </c>
      <c r="L169" s="25"/>
      <c r="M169" s="25">
        <f t="shared" si="7"/>
        <v>1.25</v>
      </c>
    </row>
    <row r="170" spans="1:13" ht="15" customHeight="1" x14ac:dyDescent="0.25">
      <c r="A170" s="29">
        <v>1.26</v>
      </c>
      <c r="B170" s="30">
        <v>8.1414532349811275E-2</v>
      </c>
      <c r="C170" s="30">
        <v>3.4963527235941427E-2</v>
      </c>
      <c r="D170" s="30">
        <v>2.2671058779034747E-2</v>
      </c>
      <c r="E170" s="30">
        <v>-90.117609548955102</v>
      </c>
      <c r="F170" s="30">
        <v>-2.0430616231104639</v>
      </c>
      <c r="G170" s="31">
        <v>0</v>
      </c>
      <c r="L170" s="25"/>
      <c r="M170" s="25">
        <f t="shared" si="7"/>
        <v>1.26</v>
      </c>
    </row>
    <row r="171" spans="1:13" ht="15" customHeight="1" x14ac:dyDescent="0.25">
      <c r="A171" s="29">
        <v>1.27</v>
      </c>
      <c r="B171" s="30">
        <v>8.0538323240519641E-2</v>
      </c>
      <c r="C171" s="30">
        <v>3.4921778394836039E-2</v>
      </c>
      <c r="D171" s="30">
        <v>2.2427065628842287E-2</v>
      </c>
      <c r="E171" s="30">
        <v>-132.69741423440686</v>
      </c>
      <c r="F171" s="30">
        <v>-2.9760136178127135</v>
      </c>
      <c r="G171" s="31">
        <v>0</v>
      </c>
      <c r="L171" s="25"/>
      <c r="M171" s="25">
        <f t="shared" si="7"/>
        <v>1.27</v>
      </c>
    </row>
    <row r="172" spans="1:13" ht="15" customHeight="1" x14ac:dyDescent="0.25">
      <c r="A172" s="29">
        <v>1.28</v>
      </c>
      <c r="B172" s="30">
        <v>7.9676837491453864E-2</v>
      </c>
      <c r="C172" s="30">
        <v>3.4879995329164137E-2</v>
      </c>
      <c r="D172" s="30">
        <v>2.2187172412107301E-2</v>
      </c>
      <c r="E172" s="30">
        <v>-175.4747609188409</v>
      </c>
      <c r="F172" s="30">
        <v>-3.8932887744796316</v>
      </c>
      <c r="G172" s="31">
        <v>0</v>
      </c>
      <c r="L172" s="25"/>
      <c r="M172" s="25">
        <f t="shared" ref="M172:M235" si="8">A172</f>
        <v>1.28</v>
      </c>
    </row>
    <row r="173" spans="1:13" ht="15" customHeight="1" x14ac:dyDescent="0.25">
      <c r="A173" s="29">
        <v>1.29</v>
      </c>
      <c r="B173" s="30">
        <v>7.8829746146813942E-2</v>
      </c>
      <c r="C173" s="30">
        <v>3.4838186431992046E-2</v>
      </c>
      <c r="D173" s="30">
        <v>2.1951287526310401E-2</v>
      </c>
      <c r="E173" s="30">
        <v>-218.44902474103202</v>
      </c>
      <c r="F173" s="30">
        <v>-4.7952373519324887</v>
      </c>
      <c r="G173" s="31">
        <v>0</v>
      </c>
      <c r="L173" s="25"/>
      <c r="M173" s="25">
        <f t="shared" si="8"/>
        <v>1.29</v>
      </c>
    </row>
    <row r="174" spans="1:13" ht="15" customHeight="1" x14ac:dyDescent="0.25">
      <c r="A174" s="29">
        <v>1.3</v>
      </c>
      <c r="B174" s="30">
        <v>7.7996729350278682E-2</v>
      </c>
      <c r="C174" s="30">
        <v>3.4796359735569382E-2</v>
      </c>
      <c r="D174" s="30">
        <v>2.1719321902814216E-2</v>
      </c>
      <c r="E174" s="30">
        <v>-261.61958212422525</v>
      </c>
      <c r="F174" s="30">
        <v>-5.6821999202357878</v>
      </c>
      <c r="G174" s="31">
        <v>0</v>
      </c>
      <c r="L174" s="25"/>
      <c r="M174" s="25">
        <f t="shared" si="8"/>
        <v>1.3</v>
      </c>
    </row>
    <row r="175" spans="1:13" ht="15" customHeight="1" x14ac:dyDescent="0.25">
      <c r="A175" s="29">
        <v>1.31</v>
      </c>
      <c r="B175" s="30">
        <v>7.7177476043762169E-2</v>
      </c>
      <c r="C175" s="30">
        <v>3.4754522926358958E-2</v>
      </c>
      <c r="D175" s="30">
        <v>2.1491188922977755E-2</v>
      </c>
      <c r="E175" s="30">
        <v>-304.98581092651085</v>
      </c>
      <c r="F175" s="30">
        <v>-6.554507681449218</v>
      </c>
      <c r="G175" s="31">
        <v>0</v>
      </c>
      <c r="L175" s="25"/>
      <c r="M175" s="25">
        <f t="shared" si="8"/>
        <v>1.31</v>
      </c>
    </row>
    <row r="176" spans="1:13" ht="15" customHeight="1" x14ac:dyDescent="0.25">
      <c r="A176" s="29">
        <v>1.32</v>
      </c>
      <c r="B176" s="30">
        <v>7.6371683677813468E-2</v>
      </c>
      <c r="C176" s="30">
        <v>3.4712683359395743E-2</v>
      </c>
      <c r="D176" s="30">
        <v>2.1266804337512987E-2</v>
      </c>
      <c r="E176" s="30">
        <v>-348.54709058978301</v>
      </c>
      <c r="F176" s="30">
        <v>-7.412482777982329</v>
      </c>
      <c r="G176" s="31">
        <v>0</v>
      </c>
      <c r="L176" s="25"/>
      <c r="M176" s="25">
        <f t="shared" si="8"/>
        <v>1.32</v>
      </c>
    </row>
    <row r="177" spans="1:13" ht="15" customHeight="1" x14ac:dyDescent="0.25">
      <c r="A177" s="29">
        <v>1.33</v>
      </c>
      <c r="B177" s="30">
        <v>7.5579057933145746E-2</v>
      </c>
      <c r="C177" s="30">
        <v>3.4670848072006884E-2</v>
      </c>
      <c r="D177" s="30">
        <v>2.1046086188940587E-2</v>
      </c>
      <c r="E177" s="30">
        <v>-392.30280228718755</v>
      </c>
      <c r="F177" s="30">
        <v>-8.2564385890990675</v>
      </c>
      <c r="G177" s="31">
        <v>0</v>
      </c>
      <c r="L177" s="25"/>
      <c r="M177" s="25">
        <f t="shared" si="8"/>
        <v>1.33</v>
      </c>
    </row>
    <row r="178" spans="1:13" ht="15" customHeight="1" x14ac:dyDescent="0.25">
      <c r="A178" s="29">
        <v>1.34</v>
      </c>
      <c r="B178" s="30">
        <v>7.4799312452805286E-2</v>
      </c>
      <c r="C178" s="30">
        <v>3.4629023796924438E-2</v>
      </c>
      <c r="D178" s="30">
        <v>2.0828954737008513E-2</v>
      </c>
      <c r="E178" s="30">
        <v>-436.25232906903057</v>
      </c>
      <c r="F178" s="30">
        <v>-9.0866800160933803</v>
      </c>
      <c r="G178" s="31">
        <v>0</v>
      </c>
      <c r="L178" s="25"/>
      <c r="M178" s="25">
        <f t="shared" si="8"/>
        <v>1.34</v>
      </c>
    </row>
    <row r="179" spans="1:13" ht="15" customHeight="1" x14ac:dyDescent="0.25">
      <c r="A179" s="29">
        <v>1.35</v>
      </c>
      <c r="B179" s="30">
        <v>7.4032168584516042E-2</v>
      </c>
      <c r="C179" s="30">
        <v>3.4587216974819875E-2</v>
      </c>
      <c r="D179" s="30">
        <v>2.0615332386944105E-2</v>
      </c>
      <c r="E179" s="30">
        <v>-480.3950560070619</v>
      </c>
      <c r="F179" s="30">
        <v>-9.9035037566302115</v>
      </c>
      <c r="G179" s="31">
        <v>0</v>
      </c>
      <c r="L179" s="25"/>
      <c r="M179" s="25">
        <f t="shared" si="8"/>
        <v>1.35</v>
      </c>
    </row>
    <row r="180" spans="1:13" ht="15" customHeight="1" x14ac:dyDescent="0.25">
      <c r="A180" s="29">
        <v>1.36</v>
      </c>
      <c r="B180" s="30">
        <v>7.3277355132758112E-2</v>
      </c>
      <c r="C180" s="30">
        <v>3.4545433766288325E-2</v>
      </c>
      <c r="D180" s="30">
        <v>2.0405143620416726E-2</v>
      </c>
      <c r="E180" s="30">
        <v>-524.73037033707476</v>
      </c>
      <c r="F180" s="30">
        <v>-10.707198568722466</v>
      </c>
      <c r="G180" s="31">
        <v>0</v>
      </c>
      <c r="L180" s="25"/>
      <c r="M180" s="25">
        <f t="shared" si="8"/>
        <v>1.36</v>
      </c>
    </row>
    <row r="181" spans="1:13" ht="15" customHeight="1" x14ac:dyDescent="0.25">
      <c r="A181" s="29">
        <v>1.37</v>
      </c>
      <c r="B181" s="30">
        <v>7.2534608120158744E-2</v>
      </c>
      <c r="C181" s="30">
        <v>3.4503680063308881E-2</v>
      </c>
      <c r="D181" s="30">
        <v>2.0198314929093637E-2</v>
      </c>
      <c r="E181" s="30">
        <v>-569.25766159979264</v>
      </c>
      <c r="F181" s="30">
        <v>-11.498045524792026</v>
      </c>
      <c r="G181" s="31">
        <v>0</v>
      </c>
      <c r="L181" s="25"/>
      <c r="M181" s="25">
        <f t="shared" si="8"/>
        <v>1.37</v>
      </c>
    </row>
    <row r="182" spans="1:13" ht="15" customHeight="1" x14ac:dyDescent="0.25">
      <c r="A182" s="29">
        <v>1.38</v>
      </c>
      <c r="B182" s="30">
        <v>7.1803670557796961E-2</v>
      </c>
      <c r="C182" s="30">
        <v>3.4461961500205918E-2</v>
      </c>
      <c r="D182" s="30">
        <v>1.9994774750677975E-2</v>
      </c>
      <c r="E182" s="30">
        <v>-613.976321779969</v>
      </c>
      <c r="F182" s="30">
        <v>-12.276318256240259</v>
      </c>
      <c r="G182" s="31">
        <v>0</v>
      </c>
      <c r="L182" s="25"/>
      <c r="M182" s="25">
        <f t="shared" si="8"/>
        <v>1.38</v>
      </c>
    </row>
    <row r="183" spans="1:13" ht="15" customHeight="1" x14ac:dyDescent="0.25">
      <c r="A183" s="29">
        <v>1.39</v>
      </c>
      <c r="B183" s="30">
        <v>7.1084292224040529E-2</v>
      </c>
      <c r="C183" s="30">
        <v>3.4420283464135157E-2</v>
      </c>
      <c r="D183" s="30">
        <v>1.9794453407322693E-2</v>
      </c>
      <c r="E183" s="30">
        <v>-658.88574544364724</v>
      </c>
      <c r="F183" s="30">
        <v>-13.042283188933355</v>
      </c>
      <c r="G183" s="31">
        <v>0</v>
      </c>
      <c r="L183" s="25"/>
      <c r="M183" s="25">
        <f t="shared" si="8"/>
        <v>1.39</v>
      </c>
    </row>
    <row r="184" spans="1:13" ht="15" customHeight="1" x14ac:dyDescent="0.25">
      <c r="A184" s="29">
        <v>1.4</v>
      </c>
      <c r="B184" s="30">
        <v>7.0376229451553057E-2</v>
      </c>
      <c r="C184" s="30">
        <v>3.4378651105116884E-2</v>
      </c>
      <c r="D184" s="30">
        <v>1.9597283046319608E-2</v>
      </c>
      <c r="E184" s="30">
        <v>-703.9853298735469</v>
      </c>
      <c r="F184" s="30">
        <v>-13.796199769988577</v>
      </c>
      <c r="G184" s="31">
        <v>0</v>
      </c>
      <c r="L184" s="25"/>
      <c r="M184" s="25">
        <f t="shared" si="8"/>
        <v>1.4</v>
      </c>
    </row>
    <row r="185" spans="1:13" ht="15" customHeight="1" x14ac:dyDescent="0.25">
      <c r="A185" s="29">
        <v>1.41</v>
      </c>
      <c r="B185" s="30">
        <v>6.9679244922125974E-2</v>
      </c>
      <c r="C185" s="30">
        <v>3.4337069345637551E-2</v>
      </c>
      <c r="D185" s="30">
        <v>1.9403197582967362E-2</v>
      </c>
      <c r="E185" s="30">
        <v>-749.27447520253054</v>
      </c>
      <c r="F185" s="30">
        <v>-14.538320686228881</v>
      </c>
      <c r="G185" s="31">
        <v>0</v>
      </c>
      <c r="L185" s="25"/>
      <c r="M185" s="25">
        <f t="shared" si="8"/>
        <v>1.41</v>
      </c>
    </row>
    <row r="186" spans="1:13" ht="15" customHeight="1" x14ac:dyDescent="0.25">
      <c r="A186" s="29">
        <v>1.42</v>
      </c>
      <c r="B186" s="30">
        <v>6.8993107469006928E-2</v>
      </c>
      <c r="C186" s="30">
        <v>3.4295542889840255E-2</v>
      </c>
      <c r="D186" s="30">
        <v>1.9212132645526927E-2</v>
      </c>
      <c r="E186" s="30">
        <v>-794.75258454508923</v>
      </c>
      <c r="F186" s="30">
        <v>-15.268892074655607</v>
      </c>
      <c r="G186" s="31">
        <v>0</v>
      </c>
      <c r="L186" s="25"/>
      <c r="M186" s="25">
        <f t="shared" si="8"/>
        <v>1.42</v>
      </c>
    </row>
    <row r="187" spans="1:13" ht="15" customHeight="1" x14ac:dyDescent="0.25">
      <c r="A187" s="29">
        <v>1.43</v>
      </c>
      <c r="B187" s="30">
        <v>6.8317591886411205E-2</v>
      </c>
      <c r="C187" s="30">
        <v>3.4254076232322642E-2</v>
      </c>
      <c r="D187" s="30">
        <v>1.902402552217726E-2</v>
      </c>
      <c r="E187" s="30">
        <v>-840.41906412682431</v>
      </c>
      <c r="F187" s="30">
        <v>-15.988153725273033</v>
      </c>
      <c r="G187" s="31">
        <v>0</v>
      </c>
      <c r="L187" s="25"/>
      <c r="M187" s="25">
        <f t="shared" si="8"/>
        <v>1.43</v>
      </c>
    </row>
    <row r="188" spans="1:13" ht="15" customHeight="1" x14ac:dyDescent="0.25">
      <c r="A188" s="29">
        <v>1.44</v>
      </c>
      <c r="B188" s="30">
        <v>6.7652478745917649E-2</v>
      </c>
      <c r="C188" s="30">
        <v>3.4212673666561194E-2</v>
      </c>
      <c r="D188" s="30">
        <v>1.8838815109888097E-2</v>
      </c>
      <c r="E188" s="30">
        <v>-886.27332341188605</v>
      </c>
      <c r="F188" s="30">
        <v>-16.696339276582581</v>
      </c>
      <c r="G188" s="31">
        <v>0</v>
      </c>
      <c r="L188" s="25"/>
      <c r="M188" s="25">
        <f t="shared" si="8"/>
        <v>1.44</v>
      </c>
    </row>
    <row r="189" spans="1:13" ht="15" customHeight="1" x14ac:dyDescent="0.25">
      <c r="A189" s="29">
        <v>1.45</v>
      </c>
      <c r="B189" s="30">
        <v>6.6997554219464753E-2</v>
      </c>
      <c r="C189" s="30">
        <v>3.4171339292978525E-2</v>
      </c>
      <c r="D189" s="30">
        <v>1.865644186513065E-2</v>
      </c>
      <c r="E189" s="30">
        <v>-932.3147752283129</v>
      </c>
      <c r="F189" s="30">
        <v>-17.393676404049369</v>
      </c>
      <c r="G189" s="31">
        <v>0</v>
      </c>
      <c r="L189" s="25"/>
      <c r="M189" s="25">
        <f t="shared" si="8"/>
        <v>1.45</v>
      </c>
    </row>
    <row r="190" spans="1:13" ht="15" customHeight="1" x14ac:dyDescent="0.25">
      <c r="A190" s="29">
        <v>1.46</v>
      </c>
      <c r="B190" s="30">
        <v>6.6352609908675364E-2</v>
      </c>
      <c r="C190" s="30">
        <v>3.4130077026670418E-2</v>
      </c>
      <c r="D190" s="30">
        <v>1.8476847756350584E-2</v>
      </c>
      <c r="E190" s="30">
        <v>-978.54283589126078</v>
      </c>
      <c r="F190" s="30">
        <v>-18.080387001830378</v>
      </c>
      <c r="G190" s="31">
        <v>0</v>
      </c>
      <c r="L190" s="25"/>
      <c r="M190" s="25">
        <f t="shared" si="8"/>
        <v>1.46</v>
      </c>
    </row>
    <row r="191" spans="1:13" ht="15" customHeight="1" x14ac:dyDescent="0.25">
      <c r="A191" s="29">
        <v>1.47</v>
      </c>
      <c r="B191" s="30">
        <v>6.5717442680251384E-2</v>
      </c>
      <c r="C191" s="30">
        <v>3.4088890604807999E-2</v>
      </c>
      <c r="D191" s="30">
        <v>1.8299976218131279E-2</v>
      </c>
      <c r="E191" s="30">
        <v>-1024.9569253240752</v>
      </c>
      <c r="F191" s="30">
        <v>-18.756687358039535</v>
      </c>
      <c r="G191" s="31">
        <v>0</v>
      </c>
      <c r="L191" s="25"/>
      <c r="M191" s="25">
        <f t="shared" si="8"/>
        <v>1.47</v>
      </c>
    </row>
    <row r="192" spans="1:13" ht="15" customHeight="1" x14ac:dyDescent="0.25">
      <c r="A192" s="29">
        <v>1.48</v>
      </c>
      <c r="B192" s="30">
        <v>6.5091854507191488E-2</v>
      </c>
      <c r="C192" s="30">
        <v>3.4047783593730105E-2</v>
      </c>
      <c r="D192" s="30">
        <v>1.8125772106978601E-2</v>
      </c>
      <c r="E192" s="30">
        <v>-1071.5564671771797</v>
      </c>
      <c r="F192" s="30">
        <v>-19.422788323812654</v>
      </c>
      <c r="G192" s="31">
        <v>0</v>
      </c>
      <c r="L192" s="25"/>
      <c r="M192" s="25">
        <f t="shared" si="8"/>
        <v>1.48</v>
      </c>
    </row>
    <row r="193" spans="1:13" ht="15" customHeight="1" x14ac:dyDescent="0.25">
      <c r="A193" s="29">
        <v>1.49</v>
      </c>
      <c r="B193" s="30">
        <v>6.4475652315596252E-2</v>
      </c>
      <c r="C193" s="30">
        <v>3.4006759395739619E-2</v>
      </c>
      <c r="D193" s="30">
        <v>1.7954181658661569E-2</v>
      </c>
      <c r="E193" s="30">
        <v>-1118.3408889447498</v>
      </c>
      <c r="F193" s="30">
        <v>-20.078895476423103</v>
      </c>
      <c r="G193" s="31">
        <v>0</v>
      </c>
      <c r="L193" s="25"/>
      <c r="M193" s="25">
        <f t="shared" si="8"/>
        <v>1.49</v>
      </c>
    </row>
    <row r="194" spans="1:13" ht="15" customHeight="1" x14ac:dyDescent="0.25">
      <c r="A194" s="29">
        <v>1.5</v>
      </c>
      <c r="B194" s="30">
        <v>6.3868647836835962E-2</v>
      </c>
      <c r="C194" s="30">
        <v>3.3965821255617049E-2</v>
      </c>
      <c r="D194" s="30">
        <v>1.7785152447046329E-2</v>
      </c>
      <c r="E194" s="30">
        <v>-1165.3096220791467</v>
      </c>
      <c r="F194" s="30">
        <v>-20.725209276687568</v>
      </c>
      <c r="G194" s="31">
        <v>0</v>
      </c>
      <c r="L194" s="25"/>
      <c r="M194" s="25">
        <f t="shared" si="8"/>
        <v>1.5</v>
      </c>
    </row>
    <row r="195" spans="1:13" ht="15" customHeight="1" x14ac:dyDescent="0.25">
      <c r="A195" s="29">
        <v>1.51</v>
      </c>
      <c r="B195" s="30">
        <v>6.327065746486614E-2</v>
      </c>
      <c r="C195" s="30">
        <v>3.3924972266864729E-2</v>
      </c>
      <c r="D195" s="30">
        <v>1.7618633344363598E-2</v>
      </c>
      <c r="E195" s="30">
        <v>-1212.4621021030898</v>
      </c>
      <c r="F195" s="30">
        <v>-21.361925220890679</v>
      </c>
      <c r="G195" s="31">
        <v>0</v>
      </c>
      <c r="L195" s="25"/>
      <c r="M195" s="25">
        <f t="shared" si="8"/>
        <v>1.51</v>
      </c>
    </row>
    <row r="196" spans="1:13" ht="15" customHeight="1" x14ac:dyDescent="0.25">
      <c r="A196" s="29">
        <v>1.52</v>
      </c>
      <c r="B196" s="30">
        <v>6.2681502118486027E-2</v>
      </c>
      <c r="C196" s="30">
        <v>3.3884215377692754E-2</v>
      </c>
      <c r="D196" s="30">
        <v>1.7454574482852529E-2</v>
      </c>
      <c r="E196" s="30">
        <v>-1259.7977687195396</v>
      </c>
      <c r="F196" s="30">
        <v>-21.989233987446628</v>
      </c>
      <c r="G196" s="31">
        <v>0</v>
      </c>
      <c r="L196" s="25"/>
      <c r="M196" s="25">
        <f t="shared" si="8"/>
        <v>1.52</v>
      </c>
    </row>
    <row r="197" spans="1:13" ht="15" customHeight="1" x14ac:dyDescent="0.25">
      <c r="A197" s="29">
        <v>1.53</v>
      </c>
      <c r="B197" s="30">
        <v>6.2101007108344021E-2</v>
      </c>
      <c r="C197" s="30">
        <v>3.3843553396758888E-2</v>
      </c>
      <c r="D197" s="30">
        <v>1.7292927217726451E-2</v>
      </c>
      <c r="E197" s="30">
        <v>-1307.3160659192679</v>
      </c>
      <c r="F197" s="30">
        <v>-22.607321578506376</v>
      </c>
      <c r="G197" s="31">
        <v>0</v>
      </c>
      <c r="L197" s="25"/>
      <c r="M197" s="25">
        <f t="shared" si="8"/>
        <v>1.53</v>
      </c>
    </row>
    <row r="198" spans="1:13" ht="15" customHeight="1" x14ac:dyDescent="0.25">
      <c r="A198" s="29">
        <v>1.54</v>
      </c>
      <c r="B198" s="30">
        <v>6.1529002008503031E-2</v>
      </c>
      <c r="C198" s="30">
        <v>3.3802988998673122E-2</v>
      </c>
      <c r="D198" s="30">
        <v>1.7133644091408367E-2</v>
      </c>
      <c r="E198" s="30">
        <v>-1355.0164420861013</v>
      </c>
      <c r="F198" s="30">
        <v>-23.216369456709717</v>
      </c>
      <c r="G198" s="31">
        <v>0</v>
      </c>
      <c r="L198" s="25"/>
      <c r="M198" s="25">
        <f t="shared" si="8"/>
        <v>1.54</v>
      </c>
    </row>
    <row r="199" spans="1:13" ht="15" customHeight="1" x14ac:dyDescent="0.25">
      <c r="A199" s="29">
        <v>1.55</v>
      </c>
      <c r="B199" s="30">
        <v>6.096532053238668E-2</v>
      </c>
      <c r="C199" s="30">
        <v>3.3762524729277293E-2</v>
      </c>
      <c r="D199" s="30">
        <v>1.6976678798986386E-2</v>
      </c>
      <c r="E199" s="30">
        <v>-1402.898350099824</v>
      </c>
      <c r="F199" s="30">
        <v>-23.816554677272663</v>
      </c>
      <c r="G199" s="31">
        <v>0</v>
      </c>
      <c r="L199" s="25"/>
      <c r="M199" s="25">
        <f t="shared" si="8"/>
        <v>1.55</v>
      </c>
    </row>
    <row r="200" spans="1:13" ht="15" customHeight="1" x14ac:dyDescent="0.25">
      <c r="A200" s="29">
        <v>1.56</v>
      </c>
      <c r="B200" s="30">
        <v>6.0409800412935824E-2</v>
      </c>
      <c r="C200" s="30">
        <v>3.3722163010709433E-2</v>
      </c>
      <c r="D200" s="30">
        <v>1.682198615484156E-2</v>
      </c>
      <c r="E200" s="30">
        <v>-1450.9612474367093</v>
      </c>
      <c r="F200" s="30">
        <v>-24.408050015591964</v>
      </c>
      <c r="G200" s="31">
        <v>0</v>
      </c>
      <c r="L200" s="25"/>
      <c r="M200" s="25">
        <f t="shared" si="8"/>
        <v>1.56</v>
      </c>
    </row>
    <row r="201" spans="1:13" ht="15" customHeight="1" x14ac:dyDescent="0.25">
      <c r="A201" s="29">
        <v>1.57</v>
      </c>
      <c r="B201" s="30">
        <v>5.9862283286811716E-2</v>
      </c>
      <c r="C201" s="30">
        <v>3.3681906146262965E-2</v>
      </c>
      <c r="D201" s="30">
        <v>1.6669522060402571E-2</v>
      </c>
      <c r="E201" s="30">
        <v>-1499.204596267673</v>
      </c>
      <c r="F201" s="30">
        <v>-24.991024090540904</v>
      </c>
      <c r="G201" s="31">
        <v>0</v>
      </c>
      <c r="L201" s="25"/>
      <c r="M201" s="25">
        <f t="shared" si="8"/>
        <v>1.57</v>
      </c>
    </row>
    <row r="202" spans="1:13" ht="15" customHeight="1" x14ac:dyDescent="0.25">
      <c r="A202" s="29">
        <v>1.58</v>
      </c>
      <c r="B202" s="30">
        <v>5.9322614582489316E-2</v>
      </c>
      <c r="C202" s="30">
        <v>3.3641756325048844E-2</v>
      </c>
      <c r="D202" s="30">
        <v>1.6519243472983686E-2</v>
      </c>
      <c r="E202" s="30">
        <v>-1547.6278635540557</v>
      </c>
      <c r="F202" s="30">
        <v>-25.565641483623022</v>
      </c>
      <c r="G202" s="31">
        <v>0</v>
      </c>
      <c r="L202" s="25"/>
      <c r="M202" s="25">
        <f t="shared" si="8"/>
        <v>1.58</v>
      </c>
    </row>
    <row r="203" spans="1:13" ht="15" customHeight="1" x14ac:dyDescent="0.25">
      <c r="A203" s="29">
        <v>1.59</v>
      </c>
      <c r="B203" s="30">
        <v>5.8790643412091712E-2</v>
      </c>
      <c r="C203" s="30">
        <v>3.3601715626469866E-2</v>
      </c>
      <c r="D203" s="30">
        <v>1.6371108375664491E-2</v>
      </c>
      <c r="E203" s="30">
        <v>-1596.2305211409807</v>
      </c>
      <c r="F203" s="30">
        <v>-26.132062854142404</v>
      </c>
      <c r="G203" s="31">
        <v>0</v>
      </c>
      <c r="L203" s="25"/>
      <c r="M203" s="25">
        <f t="shared" si="8"/>
        <v>1.59</v>
      </c>
    </row>
    <row r="204" spans="1:13" ht="15" customHeight="1" x14ac:dyDescent="0.25">
      <c r="A204" s="29">
        <v>1.6</v>
      </c>
      <c r="B204" s="30">
        <v>5.8266222466822358E-2</v>
      </c>
      <c r="C204" s="30">
        <v>3.3561786024515011E-2</v>
      </c>
      <c r="D204" s="30">
        <v>1.6225075748171471E-2</v>
      </c>
      <c r="E204" s="30">
        <v>-1645.0120458483029</v>
      </c>
      <c r="F204" s="30">
        <v>-26.690445050543236</v>
      </c>
      <c r="G204" s="31">
        <v>0</v>
      </c>
      <c r="L204" s="25"/>
      <c r="M204" s="25">
        <f t="shared" si="8"/>
        <v>1.6</v>
      </c>
    </row>
    <row r="205" spans="1:13" ht="15" customHeight="1" x14ac:dyDescent="0.25">
      <c r="A205" s="29">
        <v>1.61</v>
      </c>
      <c r="B205" s="30">
        <v>5.7749207915857852E-2</v>
      </c>
      <c r="C205" s="30">
        <v>3.3521969391881637E-2</v>
      </c>
      <c r="D205" s="30">
        <v>1.6081105538723234E-2</v>
      </c>
      <c r="E205" s="30">
        <v>-1693.9719195591754</v>
      </c>
      <c r="F205" s="30">
        <v>-27.240941218064684</v>
      </c>
      <c r="G205" s="31">
        <v>0</v>
      </c>
      <c r="L205" s="25"/>
      <c r="M205" s="25">
        <f t="shared" si="8"/>
        <v>1.61</v>
      </c>
    </row>
    <row r="206" spans="1:13" ht="15" customHeight="1" x14ac:dyDescent="0.25">
      <c r="A206" s="29">
        <v>1.62</v>
      </c>
      <c r="B206" s="30">
        <v>5.7239459308571126E-2</v>
      </c>
      <c r="C206" s="30">
        <v>3.3482267503932871E-2</v>
      </c>
      <c r="D206" s="30">
        <v>1.5939158636803147E-2</v>
      </c>
      <c r="E206" s="30">
        <v>-1743.1096293061373</v>
      </c>
      <c r="F206" s="30">
        <v>-27.783700902849649</v>
      </c>
      <c r="G206" s="31">
        <v>0</v>
      </c>
      <c r="L206" s="25"/>
      <c r="M206" s="25">
        <f t="shared" si="8"/>
        <v>1.62</v>
      </c>
    </row>
    <row r="207" spans="1:13" ht="15" customHeight="1" x14ac:dyDescent="0.25">
      <c r="A207" s="29">
        <v>1.63</v>
      </c>
      <c r="B207" s="30">
        <v>5.6736839479958716E-2</v>
      </c>
      <c r="C207" s="30">
        <v>3.3442682042497375E-2</v>
      </c>
      <c r="D207" s="30">
        <v>1.5799196846824178E-2</v>
      </c>
      <c r="E207" s="30">
        <v>-1792.4246673548116</v>
      </c>
      <c r="F207" s="30">
        <v>-28.318870152642017</v>
      </c>
      <c r="G207" s="31">
        <v>0</v>
      </c>
      <c r="L207" s="25"/>
      <c r="M207" s="25">
        <f t="shared" si="8"/>
        <v>1.63</v>
      </c>
    </row>
    <row r="208" spans="1:13" ht="15" customHeight="1" x14ac:dyDescent="0.25">
      <c r="A208" s="29">
        <v>1.64</v>
      </c>
      <c r="B208" s="30">
        <v>5.6241214459152485E-2</v>
      </c>
      <c r="C208" s="30">
        <v>3.3403214599518165E-2</v>
      </c>
      <c r="D208" s="30">
        <v>1.566118286265266E-2</v>
      </c>
      <c r="E208" s="30">
        <v>-1841.9165312851535</v>
      </c>
      <c r="F208" s="30">
        <v>-28.846591614199678</v>
      </c>
      <c r="G208" s="31">
        <v>0</v>
      </c>
      <c r="L208" s="25"/>
      <c r="M208" s="25">
        <f t="shared" si="8"/>
        <v>1.64</v>
      </c>
    </row>
    <row r="209" spans="1:13" ht="15" customHeight="1" x14ac:dyDescent="0.25">
      <c r="A209" s="29">
        <v>1.65</v>
      </c>
      <c r="B209" s="30">
        <v>5.5752453380900409E-2</v>
      </c>
      <c r="C209" s="30">
        <v>3.3363866680556784E-2</v>
      </c>
      <c r="D209" s="30">
        <v>1.5525080242958832E-2</v>
      </c>
      <c r="E209" s="30">
        <v>-1891.5847240702747</v>
      </c>
      <c r="F209" s="30">
        <v>-29.367004627546159</v>
      </c>
      <c r="G209" s="31">
        <v>0</v>
      </c>
      <c r="L209" s="25"/>
      <c r="M209" s="25">
        <f t="shared" si="8"/>
        <v>1.65</v>
      </c>
    </row>
    <row r="210" spans="1:13" ht="15" customHeight="1" x14ac:dyDescent="0.25">
      <c r="A210" s="29">
        <v>1.66</v>
      </c>
      <c r="B210" s="30">
        <v>5.5270428399906701E-2</v>
      </c>
      <c r="C210" s="30">
        <v>3.3324639708159125E-2</v>
      </c>
      <c r="D210" s="30">
        <v>1.5390853387363599E-2</v>
      </c>
      <c r="E210" s="30">
        <v>-1941.4287541528081</v>
      </c>
      <c r="F210" s="30">
        <v>-29.880245317177838</v>
      </c>
      <c r="G210" s="31">
        <v>0</v>
      </c>
      <c r="L210" s="25"/>
      <c r="M210" s="25">
        <f t="shared" si="8"/>
        <v>1.66</v>
      </c>
    </row>
    <row r="211" spans="1:13" ht="15" customHeight="1" x14ac:dyDescent="0.25">
      <c r="A211" s="29">
        <v>1.67</v>
      </c>
      <c r="B211" s="30">
        <v>5.4795014607924963E-2</v>
      </c>
      <c r="C211" s="30">
        <v>3.3285535025088658E-2</v>
      </c>
      <c r="D211" s="30">
        <v>1.5258467513351921E-2</v>
      </c>
      <c r="E211" s="30">
        <v>-1991.4481355188589</v>
      </c>
      <c r="F211" s="30">
        <v>-30.386446680339763</v>
      </c>
      <c r="G211" s="31">
        <v>0</v>
      </c>
      <c r="L211" s="25"/>
      <c r="M211" s="25">
        <f t="shared" si="8"/>
        <v>1.67</v>
      </c>
    </row>
    <row r="212" spans="1:13" ht="15" customHeight="1" x14ac:dyDescent="0.25">
      <c r="A212" s="29">
        <v>1.68</v>
      </c>
      <c r="B212" s="30">
        <v>5.4326089953503638E-2</v>
      </c>
      <c r="C212" s="30">
        <v>3.3246553897432668E-2</v>
      </c>
      <c r="D212" s="30">
        <v>1.5127888633924764E-2</v>
      </c>
      <c r="E212" s="30">
        <v>-2041.642387769517</v>
      </c>
      <c r="F212" s="30">
        <v>-30.88573867247749</v>
      </c>
      <c r="G212" s="31">
        <v>0</v>
      </c>
      <c r="L212" s="25"/>
      <c r="M212" s="25">
        <f t="shared" si="8"/>
        <v>1.68</v>
      </c>
    </row>
    <row r="213" spans="1:13" ht="15" customHeight="1" x14ac:dyDescent="0.25">
      <c r="A213" s="29">
        <v>1.69</v>
      </c>
      <c r="B213" s="30">
        <v>5.3863535164286561E-2</v>
      </c>
      <c r="C213" s="30">
        <v>3.3207697517586704E-2</v>
      </c>
      <c r="D213" s="30">
        <v>1.4999083535962561E-2</v>
      </c>
      <c r="E213" s="30">
        <v>-2092.0110361899233</v>
      </c>
      <c r="F213" s="30">
        <v>-31.378248289968255</v>
      </c>
      <c r="G213" s="31">
        <v>0</v>
      </c>
      <c r="L213" s="25"/>
      <c r="M213" s="25">
        <f t="shared" si="8"/>
        <v>1.69</v>
      </c>
    </row>
    <row r="214" spans="1:13" ht="15" customHeight="1" x14ac:dyDescent="0.25">
      <c r="A214" s="29">
        <v>1.7</v>
      </c>
      <c r="B214" s="30">
        <v>5.3407233671775425E-2</v>
      </c>
      <c r="C214" s="30">
        <v>3.3168967007122539E-2</v>
      </c>
      <c r="D214" s="30">
        <v>1.4872019759274232E-2</v>
      </c>
      <c r="E214" s="30">
        <v>-2142.5536118159316</v>
      </c>
      <c r="F214" s="30">
        <v>-31.864099650230909</v>
      </c>
      <c r="G214" s="31">
        <v>0</v>
      </c>
      <c r="L214" s="25"/>
      <c r="M214" s="25">
        <f t="shared" si="8"/>
        <v>1.7</v>
      </c>
    </row>
    <row r="215" spans="1:13" ht="15" customHeight="1" x14ac:dyDescent="0.25">
      <c r="A215" s="29">
        <v>1.71</v>
      </c>
      <c r="B215" s="30">
        <v>5.2957071538465163E-2</v>
      </c>
      <c r="C215" s="30">
        <v>3.3130363419544319E-2</v>
      </c>
      <c r="D215" s="30">
        <v>1.4746665576306967E-2</v>
      </c>
      <c r="E215" s="30">
        <v>-2193.2696514983304</v>
      </c>
      <c r="F215" s="30">
        <v>-32.343414069309205</v>
      </c>
      <c r="G215" s="31">
        <v>0</v>
      </c>
      <c r="L215" s="25"/>
      <c r="M215" s="25">
        <f t="shared" si="8"/>
        <v>1.71</v>
      </c>
    </row>
    <row r="216" spans="1:13" ht="15" customHeight="1" x14ac:dyDescent="0.25">
      <c r="A216" s="29">
        <v>1.72</v>
      </c>
      <c r="B216" s="30">
        <v>5.2512937387266444E-2</v>
      </c>
      <c r="C216" s="30">
        <v>3.3091887742937545E-2</v>
      </c>
      <c r="D216" s="30">
        <v>1.4622989972492898E-2</v>
      </c>
      <c r="E216" s="30">
        <v>-2244.1586979646513</v>
      </c>
      <c r="F216" s="30">
        <v>-32.816310137019819</v>
      </c>
      <c r="G216" s="31">
        <v>0</v>
      </c>
      <c r="L216" s="25"/>
      <c r="M216" s="25">
        <f t="shared" si="8"/>
        <v>1.72</v>
      </c>
    </row>
    <row r="217" spans="1:13" ht="15" customHeight="1" x14ac:dyDescent="0.25">
      <c r="A217" s="29">
        <v>1.73</v>
      </c>
      <c r="B217" s="30">
        <v>5.2074722333133226E-2</v>
      </c>
      <c r="C217" s="30">
        <v>3.305354090251536E-2</v>
      </c>
      <c r="D217" s="30">
        <v>1.4500962627209804E-2</v>
      </c>
      <c r="E217" s="30">
        <v>-2295.2202998785838</v>
      </c>
      <c r="F217" s="30">
        <v>-33.282903789752623</v>
      </c>
      <c r="G217" s="31">
        <v>0</v>
      </c>
      <c r="L217" s="25"/>
      <c r="M217" s="25">
        <f t="shared" si="8"/>
        <v>1.73</v>
      </c>
    </row>
    <row r="218" spans="1:13" ht="15" customHeight="1" x14ac:dyDescent="0.25">
      <c r="A218" s="29">
        <v>1.74</v>
      </c>
      <c r="B218" s="30">
        <v>5.1642319916816642E-2</v>
      </c>
      <c r="C218" s="30">
        <v>3.3015323763066401E-2</v>
      </c>
      <c r="D218" s="30">
        <v>1.4380553895333907E-2</v>
      </c>
      <c r="E218" s="30">
        <v>-2346.4540118969699</v>
      </c>
      <c r="F218" s="30">
        <v>-33.743308381006841</v>
      </c>
      <c r="G218" s="31">
        <v>0</v>
      </c>
      <c r="L218" s="25"/>
      <c r="M218" s="25">
        <f t="shared" si="8"/>
        <v>1.74</v>
      </c>
    </row>
    <row r="219" spans="1:13" ht="15" customHeight="1" x14ac:dyDescent="0.25">
      <c r="A219" s="29">
        <v>1.75</v>
      </c>
      <c r="B219" s="30">
        <v>5.121562604066935E-2</v>
      </c>
      <c r="C219" s="30">
        <v>3.2977237131308172E-2</v>
      </c>
      <c r="D219" s="30">
        <v>1.4261734789363672E-2</v>
      </c>
      <c r="E219" s="30">
        <v>-2397.8593947244317</v>
      </c>
      <c r="F219" s="30">
        <v>-34.197634749743941</v>
      </c>
      <c r="G219" s="31">
        <v>0</v>
      </c>
      <c r="L219" s="25"/>
      <c r="M219" s="25">
        <f t="shared" si="8"/>
        <v>1.75</v>
      </c>
    </row>
    <row r="220" spans="1:13" ht="15" customHeight="1" x14ac:dyDescent="0.25">
      <c r="A220" s="29">
        <v>1.76</v>
      </c>
      <c r="B220" s="30">
        <v>5.0794538906428197E-2</v>
      </c>
      <c r="C220" s="30">
        <v>3.2939281758149787E-2</v>
      </c>
      <c r="D220" s="30">
        <v>1.4144476962094477E-2</v>
      </c>
      <c r="E220" s="30">
        <v>-2449.4360151655951</v>
      </c>
      <c r="F220" s="30">
        <v>-34.645991286634256</v>
      </c>
      <c r="G220" s="31">
        <v>0</v>
      </c>
      <c r="L220" s="25"/>
      <c r="M220" s="25">
        <f t="shared" si="8"/>
        <v>1.76</v>
      </c>
    </row>
    <row r="221" spans="1:13" ht="15" customHeight="1" x14ac:dyDescent="0.25">
      <c r="A221" s="29">
        <v>1.77</v>
      </c>
      <c r="B221" s="30">
        <v>5.0378958954904823E-2</v>
      </c>
      <c r="C221" s="30">
        <v>3.2901458340867912E-2</v>
      </c>
      <c r="D221" s="30">
        <v>1.4028752689824592E-2</v>
      </c>
      <c r="E221" s="30">
        <v>-2501.1834461749681</v>
      </c>
      <c r="F221" s="30">
        <v>-35.088483998271826</v>
      </c>
      <c r="G221" s="31">
        <v>0</v>
      </c>
      <c r="L221" s="25"/>
      <c r="M221" s="25">
        <f t="shared" si="8"/>
        <v>1.77</v>
      </c>
    </row>
    <row r="222" spans="1:13" ht="15" customHeight="1" x14ac:dyDescent="0.25">
      <c r="A222" s="29">
        <v>1.78</v>
      </c>
      <c r="B222" s="30">
        <v>4.9968788807517824E-2</v>
      </c>
      <c r="C222" s="30">
        <v>3.2863767525199275E-2</v>
      </c>
      <c r="D222" s="30">
        <v>1.3914534856073963E-2</v>
      </c>
      <c r="E222" s="30">
        <v>-2553.1012669044599</v>
      </c>
      <c r="F222" s="30">
        <v>-35.5252165694287</v>
      </c>
      <c r="G222" s="31">
        <v>0</v>
      </c>
      <c r="L222" s="25"/>
      <c r="M222" s="25">
        <f t="shared" si="8"/>
        <v>1.78</v>
      </c>
    </row>
    <row r="223" spans="1:13" ht="15" customHeight="1" x14ac:dyDescent="0.25">
      <c r="A223" s="29">
        <v>1.79</v>
      </c>
      <c r="B223" s="30">
        <v>4.9563933209602028E-2</v>
      </c>
      <c r="C223" s="30">
        <v>3.2826209907353195E-2</v>
      </c>
      <c r="D223" s="30">
        <v>1.3801796935797847E-2</v>
      </c>
      <c r="E223" s="30">
        <v>-2605.1890627485427</v>
      </c>
      <c r="F223" s="30">
        <v>-35.956290423416903</v>
      </c>
      <c r="G223" s="31">
        <v>0</v>
      </c>
      <c r="L223" s="25"/>
      <c r="M223" s="25">
        <f t="shared" si="8"/>
        <v>1.79</v>
      </c>
    </row>
    <row r="224" spans="1:13" ht="15" customHeight="1" x14ac:dyDescent="0.25">
      <c r="A224" s="29">
        <v>1.8</v>
      </c>
      <c r="B224" s="30">
        <v>4.9164298975432764E-2</v>
      </c>
      <c r="C224" s="30">
        <v>3.2788786035947357E-2</v>
      </c>
      <c r="D224" s="30">
        <v>1.3690512980078031E-2</v>
      </c>
      <c r="E224" s="30">
        <v>-2657.4464253871192</v>
      </c>
      <c r="F224" s="30">
        <v>-36.381804780624321</v>
      </c>
      <c r="G224" s="31">
        <v>0</v>
      </c>
      <c r="L224" s="25"/>
      <c r="M224" s="25">
        <f t="shared" si="8"/>
        <v>1.8</v>
      </c>
    </row>
    <row r="225" spans="1:13" ht="15" customHeight="1" x14ac:dyDescent="0.25">
      <c r="A225" s="29">
        <v>1.81</v>
      </c>
      <c r="B225" s="30">
        <v>4.8769794934906421E-2</v>
      </c>
      <c r="C225" s="30">
        <v>3.2751496413869874E-2</v>
      </c>
      <c r="D225" s="30">
        <v>1.3580657601275255E-2</v>
      </c>
      <c r="E225" s="30">
        <v>-2709.8729528260387</v>
      </c>
      <c r="F225" s="30">
        <v>-36.801856715287165</v>
      </c>
      <c r="G225" s="31">
        <v>0</v>
      </c>
      <c r="L225" s="25"/>
      <c r="M225" s="25">
        <f t="shared" si="8"/>
        <v>1.81</v>
      </c>
    </row>
    <row r="226" spans="1:13" ht="15" customHeight="1" x14ac:dyDescent="0.25">
      <c r="A226" s="29">
        <v>1.82</v>
      </c>
      <c r="B226" s="30">
        <v>4.8380331881819477E-2</v>
      </c>
      <c r="C226" s="30">
        <v>3.2714341500070666E-2</v>
      </c>
      <c r="D226" s="30">
        <v>1.3472205958626755E-2</v>
      </c>
      <c r="E226" s="30">
        <v>-2762.4682494353583</v>
      </c>
      <c r="F226" s="30">
        <v>-37.216541210560258</v>
      </c>
      <c r="G226" s="31">
        <v>0</v>
      </c>
      <c r="L226" s="25"/>
      <c r="M226" s="25">
        <f t="shared" si="8"/>
        <v>1.82</v>
      </c>
    </row>
    <row r="227" spans="1:13" ht="15" customHeight="1" x14ac:dyDescent="0.25">
      <c r="A227" s="29">
        <v>1.83</v>
      </c>
      <c r="B227" s="30">
        <v>4.7995822523691833E-2</v>
      </c>
      <c r="C227" s="30">
        <v>3.2677321711284874E-2</v>
      </c>
      <c r="D227" s="30">
        <v>1.3365133744273847E-2</v>
      </c>
      <c r="E227" s="30">
        <v>-2815.2319259853034</v>
      </c>
      <c r="F227" s="30">
        <v>-37.625951211943232</v>
      </c>
      <c r="G227" s="31">
        <v>0</v>
      </c>
      <c r="L227" s="25"/>
      <c r="M227" s="25">
        <f t="shared" si="8"/>
        <v>1.83</v>
      </c>
    </row>
    <row r="228" spans="1:13" ht="15" customHeight="1" x14ac:dyDescent="0.25">
      <c r="A228" s="29">
        <v>1.84</v>
      </c>
      <c r="B228" s="30">
        <v>4.7616181433081432E-2</v>
      </c>
      <c r="C228" s="30">
        <v>3.2640437423691153E-2</v>
      </c>
      <c r="D228" s="30">
        <v>1.3259417169704772E-2</v>
      </c>
      <c r="E228" s="30">
        <v>-2868.1635996799582</v>
      </c>
      <c r="F228" s="30">
        <v>-38.030177679118687</v>
      </c>
      <c r="G228" s="31">
        <v>0</v>
      </c>
      <c r="L228" s="25"/>
      <c r="M228" s="25">
        <f t="shared" si="8"/>
        <v>1.84</v>
      </c>
    </row>
    <row r="229" spans="1:13" ht="15" customHeight="1" x14ac:dyDescent="0.25">
      <c r="A229" s="29">
        <v>1.85</v>
      </c>
      <c r="B229" s="30">
        <v>4.7241325000339292E-2</v>
      </c>
      <c r="C229" s="30">
        <v>3.2603688974507293E-2</v>
      </c>
      <c r="D229" s="30">
        <v>1.3155032952598646E-2</v>
      </c>
      <c r="E229" s="30">
        <v>-2921.2628941887529</v>
      </c>
      <c r="F229" s="30">
        <v>-38.429309636256733</v>
      </c>
      <c r="G229" s="31">
        <v>0</v>
      </c>
      <c r="L229" s="25"/>
      <c r="M229" s="25">
        <f t="shared" si="8"/>
        <v>1.85</v>
      </c>
    </row>
    <row r="230" spans="1:13" ht="15" customHeight="1" x14ac:dyDescent="0.25">
      <c r="A230" s="29">
        <v>1.86</v>
      </c>
      <c r="B230" s="30">
        <v>4.6871171387756684E-2</v>
      </c>
      <c r="C230" s="30">
        <v>3.2567076663525686E-2</v>
      </c>
      <c r="D230" s="30">
        <v>1.3051958304057084E-2</v>
      </c>
      <c r="E230" s="30">
        <v>-2974.5294396756767</v>
      </c>
      <c r="F230" s="30">
        <v>-38.823434220837207</v>
      </c>
      <c r="G230" s="31">
        <v>0</v>
      </c>
      <c r="L230" s="25"/>
      <c r="M230" s="25">
        <f t="shared" si="8"/>
        <v>1.86</v>
      </c>
    </row>
    <row r="231" spans="1:13" ht="15" customHeight="1" x14ac:dyDescent="0.25">
      <c r="A231" s="29">
        <v>1.87</v>
      </c>
      <c r="B231" s="30">
        <v>4.6505640485057023E-2</v>
      </c>
      <c r="C231" s="30">
        <v>3.2530600754591098E-2</v>
      </c>
      <c r="D231" s="30">
        <v>1.2950170916210266E-2</v>
      </c>
      <c r="E231" s="30">
        <v>-3027.9628728263365</v>
      </c>
      <c r="F231" s="30">
        <v>-39.212636731040114</v>
      </c>
      <c r="G231" s="31">
        <v>0</v>
      </c>
      <c r="L231" s="25"/>
      <c r="M231" s="25">
        <f t="shared" si="8"/>
        <v>1.87</v>
      </c>
    </row>
    <row r="232" spans="1:13" ht="15" customHeight="1" x14ac:dyDescent="0.25">
      <c r="A232" s="29">
        <v>1.88</v>
      </c>
      <c r="B232" s="30">
        <v>4.6144653866187844E-2</v>
      </c>
      <c r="C232" s="30">
        <v>3.2494261477022925E-2</v>
      </c>
      <c r="D232" s="30">
        <v>1.284964895018503E-2</v>
      </c>
      <c r="E232" s="30">
        <v>-3081.5628368728026</v>
      </c>
      <c r="F232" s="30">
        <v>-39.597000671751815</v>
      </c>
      <c r="G232" s="31">
        <v>0</v>
      </c>
      <c r="L232" s="25"/>
      <c r="M232" s="25">
        <f t="shared" si="8"/>
        <v>1.88</v>
      </c>
    </row>
    <row r="233" spans="1:13" ht="15" customHeight="1" x14ac:dyDescent="0.25">
      <c r="A233" s="29">
        <v>1.89</v>
      </c>
      <c r="B233" s="30">
        <v>4.578813474736905E-2</v>
      </c>
      <c r="C233" s="30">
        <v>3.2458059026984093E-2</v>
      </c>
      <c r="D233" s="30">
        <v>1.2750371024422809E-2</v>
      </c>
      <c r="E233" s="30">
        <v>-3135.3289816162965</v>
      </c>
      <c r="F233" s="30">
        <v>-39.976607799233498</v>
      </c>
      <c r="G233" s="31">
        <v>0</v>
      </c>
      <c r="L233" s="25"/>
      <c r="M233" s="25">
        <f t="shared" si="8"/>
        <v>1.89</v>
      </c>
    </row>
    <row r="234" spans="1:13" ht="15" customHeight="1" x14ac:dyDescent="0.25">
      <c r="A234" s="29">
        <v>1.9</v>
      </c>
      <c r="B234" s="30">
        <v>4.5436007946355904E-2</v>
      </c>
      <c r="C234" s="30">
        <v>3.2421993568798817E-2</v>
      </c>
      <c r="D234" s="30">
        <v>1.2652316203335809E-2</v>
      </c>
      <c r="E234" s="30">
        <v>-3189.2609634477494</v>
      </c>
      <c r="F234" s="30">
        <v>-40.351538164496333</v>
      </c>
      <c r="G234" s="31">
        <v>0</v>
      </c>
      <c r="L234" s="25"/>
      <c r="M234" s="25">
        <f t="shared" si="8"/>
        <v>1.9</v>
      </c>
    </row>
    <row r="235" spans="1:13" ht="15" customHeight="1" x14ac:dyDescent="0.25">
      <c r="A235" s="29">
        <v>1.91</v>
      </c>
      <c r="B235" s="30">
        <v>4.5088199842876424E-2</v>
      </c>
      <c r="C235" s="30">
        <v>3.2386065236221034E-2</v>
      </c>
      <c r="D235" s="30">
        <v>1.2555463986290233E-2</v>
      </c>
      <c r="E235" s="30">
        <v>-3243.3584453662415</v>
      </c>
      <c r="F235" s="30">
        <v>-40.721870155426124</v>
      </c>
      <c r="G235" s="31">
        <v>0</v>
      </c>
      <c r="L235" s="25"/>
      <c r="M235" s="25">
        <f t="shared" si="8"/>
        <v>1.91</v>
      </c>
    </row>
    <row r="236" spans="1:13" ht="15" customHeight="1" x14ac:dyDescent="0.25">
      <c r="A236" s="29">
        <v>1.92</v>
      </c>
      <c r="B236" s="30">
        <v>4.4744638340204632E-2</v>
      </c>
      <c r="C236" s="30">
        <v>3.2350274133655599E-2</v>
      </c>
      <c r="D236" s="30">
        <v>1.2459794296905797E-2</v>
      </c>
      <c r="E236" s="30">
        <v>-3297.6210969953213</v>
      </c>
      <c r="F236" s="30">
        <v>-41.087680537698539</v>
      </c>
      <c r="G236" s="31">
        <v>0</v>
      </c>
      <c r="L236" s="25"/>
      <c r="M236" s="25">
        <f t="shared" ref="M236:M299" si="9">A236</f>
        <v>1.92</v>
      </c>
    </row>
    <row r="237" spans="1:13" ht="15" customHeight="1" x14ac:dyDescent="0.25">
      <c r="A237" s="29">
        <v>1.93</v>
      </c>
      <c r="B237" s="30">
        <v>4.440525282783199E-2</v>
      </c>
      <c r="C237" s="30">
        <v>3.2314620337333906E-2</v>
      </c>
      <c r="D237" s="30">
        <v>1.2365287472661034E-2</v>
      </c>
      <c r="E237" s="30">
        <v>-3352.0485945973064</v>
      </c>
      <c r="F237" s="30">
        <v>-41.449044494525104</v>
      </c>
      <c r="G237" s="31">
        <v>0</v>
      </c>
      <c r="L237" s="25"/>
      <c r="M237" s="25">
        <f t="shared" si="9"/>
        <v>1.93</v>
      </c>
    </row>
    <row r="238" spans="1:13" ht="15" customHeight="1" x14ac:dyDescent="0.25">
      <c r="A238" s="29">
        <v>1.94</v>
      </c>
      <c r="B238" s="30">
        <v>4.4069974145201765E-2</v>
      </c>
      <c r="C238" s="30">
        <v>3.2279103896445914E-2</v>
      </c>
      <c r="D238" s="30">
        <v>1.2271924254794626E-2</v>
      </c>
      <c r="E238" s="30">
        <v>-3406.6406210854625</v>
      </c>
      <c r="F238" s="30">
        <v>-41.806035665267316</v>
      </c>
      <c r="G238" s="31">
        <v>0</v>
      </c>
      <c r="L238" s="25"/>
      <c r="M238" s="25">
        <f t="shared" si="9"/>
        <v>1.94</v>
      </c>
    </row>
    <row r="239" spans="1:13" ht="15" customHeight="1" x14ac:dyDescent="0.25">
      <c r="A239" s="29">
        <v>1.95</v>
      </c>
      <c r="B239" s="30">
        <v>4.3738734546470925E-2</v>
      </c>
      <c r="C239" s="30">
        <v>3.224372483423002E-2</v>
      </c>
      <c r="D239" s="30">
        <v>1.217968577849282E-2</v>
      </c>
      <c r="E239" s="30">
        <v>-3461.3968660342357</v>
      </c>
      <c r="F239" s="30">
        <v>-42.158726182956798</v>
      </c>
      <c r="G239" s="31">
        <v>0</v>
      </c>
      <c r="L239" s="25"/>
      <c r="M239" s="25">
        <f t="shared" si="9"/>
        <v>1.95</v>
      </c>
    </row>
    <row r="240" spans="1:13" ht="15" customHeight="1" x14ac:dyDescent="0.25">
      <c r="A240" s="29">
        <v>1.96</v>
      </c>
      <c r="B240" s="30">
        <v>4.3411467666267106E-2</v>
      </c>
      <c r="C240" s="30">
        <v>3.2208483149022589E-2</v>
      </c>
      <c r="D240" s="30">
        <v>1.2088553563353968E-2</v>
      </c>
      <c r="E240" s="30">
        <v>-3516.31702568742</v>
      </c>
      <c r="F240" s="30">
        <v>-42.507186710755889</v>
      </c>
      <c r="G240" s="31">
        <v>0</v>
      </c>
      <c r="L240" s="25"/>
      <c r="M240" s="25">
        <f t="shared" si="9"/>
        <v>1.96</v>
      </c>
    </row>
    <row r="241" spans="1:13" ht="15" customHeight="1" x14ac:dyDescent="0.25">
      <c r="A241" s="29">
        <v>1.97</v>
      </c>
      <c r="B241" s="30">
        <v>4.3088108486407831E-2</v>
      </c>
      <c r="C241" s="30">
        <v>3.2173378815268501E-2</v>
      </c>
      <c r="D241" s="30">
        <v>1.1998509504121008E-2</v>
      </c>
      <c r="E241" s="30">
        <v>-3571.4008029643919</v>
      </c>
      <c r="F241" s="30">
        <v>-42.851486477393657</v>
      </c>
      <c r="G241" s="31">
        <v>0</v>
      </c>
      <c r="L241" s="25"/>
      <c r="M241" s="25">
        <f t="shared" si="9"/>
        <v>1.97</v>
      </c>
    </row>
    <row r="242" spans="1:13" ht="15" customHeight="1" x14ac:dyDescent="0.25">
      <c r="A242" s="29">
        <v>1.98</v>
      </c>
      <c r="B242" s="30">
        <v>4.2768593303551469E-2</v>
      </c>
      <c r="C242" s="30">
        <v>3.2138411784494489E-2</v>
      </c>
      <c r="D242" s="30">
        <v>1.1909535861673409E-2</v>
      </c>
      <c r="E242" s="30">
        <v>-3626.6479074643789</v>
      </c>
      <c r="F242" s="30">
        <v>-43.191693311609846</v>
      </c>
      <c r="G242" s="31">
        <v>0</v>
      </c>
      <c r="L242" s="25"/>
      <c r="M242" s="25">
        <f t="shared" si="9"/>
        <v>1.98</v>
      </c>
    </row>
    <row r="243" spans="1:13" ht="15" customHeight="1" x14ac:dyDescent="0.25">
      <c r="A243" s="29">
        <v>1.99</v>
      </c>
      <c r="B243" s="30">
        <v>4.2452859697750076E-2</v>
      </c>
      <c r="C243" s="30">
        <v>3.2103581986246368E-2</v>
      </c>
      <c r="D243" s="30">
        <v>1.1821615254270244E-2</v>
      </c>
      <c r="E243" s="30">
        <v>-3682.0580554687976</v>
      </c>
      <c r="F243" s="30">
        <v>-43.527873675638567</v>
      </c>
      <c r="G243" s="31">
        <v>0</v>
      </c>
      <c r="L243" s="25"/>
      <c r="M243" s="25">
        <f t="shared" si="9"/>
        <v>1.99</v>
      </c>
    </row>
    <row r="244" spans="1:13" ht="15" customHeight="1" x14ac:dyDescent="0.25">
      <c r="A244" s="29">
        <v>2</v>
      </c>
      <c r="B244" s="30">
        <v>4.2140846501875169E-2</v>
      </c>
      <c r="C244" s="30">
        <v>3.2068889328991719E-2</v>
      </c>
      <c r="D244" s="30">
        <v>1.1734730649036362E-2</v>
      </c>
      <c r="E244" s="30">
        <v>-3737.6309699417075</v>
      </c>
      <c r="F244" s="30">
        <v>-43.860092697762461</v>
      </c>
      <c r="G244" s="31">
        <v>0</v>
      </c>
      <c r="L244" s="25"/>
      <c r="M244" s="25">
        <f t="shared" si="9"/>
        <v>2</v>
      </c>
    </row>
    <row r="245" spans="1:13" ht="15" customHeight="1" x14ac:dyDescent="0.25">
      <c r="A245" s="29">
        <v>2.0099999999999998</v>
      </c>
      <c r="B245" s="30">
        <v>4.1832493771888878E-2</v>
      </c>
      <c r="C245" s="30">
        <v>3.2034333700989286E-2</v>
      </c>
      <c r="D245" s="30">
        <v>1.164886535368395E-2</v>
      </c>
      <c r="E245" s="30">
        <v>-3793.3663805284027</v>
      </c>
      <c r="F245" s="30">
        <v>-44.188414203966801</v>
      </c>
      <c r="G245" s="31">
        <v>0</v>
      </c>
      <c r="L245" s="25"/>
      <c r="M245" s="25">
        <f t="shared" si="9"/>
        <v>2.0099999999999998</v>
      </c>
    </row>
    <row r="246" spans="1:13" ht="15" customHeight="1" x14ac:dyDescent="0.25">
      <c r="A246" s="29">
        <v>2.02</v>
      </c>
      <c r="B246" s="30">
        <v>4.152774275793391E-2</v>
      </c>
      <c r="C246" s="30">
        <v>3.1999914971126468E-2</v>
      </c>
      <c r="D246" s="30">
        <v>1.156400300846212E-2</v>
      </c>
      <c r="E246" s="30">
        <v>-3849.2640235521194</v>
      </c>
      <c r="F246" s="30">
        <v>-44.512900748721712</v>
      </c>
      <c r="G246" s="31">
        <v>0</v>
      </c>
      <c r="L246" s="25"/>
      <c r="M246" s="25">
        <f t="shared" si="9"/>
        <v>2.02</v>
      </c>
    </row>
    <row r="247" spans="1:13" ht="15" customHeight="1" x14ac:dyDescent="0.25">
      <c r="A247" s="29">
        <v>2.0299999999999998</v>
      </c>
      <c r="B247" s="30">
        <v>4.1226535876216219E-2</v>
      </c>
      <c r="C247" s="30">
        <v>3.1965632989725795E-2</v>
      </c>
      <c r="D247" s="30">
        <v>1.1480127578327228E-2</v>
      </c>
      <c r="E247" s="30">
        <v>-3905.3236420089584</v>
      </c>
      <c r="F247" s="30">
        <v>-44.833613644920369</v>
      </c>
      <c r="G247" s="31">
        <v>0</v>
      </c>
      <c r="L247" s="25"/>
      <c r="M247" s="25">
        <f t="shared" si="9"/>
        <v>2.0299999999999998</v>
      </c>
    </row>
    <row r="248" spans="1:13" ht="15" customHeight="1" x14ac:dyDescent="0.25">
      <c r="A248" s="29">
        <v>2.04</v>
      </c>
      <c r="B248" s="30">
        <v>4.0928816681655732E-2</v>
      </c>
      <c r="C248" s="30">
        <v>3.1931487589321919E-2</v>
      </c>
      <c r="D248" s="30">
        <v>1.139722334532707E-2</v>
      </c>
      <c r="E248" s="30">
        <v>-3961.544985561015</v>
      </c>
      <c r="F248" s="30">
        <v>-45.150612992999392</v>
      </c>
      <c r="G248" s="31">
        <v>0</v>
      </c>
      <c r="L248" s="25"/>
      <c r="M248" s="25">
        <f t="shared" si="9"/>
        <v>2.04</v>
      </c>
    </row>
    <row r="249" spans="1:13" ht="15" customHeight="1" x14ac:dyDescent="0.25">
      <c r="A249" s="29">
        <v>2.0499999999999998</v>
      </c>
      <c r="B249" s="30">
        <v>4.0634529841281262E-2</v>
      </c>
      <c r="C249" s="30">
        <v>3.1897478585410026E-2</v>
      </c>
      <c r="D249" s="30">
        <v>1.1315274901192312E-2</v>
      </c>
      <c r="E249" s="30">
        <v>-4017.9278105277199</v>
      </c>
      <c r="F249" s="30">
        <v>-45.463957709266886</v>
      </c>
      <c r="G249" s="31">
        <v>0</v>
      </c>
      <c r="L249" s="25"/>
      <c r="M249" s="25">
        <f t="shared" si="9"/>
        <v>2.0499999999999998</v>
      </c>
    </row>
    <row r="250" spans="1:13" ht="15" customHeight="1" x14ac:dyDescent="0.25">
      <c r="A250" s="29">
        <v>2.06</v>
      </c>
      <c r="B250" s="30">
        <v>4.0343621108346085E-2</v>
      </c>
      <c r="C250" s="30">
        <v>3.1863605777166744E-2</v>
      </c>
      <c r="D250" s="30">
        <v>1.1234267140128592E-2</v>
      </c>
      <c r="E250" s="30">
        <v>-4074.471879875483</v>
      </c>
      <c r="F250" s="30">
        <v>-45.77370555346311</v>
      </c>
      <c r="G250" s="31">
        <v>0</v>
      </c>
      <c r="L250" s="25"/>
      <c r="M250" s="25">
        <f t="shared" si="9"/>
        <v>2.06</v>
      </c>
    </row>
    <row r="251" spans="1:13" ht="15" customHeight="1" x14ac:dyDescent="0.25">
      <c r="A251" s="29">
        <v>2.0699999999999998</v>
      </c>
      <c r="B251" s="30">
        <v>4.005603729714239E-2</v>
      </c>
      <c r="C251" s="30">
        <v>3.1829868948144685E-2</v>
      </c>
      <c r="D251" s="30">
        <v>1.1154185251803247E-2</v>
      </c>
      <c r="E251" s="30">
        <v>-4131.1769632055821</v>
      </c>
      <c r="F251" s="30">
        <v>-46.079913155577024</v>
      </c>
      <c r="G251" s="31">
        <v>0</v>
      </c>
      <c r="L251" s="25"/>
      <c r="M251" s="25">
        <f t="shared" si="9"/>
        <v>2.0699999999999998</v>
      </c>
    </row>
    <row r="252" spans="1:13" ht="15" customHeight="1" x14ac:dyDescent="0.25">
      <c r="A252" s="29">
        <v>2.08</v>
      </c>
      <c r="B252" s="30">
        <v>3.9771726258492561E-2</v>
      </c>
      <c r="C252" s="30">
        <v>3.1796267866941487E-2</v>
      </c>
      <c r="D252" s="30">
        <v>1.1075014714520492E-2</v>
      </c>
      <c r="E252" s="30">
        <v>-4188.042836740412</v>
      </c>
      <c r="F252" s="30">
        <v>-46.382636041942206</v>
      </c>
      <c r="G252" s="31">
        <v>0</v>
      </c>
      <c r="L252" s="25"/>
      <c r="M252" s="25">
        <f t="shared" si="9"/>
        <v>2.08</v>
      </c>
    </row>
    <row r="253" spans="1:13" ht="15" customHeight="1" x14ac:dyDescent="0.25">
      <c r="A253" s="29">
        <v>2.09</v>
      </c>
      <c r="B253" s="30">
        <v>3.9490636855896863E-2</v>
      </c>
      <c r="C253" s="30">
        <v>3.1762802287844311E-2</v>
      </c>
      <c r="D253" s="30">
        <v>1.0996741288579409E-2</v>
      </c>
      <c r="E253" s="30">
        <v>-4245.0692833080466</v>
      </c>
      <c r="F253" s="30">
        <v>-46.681928660633801</v>
      </c>
      <c r="G253" s="31">
        <v>0</v>
      </c>
      <c r="L253" s="25"/>
      <c r="M253" s="25">
        <f t="shared" si="9"/>
        <v>2.09</v>
      </c>
    </row>
    <row r="254" spans="1:13" ht="15" customHeight="1" x14ac:dyDescent="0.25">
      <c r="A254" s="29">
        <v>2.1</v>
      </c>
      <c r="B254" s="30">
        <v>3.9212718942317176E-2</v>
      </c>
      <c r="C254" s="30">
        <v>3.1729471951450913E-2</v>
      </c>
      <c r="D254" s="30">
        <v>1.0919351009809033E-2</v>
      </c>
      <c r="E254" s="30">
        <v>-4302.2560923252031</v>
      </c>
      <c r="F254" s="30">
        <v>-46.977844406188268</v>
      </c>
      <c r="G254" s="31">
        <v>0</v>
      </c>
      <c r="L254" s="25"/>
      <c r="M254" s="25">
        <f t="shared" si="9"/>
        <v>2.1</v>
      </c>
    </row>
    <row r="255" spans="1:13" ht="15" customHeight="1" x14ac:dyDescent="0.25">
      <c r="A255" s="29">
        <v>2.11</v>
      </c>
      <c r="B255" s="30">
        <v>3.8937923337577646E-2</v>
      </c>
      <c r="C255" s="30">
        <v>3.1696276585267788E-2</v>
      </c>
      <c r="D255" s="30">
        <v>1.0842830183275233E-2</v>
      </c>
      <c r="E255" s="30">
        <v>-4359.6030597785848</v>
      </c>
      <c r="F255" s="30">
        <v>-47.270435643666296</v>
      </c>
      <c r="G255" s="31">
        <v>0</v>
      </c>
      <c r="L255" s="25"/>
      <c r="M255" s="25">
        <f t="shared" si="9"/>
        <v>2.11</v>
      </c>
    </row>
    <row r="256" spans="1:13" ht="15" customHeight="1" x14ac:dyDescent="0.25">
      <c r="A256" s="29">
        <v>2.12</v>
      </c>
      <c r="B256" s="30">
        <v>3.8666201806363279E-2</v>
      </c>
      <c r="C256" s="30">
        <v>3.1663215904286585E-2</v>
      </c>
      <c r="D256" s="30">
        <v>1.0767165377154112E-2</v>
      </c>
      <c r="E256" s="30">
        <v>-4417.109988204671</v>
      </c>
      <c r="F256" s="30">
        <v>-47.559753732078931</v>
      </c>
      <c r="G256" s="31">
        <v>0</v>
      </c>
      <c r="L256" s="25"/>
      <c r="M256" s="25">
        <f t="shared" si="9"/>
        <v>2.12</v>
      </c>
    </row>
    <row r="257" spans="1:13" ht="15" customHeight="1" x14ac:dyDescent="0.25">
      <c r="A257" s="29">
        <v>2.13</v>
      </c>
      <c r="B257" s="30">
        <v>3.8397507036798582E-2</v>
      </c>
      <c r="C257" s="30">
        <v>3.1630289611539381E-2</v>
      </c>
      <c r="D257" s="30">
        <v>1.0692343416766907E-2</v>
      </c>
      <c r="E257" s="30">
        <v>-4474.776686667964</v>
      </c>
      <c r="F257" s="30">
        <v>-47.845849047196239</v>
      </c>
      <c r="G257" s="31">
        <v>0</v>
      </c>
      <c r="L257" s="25"/>
      <c r="M257" s="25">
        <f t="shared" si="9"/>
        <v>2.13</v>
      </c>
    </row>
    <row r="258" spans="1:13" ht="15" customHeight="1" x14ac:dyDescent="0.25">
      <c r="A258" s="29">
        <v>2.14</v>
      </c>
      <c r="B258" s="30">
        <v>3.8131792619588781E-2</v>
      </c>
      <c r="C258" s="30">
        <v>3.1597497398633684E-2</v>
      </c>
      <c r="D258" s="30">
        <v>1.0618351378771563E-2</v>
      </c>
      <c r="E258" s="30">
        <v>-4532.602970737712</v>
      </c>
      <c r="F258" s="30">
        <v>-48.128771003756867</v>
      </c>
      <c r="G258" s="31">
        <v>0</v>
      </c>
      <c r="L258" s="25"/>
      <c r="M258" s="25">
        <f t="shared" si="9"/>
        <v>2.14</v>
      </c>
    </row>
    <row r="259" spans="1:13" ht="15" customHeight="1" x14ac:dyDescent="0.25">
      <c r="A259" s="29">
        <v>2.15</v>
      </c>
      <c r="B259" s="30">
        <v>3.7869013027706518E-2</v>
      </c>
      <c r="C259" s="30">
        <v>3.1564838946267867E-2</v>
      </c>
      <c r="D259" s="30">
        <v>1.0545176585506202E-2</v>
      </c>
      <c r="E259" s="30">
        <v>-4590.5886624631648</v>
      </c>
      <c r="F259" s="30">
        <v>-48.408568077096803</v>
      </c>
      <c r="G259" s="31">
        <v>0</v>
      </c>
      <c r="L259" s="25"/>
      <c r="M259" s="25">
        <f t="shared" si="9"/>
        <v>2.15</v>
      </c>
    </row>
    <row r="260" spans="1:13" ht="15" customHeight="1" x14ac:dyDescent="0.25">
      <c r="A260" s="29">
        <v>2.16</v>
      </c>
      <c r="B260" s="30">
        <v>3.7609123596608111E-2</v>
      </c>
      <c r="C260" s="30">
        <v>3.1532313924727821E-2</v>
      </c>
      <c r="D260" s="30">
        <v>1.0472806599480045E-2</v>
      </c>
      <c r="E260" s="30">
        <v>-4648.7335903473586</v>
      </c>
      <c r="F260" s="30">
        <v>-48.685287824214377</v>
      </c>
      <c r="G260" s="31">
        <v>0</v>
      </c>
      <c r="L260" s="25"/>
      <c r="M260" s="25">
        <f t="shared" si="9"/>
        <v>2.16</v>
      </c>
    </row>
    <row r="261" spans="1:13" ht="15" customHeight="1" x14ac:dyDescent="0.25">
      <c r="A261" s="29">
        <v>2.17</v>
      </c>
      <c r="B261" s="30">
        <v>3.735208050496322E-2</v>
      </c>
      <c r="C261" s="30">
        <v>3.1499921994365417E-2</v>
      </c>
      <c r="D261" s="30">
        <v>1.0401229218007318E-2</v>
      </c>
      <c r="E261" s="30">
        <v>-4707.0375893194723</v>
      </c>
      <c r="F261" s="30">
        <v>-48.958976904288427</v>
      </c>
      <c r="G261" s="31">
        <v>0</v>
      </c>
      <c r="L261" s="25"/>
      <c r="M261" s="25">
        <f t="shared" si="9"/>
        <v>2.17</v>
      </c>
    </row>
    <row r="262" spans="1:13" ht="15" customHeight="1" x14ac:dyDescent="0.25">
      <c r="A262" s="29">
        <v>2.1800000000000002</v>
      </c>
      <c r="B262" s="30">
        <v>3.709784075588303E-2</v>
      </c>
      <c r="C262" s="30">
        <v>3.1467662806059525E-2</v>
      </c>
      <c r="D262" s="30">
        <v>1.0330432467979957E-2</v>
      </c>
      <c r="E262" s="30">
        <v>-4765.5005007057935</v>
      </c>
      <c r="F262" s="30">
        <v>-49.229681098665871</v>
      </c>
      <c r="G262" s="31">
        <v>0</v>
      </c>
      <c r="L262" s="25"/>
      <c r="M262" s="25">
        <f t="shared" si="9"/>
        <v>2.1800000000000002</v>
      </c>
    </row>
    <row r="263" spans="1:13" ht="15" customHeight="1" x14ac:dyDescent="0.25">
      <c r="A263" s="29">
        <v>2.19</v>
      </c>
      <c r="B263" s="30">
        <v>3.6846362158631872E-2</v>
      </c>
      <c r="C263" s="30">
        <v>3.143553600166011E-2</v>
      </c>
      <c r="D263" s="30">
        <v>1.0260404600774953E-2</v>
      </c>
      <c r="E263" s="30">
        <v>-4824.1221721993179</v>
      </c>
      <c r="F263" s="30">
        <v>-49.497445330334337</v>
      </c>
      <c r="G263" s="31">
        <v>0</v>
      </c>
      <c r="L263" s="25"/>
      <c r="M263" s="25">
        <f t="shared" si="9"/>
        <v>2.19</v>
      </c>
    </row>
    <row r="264" spans="1:13" ht="15" customHeight="1" x14ac:dyDescent="0.25">
      <c r="A264" s="29">
        <v>2.2000000000000002</v>
      </c>
      <c r="B264" s="30">
        <v>3.6597603310808496E-2</v>
      </c>
      <c r="C264" s="30">
        <v>3.140354121441627E-2</v>
      </c>
      <c r="D264" s="30">
        <v>1.0191134087292457E-2</v>
      </c>
      <c r="E264" s="30">
        <v>-4882.9024578279868</v>
      </c>
      <c r="F264" s="30">
        <v>-49.76231368289492</v>
      </c>
      <c r="G264" s="31">
        <v>0</v>
      </c>
      <c r="L264" s="25"/>
      <c r="M264" s="25">
        <f t="shared" si="9"/>
        <v>2.2000000000000002</v>
      </c>
    </row>
    <row r="265" spans="1:13" ht="15" customHeight="1" x14ac:dyDescent="0.25">
      <c r="A265" s="29">
        <v>2.21</v>
      </c>
      <c r="B265" s="30">
        <v>3.6351523580982863E-2</v>
      </c>
      <c r="C265" s="30">
        <v>3.1371678069388419E-2</v>
      </c>
      <c r="D265" s="30">
        <v>1.0122609613120753E-2</v>
      </c>
      <c r="E265" s="30">
        <v>-4941.8412179216193</v>
      </c>
      <c r="F265" s="30">
        <v>-50.024329419049749</v>
      </c>
      <c r="G265" s="31">
        <v>0</v>
      </c>
      <c r="L265" s="25"/>
      <c r="M265" s="25">
        <f t="shared" si="9"/>
        <v>2.21</v>
      </c>
    </row>
    <row r="266" spans="1:13" ht="15" customHeight="1" x14ac:dyDescent="0.25">
      <c r="A266" s="29">
        <v>2.2200000000000002</v>
      </c>
      <c r="B266" s="30">
        <v>3.6108083091775274E-2</v>
      </c>
      <c r="C266" s="30">
        <v>3.1339946183845543E-2</v>
      </c>
      <c r="D266" s="30">
        <v>1.0054820073824394E-2</v>
      </c>
      <c r="E266" s="30">
        <v>-5000.9383190775607</v>
      </c>
      <c r="F266" s="30">
        <v>-50.283534998618677</v>
      </c>
      <c r="G266" s="31">
        <v>0</v>
      </c>
      <c r="L266" s="25"/>
      <c r="M266" s="25">
        <f t="shared" si="9"/>
        <v>2.2200000000000002</v>
      </c>
    </row>
    <row r="267" spans="1:13" ht="15" customHeight="1" x14ac:dyDescent="0.25">
      <c r="A267" s="29">
        <v>2.23</v>
      </c>
      <c r="B267" s="30">
        <v>3.5867242703365089E-2</v>
      </c>
      <c r="C267" s="30">
        <v>3.1308345167647973E-2</v>
      </c>
      <c r="D267" s="30">
        <v>9.9877545703519598E-3</v>
      </c>
      <c r="E267" s="30">
        <v>-5060.1936341250657</v>
      </c>
      <c r="F267" s="30">
        <v>-50.539972096098516</v>
      </c>
      <c r="G267" s="31">
        <v>0</v>
      </c>
      <c r="L267" s="25"/>
      <c r="M267" s="25">
        <f t="shared" si="9"/>
        <v>2.23</v>
      </c>
    </row>
    <row r="268" spans="1:13" ht="15" customHeight="1" x14ac:dyDescent="0.25">
      <c r="A268" s="29">
        <v>2.2400000000000002</v>
      </c>
      <c r="B268" s="30">
        <v>3.5628963997416399E-2</v>
      </c>
      <c r="C268" s="30">
        <v>3.1276874623615891E-2</v>
      </c>
      <c r="D268" s="30">
        <v>9.9214024045599317E-3</v>
      </c>
      <c r="E268" s="30">
        <v>-5119.6070420884553</v>
      </c>
      <c r="F268" s="30">
        <v>-50.793681617778361</v>
      </c>
      <c r="G268" s="31">
        <v>0</v>
      </c>
      <c r="L268" s="25"/>
      <c r="M268" s="25">
        <f t="shared" si="9"/>
        <v>2.2400000000000002</v>
      </c>
    </row>
    <row r="269" spans="1:13" ht="15" customHeight="1" x14ac:dyDescent="0.25">
      <c r="A269" s="29">
        <v>2.25</v>
      </c>
      <c r="B269" s="30">
        <v>3.5393209261408744E-2</v>
      </c>
      <c r="C269" s="30">
        <v>3.1245534147884783E-2</v>
      </c>
      <c r="D269" s="30">
        <v>9.8557530748493542E-3</v>
      </c>
      <c r="E269" s="30">
        <v>-5179.1784281490609</v>
      </c>
      <c r="F269" s="30">
        <v>-51.044703718423548</v>
      </c>
      <c r="G269" s="31">
        <v>0</v>
      </c>
      <c r="L269" s="25"/>
      <c r="M269" s="25">
        <f t="shared" si="9"/>
        <v>2.25</v>
      </c>
    </row>
    <row r="270" spans="1:13" ht="15" customHeight="1" x14ac:dyDescent="0.25">
      <c r="A270" s="29">
        <v>2.2599999999999998</v>
      </c>
      <c r="B270" s="30">
        <v>3.5159941473361225E-2</v>
      </c>
      <c r="C270" s="30">
        <v>3.1214323330247401E-2</v>
      </c>
      <c r="D270" s="30">
        <v>9.7907962719120337E-3</v>
      </c>
      <c r="E270" s="30">
        <v>-5238.9076836059958</v>
      </c>
      <c r="F270" s="30">
        <v>-51.29307781754089</v>
      </c>
      <c r="G270" s="31">
        <v>0</v>
      </c>
      <c r="L270" s="25"/>
      <c r="M270" s="25">
        <f t="shared" si="9"/>
        <v>2.2599999999999998</v>
      </c>
    </row>
    <row r="271" spans="1:13" ht="15" customHeight="1" x14ac:dyDescent="0.25">
      <c r="A271" s="29">
        <v>2.27</v>
      </c>
      <c r="B271" s="30">
        <v>3.4929124286938527E-2</v>
      </c>
      <c r="C271" s="30">
        <v>3.1183241754483518E-2</v>
      </c>
      <c r="D271" s="30">
        <v>9.7265218745831092E-3</v>
      </c>
      <c r="E271" s="30">
        <v>-5298.7947058358004</v>
      </c>
      <c r="F271" s="30">
        <v>-51.53884261523708</v>
      </c>
      <c r="G271" s="31">
        <v>0</v>
      </c>
      <c r="L271" s="25"/>
      <c r="M271" s="25">
        <f t="shared" si="9"/>
        <v>2.27</v>
      </c>
    </row>
    <row r="272" spans="1:13" ht="15" customHeight="1" x14ac:dyDescent="0.25">
      <c r="A272" s="29">
        <v>2.2799999999999998</v>
      </c>
      <c r="B272" s="30">
        <v>3.4700722016928434E-2</v>
      </c>
      <c r="C272" s="30">
        <v>3.115228899867746E-2</v>
      </c>
      <c r="D272" s="30">
        <v>9.6629199457970404E-3</v>
      </c>
      <c r="E272" s="30">
        <v>-5358.8393982509087</v>
      </c>
      <c r="F272" s="30">
        <v>-51.782036107681719</v>
      </c>
      <c r="G272" s="31">
        <v>0</v>
      </c>
      <c r="L272" s="25"/>
      <c r="M272" s="25">
        <f t="shared" si="9"/>
        <v>2.2799999999999998</v>
      </c>
    </row>
    <row r="273" spans="1:13" ht="15" customHeight="1" x14ac:dyDescent="0.25">
      <c r="A273" s="29">
        <v>2.29</v>
      </c>
      <c r="B273" s="30">
        <v>3.4474699625079583E-2</v>
      </c>
      <c r="C273" s="30">
        <v>3.112146463552401E-2</v>
      </c>
      <c r="D273" s="30">
        <v>9.5999807286439344E-3</v>
      </c>
      <c r="E273" s="30">
        <v>-5419.0416702571083</v>
      </c>
      <c r="F273" s="30">
        <v>-52.02269560218668</v>
      </c>
      <c r="G273" s="31">
        <v>0</v>
      </c>
      <c r="L273" s="25"/>
      <c r="M273" s="25">
        <f t="shared" si="9"/>
        <v>2.29</v>
      </c>
    </row>
    <row r="274" spans="1:13" ht="15" customHeight="1" x14ac:dyDescent="0.25">
      <c r="A274" s="29">
        <v>2.2999999999999998</v>
      </c>
      <c r="B274" s="30">
        <v>3.4251022706290039E-2</v>
      </c>
      <c r="C274" s="30">
        <v>3.1090768232623061E-2</v>
      </c>
      <c r="D274" s="30">
        <v>9.5376946425235511E-3</v>
      </c>
      <c r="E274" s="30">
        <v>-5479.4014372098172</v>
      </c>
      <c r="F274" s="30">
        <v>-52.260857731911919</v>
      </c>
      <c r="G274" s="31">
        <v>0</v>
      </c>
      <c r="L274" s="25"/>
      <c r="M274" s="25">
        <f t="shared" si="9"/>
        <v>2.2999999999999998</v>
      </c>
    </row>
    <row r="275" spans="1:13" ht="15" customHeight="1" x14ac:dyDescent="0.25">
      <c r="A275" s="29">
        <v>2.31</v>
      </c>
      <c r="B275" s="30">
        <v>3.4029657475135963E-2</v>
      </c>
      <c r="C275" s="30">
        <v>3.1060199352763426E-2</v>
      </c>
      <c r="D275" s="30">
        <v>9.4760522793940118E-3</v>
      </c>
      <c r="E275" s="30">
        <v>-5539.9186203694535</v>
      </c>
      <c r="F275" s="30">
        <v>-52.496558470209287</v>
      </c>
      <c r="G275" s="31">
        <v>0</v>
      </c>
      <c r="L275" s="25"/>
      <c r="M275" s="25">
        <f t="shared" si="9"/>
        <v>2.31</v>
      </c>
    </row>
    <row r="276" spans="1:13" ht="15" customHeight="1" x14ac:dyDescent="0.25">
      <c r="A276" s="29">
        <v>2.3199999999999998</v>
      </c>
      <c r="B276" s="30">
        <v>3.3810570752731611E-2</v>
      </c>
      <c r="C276" s="30">
        <v>3.1029757554196222E-2</v>
      </c>
      <c r="D276" s="30">
        <v>9.4150444001127806E-3</v>
      </c>
      <c r="E276" s="30">
        <v>-5600.5931468556601</v>
      </c>
      <c r="F276" s="30">
        <v>-52.729833144613394</v>
      </c>
      <c r="G276" s="31">
        <v>0</v>
      </c>
      <c r="L276" s="25"/>
      <c r="M276" s="25">
        <f t="shared" si="9"/>
        <v>2.3199999999999998</v>
      </c>
    </row>
    <row r="277" spans="1:13" ht="15" customHeight="1" x14ac:dyDescent="0.25">
      <c r="A277" s="29">
        <v>2.33</v>
      </c>
      <c r="B277" s="30">
        <v>3.3593729953910641E-2</v>
      </c>
      <c r="C277" s="30">
        <v>3.0999442390898139E-2</v>
      </c>
      <c r="D277" s="30">
        <v>9.354661930867111E-3</v>
      </c>
      <c r="E277" s="30">
        <v>-5661.4249496006514</v>
      </c>
      <c r="F277" s="30">
        <v>-52.960716450490466</v>
      </c>
      <c r="G277" s="31">
        <v>0</v>
      </c>
      <c r="L277" s="25"/>
      <c r="M277" s="25">
        <f t="shared" si="9"/>
        <v>2.33</v>
      </c>
    </row>
    <row r="278" spans="1:13" ht="15" customHeight="1" x14ac:dyDescent="0.25">
      <c r="A278" s="29">
        <v>2.34</v>
      </c>
      <c r="B278" s="30">
        <v>3.3379103074720397E-2</v>
      </c>
      <c r="C278" s="30">
        <v>3.0969253412824995E-2</v>
      </c>
      <c r="D278" s="30">
        <v>9.2948959596916448E-3</v>
      </c>
      <c r="E278" s="30">
        <v>-5722.413967301517</v>
      </c>
      <c r="F278" s="30">
        <v>-53.189242464353917</v>
      </c>
      <c r="G278" s="31">
        <v>0</v>
      </c>
      <c r="L278" s="25"/>
      <c r="M278" s="25">
        <f t="shared" si="9"/>
        <v>2.34</v>
      </c>
    </row>
    <row r="279" spans="1:13" ht="15" customHeight="1" x14ac:dyDescent="0.25">
      <c r="A279" s="29">
        <v>2.35</v>
      </c>
      <c r="B279" s="30">
        <v>3.316665868021991E-2</v>
      </c>
      <c r="C279" s="30">
        <v>3.093919016615598E-2</v>
      </c>
      <c r="D279" s="30">
        <v>9.2357377330705946E-3</v>
      </c>
      <c r="E279" s="30">
        <v>-5783.5601443716587</v>
      </c>
      <c r="F279" s="30">
        <v>-53.415444656856543</v>
      </c>
      <c r="G279" s="31">
        <v>0</v>
      </c>
      <c r="L279" s="25"/>
      <c r="M279" s="25">
        <f t="shared" si="9"/>
        <v>2.35</v>
      </c>
    </row>
    <row r="280" spans="1:13" ht="15" customHeight="1" x14ac:dyDescent="0.25">
      <c r="A280" s="29">
        <v>2.36</v>
      </c>
      <c r="B280" s="30">
        <v>3.2956365892573766E-2</v>
      </c>
      <c r="C280" s="30">
        <v>3.0909252193528733E-2</v>
      </c>
      <c r="D280" s="30">
        <v>9.1771786526223011E-3</v>
      </c>
      <c r="E280" s="30">
        <v>-5844.863430891226</v>
      </c>
      <c r="F280" s="30">
        <v>-53.639355905467703</v>
      </c>
      <c r="G280" s="31">
        <v>0</v>
      </c>
      <c r="L280" s="25"/>
      <c r="M280" s="25">
        <f t="shared" si="9"/>
        <v>2.36</v>
      </c>
    </row>
    <row r="281" spans="1:13" ht="15" customHeight="1" x14ac:dyDescent="0.25">
      <c r="A281" s="29">
        <v>2.37</v>
      </c>
      <c r="B281" s="30">
        <v>3.2748194379432959E-2</v>
      </c>
      <c r="C281" s="30">
        <v>3.0879439034265814E-2</v>
      </c>
      <c r="D281" s="30">
        <v>9.1192102718637182E-3</v>
      </c>
      <c r="E281" s="30">
        <v>-5906.3237825567976</v>
      </c>
      <c r="F281" s="30">
        <v>-53.861008506844918</v>
      </c>
      <c r="G281" s="31">
        <v>0</v>
      </c>
      <c r="L281" s="25"/>
      <c r="M281" s="25">
        <f t="shared" si="9"/>
        <v>2.37</v>
      </c>
    </row>
    <row r="282" spans="1:13" ht="15" customHeight="1" x14ac:dyDescent="0.25">
      <c r="A282" s="29">
        <v>2.38</v>
      </c>
      <c r="B282" s="30">
        <v>3.2542114342595657E-2</v>
      </c>
      <c r="C282" s="30">
        <v>3.0849750224592774E-2</v>
      </c>
      <c r="D282" s="30">
        <v>9.0618242930528368E-3</v>
      </c>
      <c r="E282" s="30">
        <v>-5967.9411606300555</v>
      </c>
      <c r="F282" s="30">
        <v>-54.080434188907383</v>
      </c>
      <c r="G282" s="31">
        <v>0</v>
      </c>
      <c r="L282" s="25"/>
      <c r="M282" s="25">
        <f t="shared" si="9"/>
        <v>2.38</v>
      </c>
    </row>
    <row r="283" spans="1:13" ht="15" customHeight="1" x14ac:dyDescent="0.25">
      <c r="A283" s="29">
        <v>2.39</v>
      </c>
      <c r="B283" s="30">
        <v>3.233809650693939E-2</v>
      </c>
      <c r="C283" s="30">
        <v>3.0820185297847909E-2</v>
      </c>
      <c r="D283" s="30">
        <v>9.0050125641066917E-3</v>
      </c>
      <c r="E283" s="30">
        <v>-6029.7155318857695</v>
      </c>
      <c r="F283" s="30">
        <v>-54.297664122620624</v>
      </c>
      <c r="G283" s="31">
        <v>0</v>
      </c>
      <c r="L283" s="25"/>
      <c r="M283" s="25">
        <f t="shared" si="9"/>
        <v>2.39</v>
      </c>
    </row>
    <row r="284" spans="1:13" ht="15" customHeight="1" x14ac:dyDescent="0.25">
      <c r="A284" s="29">
        <v>2.4</v>
      </c>
      <c r="B284" s="30">
        <v>3.213611210961799E-2</v>
      </c>
      <c r="C284" s="30">
        <v>3.079074378468449E-2</v>
      </c>
      <c r="D284" s="30">
        <v>8.9487670755930906E-3</v>
      </c>
      <c r="E284" s="30">
        <v>-6091.6468685588316</v>
      </c>
      <c r="F284" s="30">
        <v>-54.512728933499027</v>
      </c>
      <c r="G284" s="31">
        <v>0</v>
      </c>
      <c r="L284" s="25"/>
      <c r="M284" s="25">
        <f t="shared" si="9"/>
        <v>2.4</v>
      </c>
    </row>
    <row r="285" spans="1:13" ht="15" customHeight="1" x14ac:dyDescent="0.25">
      <c r="A285" s="29">
        <v>2.41</v>
      </c>
      <c r="B285" s="30">
        <v>3.1936132889515322E-2</v>
      </c>
      <c r="C285" s="30">
        <v>3.0761425213265171E-2</v>
      </c>
      <c r="D285" s="30">
        <v>8.8930799577938615E-3</v>
      </c>
      <c r="E285" s="30">
        <v>-6153.7351482906442</v>
      </c>
      <c r="F285" s="30">
        <v>-54.725658712835163</v>
      </c>
      <c r="G285" s="31">
        <v>0</v>
      </c>
      <c r="L285" s="25"/>
      <c r="M285" s="25">
        <f t="shared" si="9"/>
        <v>2.41</v>
      </c>
    </row>
    <row r="286" spans="1:13" ht="15" customHeight="1" x14ac:dyDescent="0.25">
      <c r="A286" s="29">
        <v>2.42</v>
      </c>
      <c r="B286" s="30">
        <v>3.1738131076949644E-2</v>
      </c>
      <c r="C286" s="30">
        <v>3.073222910944929E-2</v>
      </c>
      <c r="D286" s="30">
        <v>8.8379434778378691E-3</v>
      </c>
      <c r="E286" s="30">
        <v>-6215.9803540746252</v>
      </c>
      <c r="F286" s="30">
        <v>-54.936483028662174</v>
      </c>
      <c r="G286" s="31">
        <v>0</v>
      </c>
      <c r="L286" s="25"/>
      <c r="M286" s="25">
        <f t="shared" si="9"/>
        <v>2.42</v>
      </c>
    </row>
    <row r="287" spans="1:13" ht="15" customHeight="1" x14ac:dyDescent="0.25">
      <c r="A287" s="29">
        <v>2.4300000000000002</v>
      </c>
      <c r="B287" s="30">
        <v>3.1542079383621038E-2</v>
      </c>
      <c r="C287" s="30">
        <v>3.0703154996973066E-2</v>
      </c>
      <c r="D287" s="30">
        <v>8.7833500369017391E-3</v>
      </c>
      <c r="E287" s="30">
        <v>-6278.3824742010829</v>
      </c>
      <c r="F287" s="30">
        <v>-55.145230936457317</v>
      </c>
      <c r="G287" s="31">
        <v>0</v>
      </c>
      <c r="L287" s="25"/>
      <c r="M287" s="25">
        <f t="shared" si="9"/>
        <v>2.4300000000000002</v>
      </c>
    </row>
    <row r="288" spans="1:13" ht="15" customHeight="1" x14ac:dyDescent="0.25">
      <c r="A288" s="29">
        <v>2.44</v>
      </c>
      <c r="B288" s="30">
        <v>3.1347950992796005E-2</v>
      </c>
      <c r="C288" s="30">
        <v>3.0674202397623029E-2</v>
      </c>
      <c r="D288" s="30">
        <v>8.729292167476612E-3</v>
      </c>
      <c r="E288" s="30">
        <v>-6340.941502201279</v>
      </c>
      <c r="F288" s="30">
        <v>-55.351930989593008</v>
      </c>
      <c r="G288" s="31">
        <v>0</v>
      </c>
      <c r="L288" s="25"/>
      <c r="M288" s="25">
        <f t="shared" si="9"/>
        <v>2.44</v>
      </c>
    </row>
    <row r="289" spans="1:13" ht="15" customHeight="1" x14ac:dyDescent="0.25">
      <c r="A289" s="29">
        <v>2.4500000000000002</v>
      </c>
      <c r="B289" s="30">
        <v>3.1155719549722433E-2</v>
      </c>
      <c r="C289" s="30">
        <v>3.0645370831402913E-2</v>
      </c>
      <c r="D289" s="30">
        <v>8.6757625306990611E-3</v>
      </c>
      <c r="E289" s="30">
        <v>-6403.6574367908624</v>
      </c>
      <c r="F289" s="30">
        <v>-55.556611249542563</v>
      </c>
      <c r="G289" s="31">
        <v>0</v>
      </c>
      <c r="L289" s="25"/>
      <c r="M289" s="25">
        <f t="shared" si="9"/>
        <v>2.4500000000000002</v>
      </c>
    </row>
    <row r="290" spans="1:13" ht="15" customHeight="1" x14ac:dyDescent="0.25">
      <c r="A290" s="29">
        <v>2.46</v>
      </c>
      <c r="B290" s="30">
        <v>3.0965359152268872E-2</v>
      </c>
      <c r="C290" s="30">
        <v>3.0616659816694154E-2</v>
      </c>
      <c r="D290" s="30">
        <v>8.6227539137444485E-3</v>
      </c>
      <c r="E290" s="30">
        <v>-6466.5302818126647</v>
      </c>
      <c r="F290" s="30">
        <v>-55.759299295847157</v>
      </c>
      <c r="G290" s="31">
        <v>0</v>
      </c>
      <c r="L290" s="25"/>
      <c r="M290" s="25">
        <f t="shared" si="9"/>
        <v>2.46</v>
      </c>
    </row>
    <row r="291" spans="1:13" ht="15" customHeight="1" x14ac:dyDescent="0.25">
      <c r="A291" s="29">
        <v>2.4700000000000002</v>
      </c>
      <c r="B291" s="30">
        <v>3.0776844341782381E-2</v>
      </c>
      <c r="C291" s="30">
        <v>3.0588068870410524E-2</v>
      </c>
      <c r="D291" s="30">
        <v>8.5702592272811698E-3</v>
      </c>
      <c r="E291" s="30">
        <v>-6529.5600461787626</v>
      </c>
      <c r="F291" s="30">
        <v>-55.960022235850005</v>
      </c>
      <c r="G291" s="31">
        <v>0</v>
      </c>
      <c r="L291" s="25"/>
      <c r="M291" s="25">
        <f t="shared" si="9"/>
        <v>2.4700000000000002</v>
      </c>
    </row>
    <row r="292" spans="1:13" ht="15" customHeight="1" x14ac:dyDescent="0.25">
      <c r="A292" s="29">
        <v>2.48</v>
      </c>
      <c r="B292" s="30">
        <v>3.0590150094158771E-2</v>
      </c>
      <c r="C292" s="30">
        <v>3.0559597508146609E-2</v>
      </c>
      <c r="D292" s="30">
        <v>8.5182715029840303E-3</v>
      </c>
      <c r="E292" s="30">
        <v>-6592.7467438119829</v>
      </c>
      <c r="F292" s="30">
        <v>-56.158806714204367</v>
      </c>
      <c r="G292" s="31">
        <v>0</v>
      </c>
      <c r="L292" s="25"/>
      <c r="M292" s="25">
        <f t="shared" si="9"/>
        <v>2.48</v>
      </c>
    </row>
    <row r="293" spans="1:13" ht="15" customHeight="1" x14ac:dyDescent="0.25">
      <c r="A293" s="29">
        <v>2.4900000000000002</v>
      </c>
      <c r="B293" s="30">
        <v>3.0405251811119725E-2</v>
      </c>
      <c r="C293" s="30">
        <v>3.0531245244320753E-2</v>
      </c>
      <c r="D293" s="30">
        <v>8.4667838911052333E-3</v>
      </c>
      <c r="E293" s="30">
        <v>-6656.0903935868437</v>
      </c>
      <c r="F293" s="30">
        <v>-56.355678922161388</v>
      </c>
      <c r="G293" s="31">
        <v>0</v>
      </c>
      <c r="L293" s="25"/>
      <c r="M293" s="25">
        <f t="shared" si="9"/>
        <v>2.4900000000000002</v>
      </c>
    </row>
    <row r="294" spans="1:13" ht="15" customHeight="1" x14ac:dyDescent="0.25">
      <c r="A294" s="29">
        <v>2.5</v>
      </c>
      <c r="B294" s="33">
        <v>3.0222125311691803E-2</v>
      </c>
      <c r="C294" s="33">
        <v>3.0503011592312643E-2</v>
      </c>
      <c r="D294" s="33">
        <v>8.4157896581015853E-3</v>
      </c>
      <c r="E294" s="33">
        <v>-6719.591019269772</v>
      </c>
      <c r="F294" s="33">
        <v>-56.550664606642847</v>
      </c>
      <c r="G294" s="34">
        <v>0</v>
      </c>
      <c r="L294" s="25"/>
      <c r="M294" s="25">
        <f t="shared" si="9"/>
        <v>2.5</v>
      </c>
    </row>
    <row r="295" spans="1:13" ht="15" customHeight="1" x14ac:dyDescent="0.25">
      <c r="A295" s="29">
        <v>2.5099999999999998</v>
      </c>
      <c r="B295">
        <v>3.0040746823880939E-2</v>
      </c>
      <c r="C295">
        <v>3.047489606459533E-2</v>
      </c>
      <c r="D295">
        <v>8.3652821843161387E-3</v>
      </c>
      <c r="E295">
        <v>-6783.2486494589948</v>
      </c>
      <c r="F295">
        <v>-56.743789079105845</v>
      </c>
      <c r="G295">
        <v>0</v>
      </c>
      <c r="M295" s="25">
        <f t="shared" si="9"/>
        <v>2.5099999999999998</v>
      </c>
    </row>
    <row r="296" spans="1:13" ht="15" customHeight="1" x14ac:dyDescent="0.25">
      <c r="A296" s="29">
        <v>2.52</v>
      </c>
      <c r="B296">
        <v>2.9861092976538738E-2</v>
      </c>
      <c r="C296">
        <v>3.0446898172862478E-2</v>
      </c>
      <c r="D296">
        <v>8.3152549617132414E-3</v>
      </c>
      <c r="E296">
        <v>-6847.063317523648</v>
      </c>
      <c r="F296">
        <v>-56.935077224203248</v>
      </c>
      <c r="G296">
        <v>0</v>
      </c>
      <c r="M296" s="25">
        <f t="shared" si="9"/>
        <v>2.52</v>
      </c>
    </row>
    <row r="297" spans="1:13" ht="15" customHeight="1" x14ac:dyDescent="0.25">
      <c r="A297" s="29">
        <v>2.5299999999999998</v>
      </c>
      <c r="B297">
        <v>2.9683140791414115E-2</v>
      </c>
      <c r="C297">
        <v>3.0419017428150362E-2</v>
      </c>
      <c r="D297">
        <v>8.265701591665205E-3</v>
      </c>
      <c r="E297">
        <v>-6911.0350615426032</v>
      </c>
      <c r="F297">
        <v>-57.124553508246741</v>
      </c>
      <c r="G297">
        <v>0</v>
      </c>
      <c r="M297" s="25">
        <f t="shared" si="9"/>
        <v>2.5299999999999998</v>
      </c>
    </row>
    <row r="298" spans="1:13" ht="15" customHeight="1" x14ac:dyDescent="0.25">
      <c r="A298" s="29">
        <v>2.54</v>
      </c>
      <c r="B298">
        <v>2.9506867675386707E-2</v>
      </c>
      <c r="C298">
        <v>3.0391253340955448E-2</v>
      </c>
      <c r="D298">
        <v>8.2166157827895832E-3</v>
      </c>
      <c r="E298">
        <v>-6975.1639242426199</v>
      </c>
      <c r="F298">
        <v>-57.31224198747644</v>
      </c>
      <c r="G298">
        <v>0</v>
      </c>
      <c r="M298" s="25">
        <f t="shared" si="9"/>
        <v>2.54</v>
      </c>
    </row>
    <row r="299" spans="1:13" ht="15" customHeight="1" x14ac:dyDescent="0.25">
      <c r="A299" s="29">
        <v>2.5499999999999998</v>
      </c>
      <c r="B299">
        <v>2.9332251412876462E-2</v>
      </c>
      <c r="C299">
        <v>3.0363605421347171E-2</v>
      </c>
      <c r="D299">
        <v>8.1679913488355103E-3</v>
      </c>
      <c r="E299">
        <v>-7039.4499529361219</v>
      </c>
      <c r="F299">
        <v>-57.498166316142786</v>
      </c>
      <c r="G299">
        <v>0</v>
      </c>
      <c r="M299" s="25">
        <f t="shared" si="9"/>
        <v>2.5499999999999998</v>
      </c>
    </row>
    <row r="300" spans="1:13" ht="15" customHeight="1" x14ac:dyDescent="0.25">
      <c r="A300" s="29">
        <v>2.56</v>
      </c>
      <c r="B300">
        <v>2.9159270158425187E-2</v>
      </c>
      <c r="C300">
        <v>3.0336073179076366E-2</v>
      </c>
      <c r="D300">
        <v>8.1198222066179281E-3</v>
      </c>
      <c r="E300">
        <v>-7103.89319945853</v>
      </c>
      <c r="F300">
        <v>-57.682349754405458</v>
      </c>
      <c r="G300">
        <v>0</v>
      </c>
      <c r="M300" s="25">
        <f t="shared" ref="M300:M363" si="10">A300</f>
        <v>2.56</v>
      </c>
    </row>
    <row r="301" spans="1:13" ht="15" customHeight="1" x14ac:dyDescent="0.25">
      <c r="A301" s="29">
        <v>2.57</v>
      </c>
      <c r="B301">
        <v>2.8987902429445697E-2</v>
      </c>
      <c r="C301">
        <v>3.0308656123679469E-2</v>
      </c>
      <c r="D301">
        <v>8.0721023739984792E-3</v>
      </c>
      <c r="E301">
        <v>-7168.4937201051271</v>
      </c>
      <c r="F301">
        <v>-57.864815176053796</v>
      </c>
      <c r="G301">
        <v>0</v>
      </c>
      <c r="M301" s="25">
        <f t="shared" si="10"/>
        <v>2.57</v>
      </c>
    </row>
    <row r="302" spans="1:13" ht="15" customHeight="1" x14ac:dyDescent="0.25">
      <c r="A302" s="29">
        <v>2.58</v>
      </c>
      <c r="B302">
        <v>2.8818127099134078E-2</v>
      </c>
      <c r="C302">
        <v>3.0281353764578474E-2</v>
      </c>
      <c r="D302">
        <v>8.0248259679118247E-3</v>
      </c>
      <c r="E302">
        <v>-7233.2515755675358</v>
      </c>
      <c r="F302">
        <v>-58.045585076053477</v>
      </c>
      <c r="G302">
        <v>0</v>
      </c>
      <c r="M302" s="25">
        <f t="shared" si="10"/>
        <v>2.58</v>
      </c>
    </row>
    <row r="303" spans="1:13" ht="15" customHeight="1" x14ac:dyDescent="0.25">
      <c r="A303" s="29">
        <v>2.59</v>
      </c>
      <c r="B303">
        <v>2.8649923389541126E-2</v>
      </c>
      <c r="C303">
        <v>3.0254165611177133E-2</v>
      </c>
      <c r="D303">
        <v>7.9779872024362854E-3</v>
      </c>
      <c r="E303">
        <v>-7298.1668308697463</v>
      </c>
      <c r="F303">
        <v>-58.224681577923825</v>
      </c>
      <c r="G303">
        <v>0</v>
      </c>
      <c r="M303" s="25">
        <f t="shared" si="10"/>
        <v>2.59</v>
      </c>
    </row>
    <row r="304" spans="1:13" ht="15" customHeight="1" x14ac:dyDescent="0.25">
      <c r="A304" s="29">
        <v>2.6</v>
      </c>
      <c r="B304">
        <v>2.8483270864798484E-2</v>
      </c>
      <c r="C304">
        <v>3.0227091172953146E-2</v>
      </c>
      <c r="D304">
        <v>7.9315803869075621E-3</v>
      </c>
      <c r="E304">
        <v>-7363.2395553038905</v>
      </c>
      <c r="F304">
        <v>-58.402126440950305</v>
      </c>
      <c r="G304">
        <v>0</v>
      </c>
      <c r="M304" s="25">
        <f t="shared" si="10"/>
        <v>2.6</v>
      </c>
    </row>
    <row r="305" spans="1:13" ht="15" customHeight="1" x14ac:dyDescent="0.25">
      <c r="A305" s="29">
        <v>2.61</v>
      </c>
      <c r="B305">
        <v>2.8318149424495991E-2</v>
      </c>
      <c r="C305">
        <v>3.0200129959546646E-2</v>
      </c>
      <c r="D305">
        <v>7.88559992407456E-3</v>
      </c>
      <c r="E305">
        <v>-7428.4698223655714</v>
      </c>
      <c r="F305">
        <v>-58.577941067236111</v>
      </c>
      <c r="G305">
        <v>0</v>
      </c>
      <c r="M305" s="25">
        <f t="shared" si="10"/>
        <v>2.61</v>
      </c>
    </row>
    <row r="306" spans="1:13" ht="15" customHeight="1" x14ac:dyDescent="0.25">
      <c r="A306" s="29">
        <v>2.62</v>
      </c>
      <c r="B306">
        <v>2.815453929720621E-2</v>
      </c>
      <c r="C306">
        <v>3.0173281480845263E-2</v>
      </c>
      <c r="D306">
        <v>7.840040308296204E-3</v>
      </c>
      <c r="E306">
        <v>-7493.857709688853</v>
      </c>
      <c r="F306">
        <v>-58.752146508596887</v>
      </c>
      <c r="G306">
        <v>0</v>
      </c>
      <c r="M306" s="25">
        <f t="shared" si="10"/>
        <v>2.62</v>
      </c>
    </row>
    <row r="307" spans="1:13" ht="15" customHeight="1" x14ac:dyDescent="0.25">
      <c r="A307" s="29">
        <v>2.63</v>
      </c>
      <c r="B307">
        <v>2.7992421034152417E-2</v>
      </c>
      <c r="C307">
        <v>3.0146545247065622E-2</v>
      </c>
      <c r="D307">
        <v>7.7948961237781916E-3</v>
      </c>
      <c r="E307">
        <v>-7559.4032989809812</v>
      </c>
      <c r="F307">
        <v>-58.924763473302924</v>
      </c>
      <c r="G307">
        <v>0</v>
      </c>
      <c r="M307" s="25">
        <f t="shared" si="10"/>
        <v>2.63</v>
      </c>
    </row>
    <row r="308" spans="1:13" ht="15" customHeight="1" x14ac:dyDescent="0.25">
      <c r="A308" s="29">
        <v>2.64</v>
      </c>
      <c r="B308">
        <v>2.7831775503016288E-2</v>
      </c>
      <c r="C308">
        <v>3.0119920768831535E-2</v>
      </c>
      <c r="D308">
        <v>7.7501620428486592E-3</v>
      </c>
      <c r="E308">
        <v>-7625.1066759568093</v>
      </c>
      <c r="F308">
        <v>-59.095812332672374</v>
      </c>
      <c r="G308">
        <v>0</v>
      </c>
      <c r="M308" s="25">
        <f t="shared" si="10"/>
        <v>2.64</v>
      </c>
    </row>
    <row r="309" spans="1:13" ht="15" customHeight="1" x14ac:dyDescent="0.25">
      <c r="A309" s="29">
        <v>2.65</v>
      </c>
      <c r="B309">
        <v>2.7672583881882252E-2</v>
      </c>
      <c r="C309">
        <v>3.009340755724901E-2</v>
      </c>
      <c r="D309">
        <v>7.7058328242718983E-3</v>
      </c>
      <c r="E309">
        <v>-7690.9679302728609</v>
      </c>
      <c r="F309">
        <v>-59.265313127519114</v>
      </c>
      <c r="G309">
        <v>0</v>
      </c>
      <c r="M309" s="25">
        <f t="shared" si="10"/>
        <v>2.65</v>
      </c>
    </row>
    <row r="310" spans="1:13" ht="15" customHeight="1" x14ac:dyDescent="0.25">
      <c r="A310" s="29">
        <v>2.66</v>
      </c>
      <c r="B310">
        <v>2.7514827653314419E-2</v>
      </c>
      <c r="C310">
        <v>3.006700512397811E-2</v>
      </c>
      <c r="D310">
        <v>7.6619033115989874E-3</v>
      </c>
      <c r="E310">
        <v>-7756.9871554612509</v>
      </c>
      <c r="F310">
        <v>-59.433285574459369</v>
      </c>
      <c r="G310">
        <v>0</v>
      </c>
      <c r="M310" s="25">
        <f t="shared" si="10"/>
        <v>2.66</v>
      </c>
    </row>
    <row r="311" spans="1:13" ht="15" customHeight="1" x14ac:dyDescent="0.25">
      <c r="A311" s="29">
        <v>2.67</v>
      </c>
      <c r="B311">
        <v>2.7358488598563435E-2</v>
      </c>
      <c r="C311">
        <v>3.0040712981301971E-2</v>
      </c>
      <c r="D311">
        <v>7.6183684315546075E-3</v>
      </c>
      <c r="E311">
        <v>-7823.1644488632473</v>
      </c>
      <c r="F311">
        <v>-59.599749072080066</v>
      </c>
      <c r="G311">
        <v>0</v>
      </c>
      <c r="M311" s="25">
        <f t="shared" si="10"/>
        <v>2.67</v>
      </c>
    </row>
    <row r="312" spans="1:13" ht="15" customHeight="1" x14ac:dyDescent="0.25">
      <c r="A312" s="29">
        <v>2.68</v>
      </c>
      <c r="B312">
        <v>2.7203548791899502E-2</v>
      </c>
      <c r="C312">
        <v>3.0014530642192679E-2</v>
      </c>
      <c r="D312">
        <v>7.5752231924589922E-3</v>
      </c>
      <c r="E312">
        <v>-7889.4999115626724</v>
      </c>
      <c r="F312">
        <v>-59.764722706972719</v>
      </c>
      <c r="G312">
        <v>0</v>
      </c>
      <c r="M312" s="25">
        <f t="shared" si="10"/>
        <v>2.68</v>
      </c>
    </row>
    <row r="313" spans="1:13" ht="15" customHeight="1" x14ac:dyDescent="0.25">
      <c r="A313" s="29">
        <v>2.69</v>
      </c>
      <c r="B313">
        <v>2.7049990595068789E-2</v>
      </c>
      <c r="C313">
        <v>2.998845762037463E-2</v>
      </c>
      <c r="D313">
        <v>7.5324626826842314E-3</v>
      </c>
      <c r="E313">
        <v>-7955.9936483190604</v>
      </c>
      <c r="F313">
        <v>-59.9282252596361</v>
      </c>
      <c r="G313">
        <v>0</v>
      </c>
      <c r="M313" s="25">
        <f t="shared" si="10"/>
        <v>2.69</v>
      </c>
    </row>
    <row r="314" spans="1:13" ht="15" customHeight="1" x14ac:dyDescent="0.25">
      <c r="A314" s="29">
        <v>2.7</v>
      </c>
      <c r="B314">
        <v>2.6897796651870028E-2</v>
      </c>
      <c r="C314">
        <v>2.9962493430384995E-2</v>
      </c>
      <c r="D314">
        <v>7.4900820691440476E-3</v>
      </c>
      <c r="E314">
        <v>-8022.6457675006268</v>
      </c>
      <c r="F314">
        <v>-60.09027521025083</v>
      </c>
      <c r="G314">
        <v>0</v>
      </c>
      <c r="M314" s="25">
        <f t="shared" si="10"/>
        <v>2.7</v>
      </c>
    </row>
    <row r="315" spans="1:13" ht="15" customHeight="1" x14ac:dyDescent="0.25">
      <c r="A315" s="29">
        <v>2.71</v>
      </c>
      <c r="B315">
        <v>2.6746949882848352E-2</v>
      </c>
      <c r="C315">
        <v>2.993663758763181E-2</v>
      </c>
      <c r="D315">
        <v>7.4480765958162155E-3</v>
      </c>
      <c r="E315">
        <v>-8089.4563810170384</v>
      </c>
      <c r="F315">
        <v>-60.250890744329148</v>
      </c>
      <c r="G315">
        <v>0</v>
      </c>
      <c r="M315" s="25">
        <f t="shared" si="10"/>
        <v>2.71</v>
      </c>
    </row>
    <row r="316" spans="1:13" ht="15" customHeight="1" x14ac:dyDescent="0.25">
      <c r="A316" s="29">
        <v>2.72</v>
      </c>
      <c r="B316">
        <v>2.6597433480103471E-2</v>
      </c>
      <c r="C316">
        <v>2.9910889608449315E-2</v>
      </c>
      <c r="D316">
        <v>7.4064415822968277E-3</v>
      </c>
      <c r="E316">
        <v>-8156.4256042520592</v>
      </c>
      <c r="F316">
        <v>-60.410089758242975</v>
      </c>
      <c r="G316">
        <v>0</v>
      </c>
      <c r="M316" s="25">
        <f t="shared" si="10"/>
        <v>2.72</v>
      </c>
    </row>
    <row r="317" spans="1:13" ht="15" customHeight="1" x14ac:dyDescent="0.25">
      <c r="A317" s="29">
        <v>2.73</v>
      </c>
      <c r="B317">
        <v>2.6449230902209554E-2</v>
      </c>
      <c r="C317">
        <v>2.9885249010151049E-2</v>
      </c>
      <c r="D317">
        <v>7.3651724223856583E-3</v>
      </c>
      <c r="E317">
        <v>-8223.5535559959681</v>
      </c>
      <c r="F317">
        <v>-60.56788986463301</v>
      </c>
      <c r="G317">
        <v>0</v>
      </c>
      <c r="M317" s="25">
        <f t="shared" si="10"/>
        <v>2.73</v>
      </c>
    </row>
    <row r="318" spans="1:13" ht="15" customHeight="1" x14ac:dyDescent="0.25">
      <c r="A318" s="29">
        <v>2.74</v>
      </c>
      <c r="B318">
        <v>2.6302325869243755E-2</v>
      </c>
      <c r="C318">
        <v>2.985971531108058E-2</v>
      </c>
      <c r="D318">
        <v>7.324264582701784E-3</v>
      </c>
      <c r="E318">
        <v>-8290.8403583779509</v>
      </c>
      <c r="F318">
        <v>-60.724308397702188</v>
      </c>
      <c r="G318">
        <v>0</v>
      </c>
      <c r="M318" s="25">
        <f t="shared" si="10"/>
        <v>2.74</v>
      </c>
    </row>
    <row r="319" spans="1:13" ht="15" customHeight="1" x14ac:dyDescent="0.25">
      <c r="A319" s="29">
        <v>2.75</v>
      </c>
      <c r="B319">
        <v>2.6156702357921214E-2</v>
      </c>
      <c r="C319">
        <v>2.9834288030659965E-2</v>
      </c>
      <c r="D319">
        <v>7.2837136013288572E-3</v>
      </c>
      <c r="E319">
        <v>-8358.2861367982241</v>
      </c>
      <c r="F319">
        <v>-60.879362418395658</v>
      </c>
      <c r="G319">
        <v>0</v>
      </c>
      <c r="M319" s="25">
        <f t="shared" si="10"/>
        <v>2.75</v>
      </c>
    </row>
    <row r="320" spans="1:13" ht="15" customHeight="1" x14ac:dyDescent="0.25">
      <c r="A320" s="29">
        <v>2.76</v>
      </c>
      <c r="B320">
        <v>2.6012344596833412E-2</v>
      </c>
      <c r="C320">
        <v>2.9808966689436129E-2</v>
      </c>
      <c r="D320">
        <v>7.2435150864891534E-3</v>
      </c>
      <c r="E320">
        <v>-8425.8910198602043</v>
      </c>
      <c r="F320">
        <v>-61.033068719470862</v>
      </c>
      <c r="G320">
        <v>0</v>
      </c>
      <c r="M320" s="25">
        <f t="shared" si="10"/>
        <v>2.76</v>
      </c>
    </row>
    <row r="321" spans="1:13" ht="15" customHeight="1" x14ac:dyDescent="0.25">
      <c r="A321" s="29">
        <v>2.77</v>
      </c>
      <c r="B321">
        <v>2.5869237061787839E-2</v>
      </c>
      <c r="C321">
        <v>2.9783750809124914E-2</v>
      </c>
      <c r="D321">
        <v>7.2036647152458368E-3</v>
      </c>
      <c r="E321">
        <v>-8493.6551393024674</v>
      </c>
      <c r="F321">
        <v>-61.185443830459633</v>
      </c>
      <c r="G321">
        <v>0</v>
      </c>
      <c r="M321" s="25">
        <f t="shared" si="10"/>
        <v>2.77</v>
      </c>
    </row>
    <row r="322" spans="1:13" ht="15" customHeight="1" x14ac:dyDescent="0.25">
      <c r="A322" s="29">
        <v>2.78</v>
      </c>
      <c r="B322">
        <v>2.5727364471246319E-2</v>
      </c>
      <c r="C322">
        <v>2.975863991265347E-2</v>
      </c>
      <c r="D322">
        <v>7.1641582322326952E-3</v>
      </c>
      <c r="E322">
        <v>-8561.5786299306674</v>
      </c>
      <c r="F322">
        <v>-61.336504022525304</v>
      </c>
      <c r="G322">
        <v>0</v>
      </c>
      <c r="M322" s="25">
        <f t="shared" si="10"/>
        <v>2.78</v>
      </c>
    </row>
    <row r="323" spans="1:13" ht="15" customHeight="1" x14ac:dyDescent="0.25">
      <c r="A323" s="29">
        <v>2.79</v>
      </c>
      <c r="B323">
        <v>2.5586711781859593E-2</v>
      </c>
      <c r="C323">
        <v>2.973363352420037E-2</v>
      </c>
      <c r="D323">
        <v>7.1249914484106764E-3</v>
      </c>
      <c r="E323">
        <v>-8629.6616295494114</v>
      </c>
      <c r="F323">
        <v>-61.486265313217281</v>
      </c>
      <c r="G323">
        <v>0</v>
      </c>
      <c r="M323" s="25">
        <f t="shared" si="10"/>
        <v>2.79</v>
      </c>
    </row>
    <row r="324" spans="1:13" ht="15" customHeight="1" x14ac:dyDescent="0.25">
      <c r="A324" s="29">
        <v>2.8</v>
      </c>
      <c r="B324">
        <v>2.5447264184095934E-2</v>
      </c>
      <c r="C324">
        <v>2.9708731169234E-2</v>
      </c>
      <c r="D324">
        <v>7.0861602398506187E-3</v>
      </c>
      <c r="E324">
        <v>-8697.9042788940424</v>
      </c>
      <c r="F324">
        <v>-61.634743471125518</v>
      </c>
      <c r="G324">
        <v>0</v>
      </c>
      <c r="M324" s="25">
        <f t="shared" si="10"/>
        <v>2.8</v>
      </c>
    </row>
    <row r="325" spans="1:13" ht="15" customHeight="1" x14ac:dyDescent="0.25">
      <c r="A325" s="29">
        <v>2.81</v>
      </c>
      <c r="B325">
        <v>2.5309007097961588E-2</v>
      </c>
      <c r="C325">
        <v>2.968393237454919E-2</v>
      </c>
      <c r="D325">
        <v>7.0476605465415402E-3</v>
      </c>
      <c r="E325">
        <v>-8766.3067215624014</v>
      </c>
      <c r="F325">
        <v>-61.781954020437247</v>
      </c>
      <c r="G325">
        <v>0</v>
      </c>
      <c r="M325" s="25">
        <f t="shared" si="10"/>
        <v>2.81</v>
      </c>
    </row>
    <row r="326" spans="1:13" ht="15" customHeight="1" x14ac:dyDescent="0.25">
      <c r="A326" s="29">
        <v>2.82</v>
      </c>
      <c r="B326">
        <v>2.5171926168810744E-2</v>
      </c>
      <c r="C326">
        <v>2.9659236668301964E-2</v>
      </c>
      <c r="D326">
        <v>7.0094883712238654E-3</v>
      </c>
      <c r="E326">
        <v>-8834.869103946543</v>
      </c>
      <c r="F326">
        <v>-61.927912245398296</v>
      </c>
      <c r="G326">
        <v>0</v>
      </c>
      <c r="M326" s="25">
        <f t="shared" si="10"/>
        <v>2.82</v>
      </c>
    </row>
    <row r="327" spans="1:13" ht="15" customHeight="1" x14ac:dyDescent="0.25">
      <c r="A327" s="29">
        <v>2.83</v>
      </c>
      <c r="B327">
        <v>2.503600726324292E-2</v>
      </c>
      <c r="C327">
        <v>2.9634643580042645E-2</v>
      </c>
      <c r="D327">
        <v>6.9716397782469955E-3</v>
      </c>
      <c r="E327">
        <v>-8903.5915751644752</v>
      </c>
      <c r="F327">
        <v>-62.07263319468148</v>
      </c>
      <c r="G327">
        <v>0</v>
      </c>
      <c r="M327" s="25">
        <f t="shared" si="10"/>
        <v>2.83</v>
      </c>
    </row>
    <row r="328" spans="1:13" ht="15" customHeight="1" x14ac:dyDescent="0.25">
      <c r="A328" s="29">
        <v>2.84</v>
      </c>
      <c r="B328">
        <v>2.4901236465085901E-2</v>
      </c>
      <c r="C328">
        <v>2.9610152640747404E-2</v>
      </c>
      <c r="D328">
        <v>6.9341108924506952E-3</v>
      </c>
      <c r="E328">
        <v>-8972.4742869918082</v>
      </c>
      <c r="F328">
        <v>-62.216131685663683</v>
      </c>
      <c r="G328">
        <v>0</v>
      </c>
      <c r="M328" s="25">
        <f t="shared" si="10"/>
        <v>2.84</v>
      </c>
    </row>
    <row r="329" spans="1:13" ht="15" customHeight="1" x14ac:dyDescent="0.25">
      <c r="A329" s="29">
        <v>2.85</v>
      </c>
      <c r="B329">
        <v>2.4767600071461796E-2</v>
      </c>
      <c r="C329">
        <v>2.9585763382848199E-2</v>
      </c>
      <c r="D329">
        <v>6.8968978980696333E-3</v>
      </c>
      <c r="E329">
        <v>-9041.5173937935342</v>
      </c>
      <c r="F329">
        <v>-62.358422308614657</v>
      </c>
      <c r="G329">
        <v>0</v>
      </c>
      <c r="M329" s="25">
        <f t="shared" si="10"/>
        <v>2.85</v>
      </c>
    </row>
    <row r="330" spans="1:13" ht="15" customHeight="1" x14ac:dyDescent="0.25">
      <c r="A330" s="29">
        <v>2.86</v>
      </c>
      <c r="B330">
        <v>2.4635084588934753E-2</v>
      </c>
      <c r="C330">
        <v>2.9561475340261111E-2</v>
      </c>
      <c r="D330">
        <v>6.8599970376606546E-3</v>
      </c>
      <c r="E330">
        <v>-9110.7210524557122</v>
      </c>
      <c r="F330">
        <v>-62.499519430798735</v>
      </c>
      <c r="G330">
        <v>0</v>
      </c>
      <c r="M330" s="25">
        <f t="shared" si="10"/>
        <v>2.86</v>
      </c>
    </row>
    <row r="331" spans="1:13" ht="15" customHeight="1" x14ac:dyDescent="0.25">
      <c r="A331" s="29">
        <v>2.87</v>
      </c>
      <c r="B331">
        <v>2.4503676729738039E-2</v>
      </c>
      <c r="C331">
        <v>2.9537288048413407E-2</v>
      </c>
      <c r="D331">
        <v>6.8234046110521541E-3</v>
      </c>
      <c r="E331">
        <v>-9180.0854223172446</v>
      </c>
      <c r="F331">
        <v>-62.639437200492146</v>
      </c>
      <c r="G331">
        <v>0</v>
      </c>
      <c r="M331" s="25">
        <f t="shared" si="10"/>
        <v>2.87</v>
      </c>
    </row>
    <row r="332" spans="1:13" ht="15" customHeight="1" x14ac:dyDescent="0.25">
      <c r="A332" s="29">
        <v>2.88</v>
      </c>
      <c r="B332">
        <v>2.4373363408078785E-2</v>
      </c>
      <c r="C332">
        <v>2.951320104426897E-2</v>
      </c>
      <c r="D332">
        <v>6.7871169743150862E-3</v>
      </c>
      <c r="E332">
        <v>-9249.6106651016762</v>
      </c>
      <c r="F332">
        <v>-62.778189550917439</v>
      </c>
      <c r="G332">
        <v>0</v>
      </c>
      <c r="M332" s="25">
        <f t="shared" si="10"/>
        <v>2.88</v>
      </c>
    </row>
    <row r="333" spans="1:13" ht="15" customHeight="1" x14ac:dyDescent="0.25">
      <c r="A333" s="29">
        <v>2.89</v>
      </c>
      <c r="B333">
        <v>2.4244131736518598E-2</v>
      </c>
      <c r="C333">
        <v>2.9489213866352622E-2</v>
      </c>
      <c r="D333">
        <v>6.7511305387550876E-3</v>
      </c>
      <c r="E333">
        <v>-9319.296944849053</v>
      </c>
      <c r="F333">
        <v>-62.915790204097434</v>
      </c>
      <c r="G333">
        <v>0</v>
      </c>
      <c r="M333" s="25">
        <f t="shared" si="10"/>
        <v>2.89</v>
      </c>
    </row>
    <row r="334" spans="1:13" ht="15" customHeight="1" x14ac:dyDescent="0.25">
      <c r="A334" s="29">
        <v>2.9</v>
      </c>
      <c r="B334">
        <v>2.4115969022428255E-2</v>
      </c>
      <c r="C334">
        <v>2.9465326054772947E-2</v>
      </c>
      <c r="D334">
        <v>6.7154417699252372E-3</v>
      </c>
      <c r="E334">
        <v>-9389.1444278478066</v>
      </c>
      <c r="F334">
        <v>-63.052252674629955</v>
      </c>
      <c r="G334">
        <v>0</v>
      </c>
      <c r="M334" s="25">
        <f t="shared" si="10"/>
        <v>2.9</v>
      </c>
    </row>
    <row r="335" spans="1:13" ht="15" customHeight="1" x14ac:dyDescent="0.25">
      <c r="A335" s="29">
        <v>2.91</v>
      </c>
      <c r="B335">
        <v>2.398886276451466E-2</v>
      </c>
      <c r="C335">
        <v>2.9441537151243879E-2</v>
      </c>
      <c r="D335">
        <v>6.6800471866589372E-3</v>
      </c>
      <c r="E335">
        <v>-9459.1532825667855</v>
      </c>
      <c r="F335">
        <v>-63.187590273385908</v>
      </c>
      <c r="G335">
        <v>0</v>
      </c>
      <c r="M335" s="25">
        <f t="shared" si="10"/>
        <v>2.91</v>
      </c>
    </row>
    <row r="336" spans="1:13" ht="15" customHeight="1" x14ac:dyDescent="0.25">
      <c r="A336" s="29">
        <v>2.92</v>
      </c>
      <c r="B336">
        <v>2.386280064941863E-2</v>
      </c>
      <c r="C336">
        <v>2.9417846699105195E-2</v>
      </c>
      <c r="D336">
        <v>6.6449433601225173E-3</v>
      </c>
      <c r="E336">
        <v>-9529.3236795872817</v>
      </c>
      <c r="F336">
        <v>-63.321816111131774</v>
      </c>
      <c r="G336">
        <v>0</v>
      </c>
      <c r="M336" s="25">
        <f t="shared" si="10"/>
        <v>2.92</v>
      </c>
    </row>
    <row r="337" spans="1:13" ht="15" customHeight="1" x14ac:dyDescent="0.25">
      <c r="A337" s="29">
        <v>2.93</v>
      </c>
      <c r="B337">
        <v>2.3737770548381599E-2</v>
      </c>
      <c r="C337">
        <v>2.9394254243341696E-2</v>
      </c>
      <c r="D337">
        <v>6.6101269128870281E-3</v>
      </c>
      <c r="E337">
        <v>-9599.655791535215</v>
      </c>
      <c r="F337">
        <v>-63.454943102078751</v>
      </c>
      <c r="G337">
        <v>0</v>
      </c>
      <c r="M337" s="25">
        <f t="shared" si="10"/>
        <v>2.93</v>
      </c>
    </row>
    <row r="338" spans="1:13" ht="15" customHeight="1" x14ac:dyDescent="0.25">
      <c r="A338" s="29">
        <v>2.94</v>
      </c>
      <c r="B338">
        <v>2.3613760513979912E-2</v>
      </c>
      <c r="C338">
        <v>2.9370759330601327E-2</v>
      </c>
      <c r="D338">
        <v>6.5755945180188619E-3</v>
      </c>
      <c r="E338">
        <v>-9670.1497930133719</v>
      </c>
      <c r="F338">
        <v>-63.586983967359963</v>
      </c>
      <c r="G338">
        <v>0</v>
      </c>
      <c r="M338" s="25">
        <f t="shared" si="10"/>
        <v>2.94</v>
      </c>
    </row>
    <row r="339" spans="1:13" ht="15" customHeight="1" x14ac:dyDescent="0.25">
      <c r="A339" s="29">
        <v>2.95</v>
      </c>
      <c r="B339">
        <v>2.3490758776924914E-2</v>
      </c>
      <c r="C339">
        <v>2.9347361509212206E-2</v>
      </c>
      <c r="D339">
        <v>6.541342898188687E-3</v>
      </c>
      <c r="E339">
        <v>-9740.8058605338156</v>
      </c>
      <c r="F339">
        <v>-63.717951238437607</v>
      </c>
      <c r="G339">
        <v>0</v>
      </c>
      <c r="M339" s="25">
        <f t="shared" si="10"/>
        <v>2.95</v>
      </c>
    </row>
    <row r="340" spans="1:13" ht="15" customHeight="1" x14ac:dyDescent="0.25">
      <c r="A340" s="29">
        <v>2.96</v>
      </c>
      <c r="B340">
        <v>2.3368753742927666E-2</v>
      </c>
      <c r="C340">
        <v>2.9324060329198619E-2</v>
      </c>
      <c r="D340">
        <v>6.5073688247983836E-3</v>
      </c>
      <c r="E340">
        <v>-9811.6241724502925</v>
      </c>
      <c r="F340">
        <v>-63.847857260441273</v>
      </c>
      <c r="G340">
        <v>0</v>
      </c>
      <c r="M340" s="25">
        <f t="shared" si="10"/>
        <v>2.96</v>
      </c>
    </row>
    <row r="341" spans="1:13" ht="15" customHeight="1" x14ac:dyDescent="0.25">
      <c r="A341" s="29">
        <v>2.97</v>
      </c>
      <c r="B341">
        <v>2.3247733989626301E-2</v>
      </c>
      <c r="C341">
        <v>2.9300855342295918E-2</v>
      </c>
      <c r="D341">
        <v>6.4736691171254218E-3</v>
      </c>
      <c r="E341">
        <v>-9882.6049088909658</v>
      </c>
      <c r="F341">
        <v>-63.976714195439534</v>
      </c>
      <c r="G341">
        <v>0</v>
      </c>
      <c r="M341" s="25">
        <f t="shared" si="10"/>
        <v>2.97</v>
      </c>
    </row>
    <row r="342" spans="1:13" ht="15" customHeight="1" x14ac:dyDescent="0.25">
      <c r="A342" s="29">
        <v>2.98</v>
      </c>
      <c r="B342">
        <v>2.3127688263575266E-2</v>
      </c>
      <c r="C342">
        <v>2.9277746101964562E-2</v>
      </c>
      <c r="D342">
        <v>6.440240641484473E-3</v>
      </c>
      <c r="E342">
        <v>-9953.748251691055</v>
      </c>
      <c r="F342">
        <v>-64.104534025645748</v>
      </c>
      <c r="G342">
        <v>0</v>
      </c>
      <c r="M342" s="25">
        <f t="shared" si="10"/>
        <v>2.98</v>
      </c>
    </row>
    <row r="343" spans="1:13" ht="15" customHeight="1" x14ac:dyDescent="0.25">
      <c r="A343" s="29">
        <v>2.99</v>
      </c>
      <c r="B343">
        <v>2.3008605477294376E-2</v>
      </c>
      <c r="C343">
        <v>2.9254732163403158E-2</v>
      </c>
      <c r="D343">
        <v>6.4070803104056741E-3</v>
      </c>
      <c r="E343">
        <v>-10025.05438432582</v>
      </c>
      <c r="F343">
        <v>-64.23132855656003</v>
      </c>
      <c r="G343">
        <v>0</v>
      </c>
      <c r="M343" s="25">
        <f t="shared" si="10"/>
        <v>2.99</v>
      </c>
    </row>
    <row r="344" spans="1:13" ht="15" customHeight="1" x14ac:dyDescent="0.25">
      <c r="A344" s="29">
        <v>3</v>
      </c>
      <c r="B344">
        <v>2.2890474706376878E-2</v>
      </c>
      <c r="C344">
        <v>2.9231813083560577E-2</v>
      </c>
      <c r="D344">
        <v>6.374185081829329E-3</v>
      </c>
      <c r="E344">
        <v>-10096.523491843554</v>
      </c>
      <c r="F344">
        <v>-64.357109420048531</v>
      </c>
      <c r="G344">
        <v>0</v>
      </c>
      <c r="M344" s="25">
        <f t="shared" si="10"/>
        <v>3</v>
      </c>
    </row>
    <row r="345" spans="1:13" ht="15" customHeight="1" x14ac:dyDescent="0.25">
      <c r="A345" s="29">
        <v>3.01</v>
      </c>
      <c r="B345">
        <v>2.2773285186654803E-2</v>
      </c>
      <c r="C345">
        <v>2.9208988421147292E-2</v>
      </c>
      <c r="D345">
        <v>6.3415519583165563E-3</v>
      </c>
      <c r="E345">
        <v>-10168.155760798834</v>
      </c>
      <c r="F345">
        <v>-64.481888077361631</v>
      </c>
      <c r="G345">
        <v>0</v>
      </c>
      <c r="M345" s="25">
        <f t="shared" si="10"/>
        <v>3.01</v>
      </c>
    </row>
    <row r="346" spans="1:13" ht="15" customHeight="1" x14ac:dyDescent="0.25">
      <c r="A346" s="29">
        <v>3.02</v>
      </c>
      <c r="B346">
        <v>2.2657026311420605E-2</v>
      </c>
      <c r="C346">
        <v>2.9186257736645731E-2</v>
      </c>
      <c r="D346">
        <v>6.3091779862756167E-3</v>
      </c>
      <c r="E346">
        <v>-10239.951379185881</v>
      </c>
      <c r="F346">
        <v>-64.605675822092181</v>
      </c>
      <c r="G346">
        <v>0</v>
      </c>
      <c r="M346" s="25">
        <f t="shared" si="10"/>
        <v>3.02</v>
      </c>
    </row>
    <row r="347" spans="1:13" ht="15" customHeight="1" x14ac:dyDescent="0.25">
      <c r="A347" s="29">
        <v>3.03</v>
      </c>
      <c r="B347">
        <v>2.2541687628703597E-2</v>
      </c>
      <c r="C347">
        <v>2.9163620592319969E-2</v>
      </c>
      <c r="D347">
        <v>6.2770602552034956E-3</v>
      </c>
      <c r="E347">
        <v>-10311.910536372116</v>
      </c>
      <c r="F347">
        <v>-64.728483783075561</v>
      </c>
      <c r="G347">
        <v>0</v>
      </c>
      <c r="M347" s="25">
        <f t="shared" si="10"/>
        <v>3.03</v>
      </c>
    </row>
    <row r="348" spans="1:13" ht="15" customHeight="1" x14ac:dyDescent="0.25">
      <c r="A348" s="29">
        <v>3.04</v>
      </c>
      <c r="B348">
        <v>2.2427258838600125E-2</v>
      </c>
      <c r="C348">
        <v>2.9141076552224563E-2</v>
      </c>
      <c r="D348">
        <v>6.2451958969424537E-3</v>
      </c>
      <c r="E348">
        <v>-10384.033423031922</v>
      </c>
      <c r="F348">
        <v>-64.85032292723227</v>
      </c>
      <c r="G348">
        <v>0</v>
      </c>
      <c r="M348" s="25">
        <f t="shared" si="10"/>
        <v>3.04</v>
      </c>
    </row>
    <row r="349" spans="1:13" ht="15" customHeight="1" x14ac:dyDescent="0.25">
      <c r="A349" s="29">
        <v>3.05</v>
      </c>
      <c r="B349">
        <v>2.2313729790656271E-2</v>
      </c>
      <c r="C349">
        <v>2.9118625182212674E-2</v>
      </c>
      <c r="D349">
        <v>6.2135820849511967E-3</v>
      </c>
      <c r="E349">
        <v>-10456.320231080539</v>
      </c>
      <c r="F349">
        <v>-64.971204062354786</v>
      </c>
      <c r="G349">
        <v>0</v>
      </c>
      <c r="M349" s="25">
        <f t="shared" si="10"/>
        <v>3.05</v>
      </c>
    </row>
    <row r="350" spans="1:13" ht="15" customHeight="1" x14ac:dyDescent="0.25">
      <c r="A350" s="29">
        <v>3.06</v>
      </c>
      <c r="B350">
        <v>2.2201090481301738E-2</v>
      </c>
      <c r="C350">
        <v>2.9096266049943403E-2</v>
      </c>
      <c r="D350">
        <v>6.1822160335903136E-3</v>
      </c>
      <c r="E350">
        <v>-10528.771153608215</v>
      </c>
      <c r="F350">
        <v>-65.091137839839874</v>
      </c>
      <c r="G350">
        <v>0</v>
      </c>
      <c r="M350" s="25">
        <f t="shared" si="10"/>
        <v>3.06</v>
      </c>
    </row>
    <row r="351" spans="1:13" ht="15" customHeight="1" x14ac:dyDescent="0.25">
      <c r="A351" s="29">
        <v>3.07</v>
      </c>
      <c r="B351">
        <v>2.2089331051334069E-2</v>
      </c>
      <c r="C351">
        <v>2.9073998724888552E-2</v>
      </c>
      <c r="D351">
        <v>6.1510949974217096E-3</v>
      </c>
      <c r="E351">
        <v>-10601.38638481453</v>
      </c>
      <c r="F351">
        <v>-65.210134757367271</v>
      </c>
      <c r="G351">
        <v>0</v>
      </c>
      <c r="M351" s="25">
        <f t="shared" si="10"/>
        <v>3.07</v>
      </c>
    </row>
    <row r="352" spans="1:13" ht="15" customHeight="1" x14ac:dyDescent="0.25">
      <c r="A352" s="29">
        <v>3.08</v>
      </c>
      <c r="B352">
        <v>2.1978441783451812E-2</v>
      </c>
      <c r="C352">
        <v>2.9051822778338589E-2</v>
      </c>
      <c r="D352">
        <v>6.1202162705216888E-3</v>
      </c>
      <c r="E352">
        <v>-10674.166119942953</v>
      </c>
      <c r="F352">
        <v>-65.328205161526213</v>
      </c>
      <c r="G352">
        <v>0</v>
      </c>
      <c r="M352" s="25">
        <f t="shared" si="10"/>
        <v>3.08</v>
      </c>
    </row>
    <row r="353" spans="1:13" ht="15" customHeight="1" x14ac:dyDescent="0.25">
      <c r="A353" s="29">
        <v>3.09</v>
      </c>
      <c r="B353">
        <v>2.1868413099835813E-2</v>
      </c>
      <c r="C353">
        <v>2.9029737783408071E-2</v>
      </c>
      <c r="D353">
        <v>6.0895771858074229E-3</v>
      </c>
      <c r="E353">
        <v>-10747.110555215577</v>
      </c>
      <c r="F353">
        <v>-65.445359250390922</v>
      </c>
      <c r="G353">
        <v>0</v>
      </c>
      <c r="M353" s="25">
        <f t="shared" si="10"/>
        <v>3.09</v>
      </c>
    </row>
    <row r="354" spans="1:13" ht="15" customHeight="1" x14ac:dyDescent="0.25">
      <c r="A354" s="29">
        <v>3.1</v>
      </c>
      <c r="B354">
        <v>2.1759235559777341E-2</v>
      </c>
      <c r="C354">
        <v>2.9007743315040392E-2</v>
      </c>
      <c r="D354">
        <v>6.059175114376477E-3</v>
      </c>
      <c r="E354">
        <v>-10820.219887768098</v>
      </c>
      <c r="F354">
        <v>-65.561607076045888</v>
      </c>
      <c r="G354">
        <v>0</v>
      </c>
      <c r="M354" s="25">
        <f t="shared" si="10"/>
        <v>3.1</v>
      </c>
    </row>
    <row r="355" spans="1:13" ht="15" customHeight="1" x14ac:dyDescent="0.25">
      <c r="A355" s="29">
        <v>3.11</v>
      </c>
      <c r="B355">
        <v>2.165089985735218E-2</v>
      </c>
      <c r="C355">
        <v>2.8985838950011993E-2</v>
      </c>
      <c r="D355">
        <v>6.0290074648591176E-3</v>
      </c>
      <c r="E355">
        <v>-10893.494315585043</v>
      </c>
      <c r="F355">
        <v>-65.676958547062597</v>
      </c>
      <c r="G355">
        <v>0</v>
      </c>
      <c r="M355" s="25">
        <f t="shared" si="10"/>
        <v>3.11</v>
      </c>
    </row>
    <row r="356" spans="1:13" ht="15" customHeight="1" x14ac:dyDescent="0.25">
      <c r="A356" s="29">
        <v>3.12</v>
      </c>
      <c r="B356">
        <v>2.1543396819139592E-2</v>
      </c>
      <c r="C356">
        <v>2.8964024266935926E-2</v>
      </c>
      <c r="D356">
        <v>5.9990716827831303E-3</v>
      </c>
      <c r="E356">
        <v>-10966.934037435227</v>
      </c>
      <c r="F356">
        <v>-65.79142343092812</v>
      </c>
      <c r="G356">
        <v>0</v>
      </c>
      <c r="M356" s="25">
        <f t="shared" si="10"/>
        <v>3.12</v>
      </c>
    </row>
    <row r="357" spans="1:13" ht="15" customHeight="1" x14ac:dyDescent="0.25">
      <c r="A357" s="29">
        <v>3.13</v>
      </c>
      <c r="B357">
        <v>2.1436717401985324E-2</v>
      </c>
      <c r="C357">
        <v>2.8942298846264904E-2</v>
      </c>
      <c r="D357">
        <v>5.9693652499508941E-3</v>
      </c>
      <c r="E357">
        <v>-11040.539252807368</v>
      </c>
      <c r="F357">
        <v>-65.90501135642711</v>
      </c>
      <c r="G357">
        <v>0</v>
      </c>
      <c r="M357" s="25">
        <f t="shared" si="10"/>
        <v>3.13</v>
      </c>
    </row>
    <row r="358" spans="1:13" ht="15" customHeight="1" x14ac:dyDescent="0.25">
      <c r="A358" s="29">
        <v>3.14</v>
      </c>
      <c r="B358">
        <v>2.1330852690807423E-2</v>
      </c>
      <c r="C358">
        <v>2.8920662270293891E-2</v>
      </c>
      <c r="D358">
        <v>5.9398856838283809E-3</v>
      </c>
      <c r="E358">
        <v>-11114.310161846104</v>
      </c>
      <c r="F358">
        <v>-66.017731815977967</v>
      </c>
      <c r="G358">
        <v>0</v>
      </c>
      <c r="M358" s="25">
        <f t="shared" si="10"/>
        <v>3.14</v>
      </c>
    </row>
    <row r="359" spans="1:13" ht="15" customHeight="1" x14ac:dyDescent="0.25">
      <c r="A359" s="29">
        <v>3.15</v>
      </c>
      <c r="B359">
        <v>2.1225793896444255E-2</v>
      </c>
      <c r="C359">
        <v>2.889911412316205E-2</v>
      </c>
      <c r="D359">
        <v>5.9106305369459036E-3</v>
      </c>
      <c r="E359">
        <v>-11188.246965288115</v>
      </c>
      <c r="F359">
        <v>-66.129594167924253</v>
      </c>
      <c r="G359">
        <v>0</v>
      </c>
      <c r="M359" s="25">
        <f t="shared" si="10"/>
        <v>3.15</v>
      </c>
    </row>
    <row r="360" spans="1:13" ht="15" customHeight="1" x14ac:dyDescent="0.25">
      <c r="A360" s="29">
        <v>3.16</v>
      </c>
      <c r="B360">
        <v>2.1121532353543561E-2</v>
      </c>
      <c r="C360">
        <v>2.887765399085435E-2</v>
      </c>
      <c r="D360">
        <v>5.8815973963102942E-3</v>
      </c>
      <c r="E360">
        <v>-11262.349864398589</v>
      </c>
      <c r="F360">
        <v>-66.240607638782336</v>
      </c>
      <c r="G360">
        <v>0</v>
      </c>
      <c r="M360" s="25">
        <f t="shared" si="10"/>
        <v>3.16</v>
      </c>
    </row>
    <row r="361" spans="1:13" ht="15" customHeight="1" x14ac:dyDescent="0.25">
      <c r="A361" s="29">
        <v>3.17</v>
      </c>
      <c r="B361">
        <v>2.1018059518491887E-2</v>
      </c>
      <c r="C361">
        <v>2.8856281461202588E-2</v>
      </c>
      <c r="D361">
        <v>5.8527838828283203E-3</v>
      </c>
      <c r="E361">
        <v>-11336.619060907891</v>
      </c>
      <c r="F361">
        <v>-66.350781325446022</v>
      </c>
      <c r="G361">
        <v>0</v>
      </c>
      <c r="M361" s="25">
        <f t="shared" si="10"/>
        <v>3.17</v>
      </c>
    </row>
    <row r="362" spans="1:13" ht="15" customHeight="1" x14ac:dyDescent="0.25">
      <c r="A362" s="29">
        <v>3.18</v>
      </c>
      <c r="B362">
        <v>2.0915366967383262E-2</v>
      </c>
      <c r="C362">
        <v>2.8834996123886045E-2</v>
      </c>
      <c r="D362">
        <v>5.8241876507410389E-3</v>
      </c>
      <c r="E362">
        <v>-11411.05475694853</v>
      </c>
      <c r="F362">
        <v>-66.460124197349415</v>
      </c>
      <c r="G362">
        <v>0</v>
      </c>
      <c r="M362" s="25">
        <f t="shared" si="10"/>
        <v>3.18</v>
      </c>
    </row>
    <row r="363" spans="1:13" ht="15" customHeight="1" x14ac:dyDescent="0.25">
      <c r="A363" s="29">
        <v>3.19</v>
      </c>
      <c r="B363">
        <v>2.0813446394026488E-2</v>
      </c>
      <c r="C363">
        <v>2.8813797570431617E-2</v>
      </c>
      <c r="D363">
        <v>5.7958063870688949E-3</v>
      </c>
      <c r="E363">
        <v>-11485.657154992432</v>
      </c>
      <c r="F363">
        <v>-66.568645098588689</v>
      </c>
      <c r="G363">
        <v>0</v>
      </c>
      <c r="M363" s="25">
        <f t="shared" si="10"/>
        <v>3.19</v>
      </c>
    </row>
    <row r="364" spans="1:13" ht="15" customHeight="1" x14ac:dyDescent="0.25">
      <c r="A364" s="29">
        <v>3.2</v>
      </c>
      <c r="B364">
        <v>2.0712289607990247E-2</v>
      </c>
      <c r="C364">
        <v>2.8792685394213677E-2</v>
      </c>
      <c r="D364">
        <v>5.7676378110673495E-3</v>
      </c>
      <c r="E364">
        <v>-11560.426457788379</v>
      </c>
      <c r="F364">
        <v>-66.67635275000363</v>
      </c>
      <c r="G364">
        <v>0</v>
      </c>
      <c r="M364" s="25">
        <f t="shared" ref="M364:M427" si="11">A364</f>
        <v>3.2</v>
      </c>
    </row>
    <row r="365" spans="1:13" ht="15" customHeight="1" x14ac:dyDescent="0.25">
      <c r="A365" s="29">
        <v>3.21</v>
      </c>
      <c r="B365">
        <v>2.0611888532684905E-2</v>
      </c>
      <c r="C365">
        <v>2.8771659190453405E-2</v>
      </c>
      <c r="D365">
        <v>5.7396796736927389E-3</v>
      </c>
      <c r="E365">
        <v>-11635.362868299864</v>
      </c>
      <c r="F365">
        <v>-66.783255751219968</v>
      </c>
      <c r="G365">
        <v>0</v>
      </c>
      <c r="M365" s="25">
        <f t="shared" si="11"/>
        <v>3.21</v>
      </c>
    </row>
    <row r="366" spans="1:13" ht="15" customHeight="1" x14ac:dyDescent="0.25">
      <c r="A366" s="29">
        <v>3.22</v>
      </c>
      <c r="B366">
        <v>2.0512235203480722E-2</v>
      </c>
      <c r="C366">
        <v>2.8750718556217768E-2</v>
      </c>
      <c r="D366">
        <v>5.7119297570782544E-3</v>
      </c>
      <c r="E366">
        <v>-11710.466589643092</v>
      </c>
      <c r="F366">
        <v>-66.889362582653078</v>
      </c>
      <c r="G366">
        <v>0</v>
      </c>
      <c r="M366" s="25">
        <f t="shared" si="11"/>
        <v>3.22</v>
      </c>
    </row>
    <row r="367" spans="1:13" ht="15" customHeight="1" x14ac:dyDescent="0.25">
      <c r="A367" s="29">
        <v>3.23</v>
      </c>
      <c r="B367">
        <v>2.0413321765861202E-2</v>
      </c>
      <c r="C367">
        <v>2.8729863090418226E-2</v>
      </c>
      <c r="D367">
        <v>5.6843858740197196E-3</v>
      </c>
      <c r="E367">
        <v>-11785.73782502539</v>
      </c>
      <c r="F367">
        <v>-66.99468160747422</v>
      </c>
      <c r="G367">
        <v>0</v>
      </c>
      <c r="M367" s="25">
        <f t="shared" si="11"/>
        <v>3.23</v>
      </c>
    </row>
    <row r="368" spans="1:13" ht="15" customHeight="1" x14ac:dyDescent="0.25">
      <c r="A368" s="29">
        <v>3.24</v>
      </c>
      <c r="B368">
        <v>2.0315140473611201E-2</v>
      </c>
      <c r="C368">
        <v>2.8709092393808963E-2</v>
      </c>
      <c r="D368">
        <v>5.6570458674710423E-3</v>
      </c>
      <c r="E368">
        <v>-11861.176777683817</v>
      </c>
      <c r="F368">
        <v>-67.099221073539724</v>
      </c>
      <c r="G368">
        <v>0</v>
      </c>
      <c r="M368" s="25">
        <f t="shared" si="11"/>
        <v>3.24</v>
      </c>
    </row>
    <row r="369" spans="1:13" ht="15" customHeight="1" x14ac:dyDescent="0.25">
      <c r="A369" s="29">
        <v>3.25</v>
      </c>
      <c r="B369">
        <v>2.0217683687038891E-2</v>
      </c>
      <c r="C369">
        <v>2.8688406068984856E-2</v>
      </c>
      <c r="D369">
        <v>5.6299076100490945E-3</v>
      </c>
      <c r="E369">
        <v>-11936.783650824105</v>
      </c>
      <c r="F369">
        <v>-67.20298911528424</v>
      </c>
      <c r="G369">
        <v>0</v>
      </c>
      <c r="M369" s="25">
        <f t="shared" si="11"/>
        <v>3.25</v>
      </c>
    </row>
    <row r="370" spans="1:13" ht="15" customHeight="1" x14ac:dyDescent="0.25">
      <c r="A370" s="29">
        <v>3.26</v>
      </c>
      <c r="B370">
        <v>2.0120943871230815E-2</v>
      </c>
      <c r="C370">
        <v>2.8667803720379099E-2</v>
      </c>
      <c r="D370">
        <v>5.6029690035478072E-3</v>
      </c>
      <c r="E370">
        <v>-12012.558647559968</v>
      </c>
      <c r="F370">
        <v>-67.305993755578669</v>
      </c>
      <c r="G370">
        <v>0</v>
      </c>
      <c r="M370" s="25">
        <f t="shared" si="11"/>
        <v>3.26</v>
      </c>
    </row>
    <row r="371" spans="1:13" ht="15" customHeight="1" x14ac:dyDescent="0.25">
      <c r="A371" s="29">
        <v>3.27</v>
      </c>
      <c r="B371">
        <v>2.0024913594339631E-2</v>
      </c>
      <c r="C371">
        <v>2.8647284954260551E-2</v>
      </c>
      <c r="D371">
        <v>5.5762279784613679E-3</v>
      </c>
      <c r="E371">
        <v>-12088.50197085252</v>
      </c>
      <c r="F371">
        <v>-67.408242907553202</v>
      </c>
      <c r="G371">
        <v>0</v>
      </c>
      <c r="M371" s="25">
        <f t="shared" si="11"/>
        <v>3.27</v>
      </c>
    </row>
    <row r="372" spans="1:13" ht="15" customHeight="1" x14ac:dyDescent="0.25">
      <c r="A372" s="29">
        <v>3.28</v>
      </c>
      <c r="B372">
        <v>1.9929585525903425E-2</v>
      </c>
      <c r="C372">
        <v>2.8626849378730713E-2</v>
      </c>
      <c r="D372">
        <v>5.549682493516209E-3</v>
      </c>
      <c r="E372">
        <v>-12164.61382345023</v>
      </c>
      <c r="F372">
        <v>-67.509744376387019</v>
      </c>
      <c r="G372">
        <v>0</v>
      </c>
      <c r="M372" s="25">
        <f t="shared" si="11"/>
        <v>3.28</v>
      </c>
    </row>
    <row r="373" spans="1:13" ht="15" customHeight="1" x14ac:dyDescent="0.25">
      <c r="A373" s="29">
        <v>3.29</v>
      </c>
      <c r="B373">
        <v>1.9834952435196312E-2</v>
      </c>
      <c r="C373">
        <v>2.8606496603720569E-2</v>
      </c>
      <c r="D373">
        <v>5.5233305352117073E-3</v>
      </c>
      <c r="E373">
        <v>-12240.894407829039</v>
      </c>
      <c r="F373">
        <v>-67.610505861064368</v>
      </c>
      <c r="G373">
        <v>0</v>
      </c>
      <c r="M373" s="25">
        <f t="shared" si="11"/>
        <v>3.29</v>
      </c>
    </row>
    <row r="374" spans="1:13" ht="15" customHeight="1" x14ac:dyDescent="0.25">
      <c r="A374" s="29">
        <v>3.3</v>
      </c>
      <c r="B374">
        <v>1.9741007189609531E-2</v>
      </c>
      <c r="C374">
        <v>2.8586226240986955E-2</v>
      </c>
      <c r="D374">
        <v>5.4971701173693798E-3</v>
      </c>
      <c r="E374">
        <v>-12317.34392613278</v>
      </c>
      <c r="F374">
        <v>-67.710534956098357</v>
      </c>
      <c r="G374">
        <v>0</v>
      </c>
      <c r="M374" s="25">
        <f t="shared" si="11"/>
        <v>3.3</v>
      </c>
    </row>
    <row r="375" spans="1:13" ht="15" customHeight="1" x14ac:dyDescent="0.25">
      <c r="A375" s="29">
        <v>3.31</v>
      </c>
      <c r="B375">
        <v>1.9647742753062251E-2</v>
      </c>
      <c r="C375">
        <v>2.8566037904108856E-2</v>
      </c>
      <c r="D375">
        <v>5.4711992806903455E-3</v>
      </c>
      <c r="E375">
        <v>-12393.962580114054</v>
      </c>
      <c r="F375">
        <v>-67.809839153223066</v>
      </c>
      <c r="G375">
        <v>0</v>
      </c>
      <c r="M375" s="25">
        <f t="shared" si="11"/>
        <v>3.31</v>
      </c>
    </row>
    <row r="376" spans="1:13" ht="15" customHeight="1" x14ac:dyDescent="0.25">
      <c r="A376" s="29">
        <v>3.32</v>
      </c>
      <c r="B376">
        <v>1.9555152184441815E-2</v>
      </c>
      <c r="C376">
        <v>2.8545931208483363E-2</v>
      </c>
      <c r="D376">
        <v>5.4454160923209901E-3</v>
      </c>
      <c r="E376">
        <v>-12470.750571075245</v>
      </c>
      <c r="F376">
        <v>-67.908425843054317</v>
      </c>
      <c r="G376">
        <v>0</v>
      </c>
      <c r="M376" s="25">
        <f t="shared" si="11"/>
        <v>3.32</v>
      </c>
    </row>
    <row r="377" spans="1:13" ht="15" customHeight="1" x14ac:dyDescent="0.25">
      <c r="A377" s="29">
        <v>3.33</v>
      </c>
      <c r="B377">
        <v>1.9463228636072454E-2</v>
      </c>
      <c r="C377">
        <v>2.8525905771321414E-2</v>
      </c>
      <c r="D377">
        <v>5.4198186454265593E-3</v>
      </c>
      <c r="E377">
        <v>-12547.708099810001</v>
      </c>
      <c r="F377">
        <v>-68.00630231672011</v>
      </c>
      <c r="G377">
        <v>0</v>
      </c>
      <c r="M377" s="25">
        <f t="shared" si="11"/>
        <v>3.33</v>
      </c>
    </row>
    <row r="378" spans="1:13" ht="15" customHeight="1" x14ac:dyDescent="0.25">
      <c r="A378" s="29">
        <v>3.34</v>
      </c>
      <c r="B378">
        <v>1.9371965352212177E-2</v>
      </c>
      <c r="C378">
        <v>2.8505961211643303E-2</v>
      </c>
      <c r="D378">
        <v>5.3944050587725924E-3</v>
      </c>
      <c r="E378">
        <v>-12624.835366544921</v>
      </c>
      <c r="F378">
        <v>-68.103475767461063</v>
      </c>
      <c r="G378">
        <v>0</v>
      </c>
      <c r="M378" s="25">
        <f t="shared" si="11"/>
        <v>3.34</v>
      </c>
    </row>
    <row r="379" spans="1:13" ht="15" customHeight="1" x14ac:dyDescent="0.25">
      <c r="A379" s="29">
        <v>3.35</v>
      </c>
      <c r="B379">
        <v>1.9281355667577008E-2</v>
      </c>
      <c r="C379">
        <v>2.848609715027399E-2</v>
      </c>
      <c r="D379">
        <v>5.3691734763139792E-3</v>
      </c>
      <c r="E379">
        <v>-12702.132570881673</v>
      </c>
      <c r="F379">
        <v>-68.199953292201769</v>
      </c>
      <c r="G379">
        <v>0</v>
      </c>
      <c r="M379" s="25">
        <f t="shared" si="11"/>
        <v>3.35</v>
      </c>
    </row>
    <row r="380" spans="1:13" ht="15" customHeight="1" x14ac:dyDescent="0.25">
      <c r="A380" s="29">
        <v>3.36</v>
      </c>
      <c r="B380">
        <v>1.9191393005892263E-2</v>
      </c>
      <c r="C380">
        <v>2.8466313209838227E-2</v>
      </c>
      <c r="D380">
        <v>5.3441220667915365E-3</v>
      </c>
      <c r="E380">
        <v>-12779.599911739335</v>
      </c>
      <c r="F380">
        <v>-68.29574189309335</v>
      </c>
      <c r="G380">
        <v>0</v>
      </c>
      <c r="M380" s="25">
        <f t="shared" si="11"/>
        <v>3.36</v>
      </c>
    </row>
    <row r="381" spans="1:13" ht="15" customHeight="1" x14ac:dyDescent="0.25">
      <c r="A381" s="29">
        <v>3.37</v>
      </c>
      <c r="B381">
        <v>1.9102070878469993E-2</v>
      </c>
      <c r="C381">
        <v>2.8446609014755379E-2</v>
      </c>
      <c r="D381">
        <v>5.3192490233358808E-3</v>
      </c>
      <c r="E381">
        <v>-12857.237587297217</v>
      </c>
      <c r="F381">
        <v>-68.390848479028108</v>
      </c>
      <c r="G381">
        <v>0</v>
      </c>
      <c r="M381" s="25">
        <f t="shared" si="11"/>
        <v>3.37</v>
      </c>
    </row>
    <row r="382" spans="1:13" ht="15" customHeight="1" x14ac:dyDescent="0.25">
      <c r="A382" s="29">
        <v>3.38</v>
      </c>
      <c r="B382">
        <v>1.9013382882812492E-2</v>
      </c>
      <c r="C382">
        <v>2.8426984191234267E-2</v>
      </c>
      <c r="D382">
        <v>5.2945525630785544E-3</v>
      </c>
      <c r="E382">
        <v>-12935.045794937805</v>
      </c>
      <c r="F382">
        <v>-68.485279867126437</v>
      </c>
      <c r="G382">
        <v>0</v>
      </c>
      <c r="M382" s="25">
        <f t="shared" si="11"/>
        <v>3.38</v>
      </c>
    </row>
    <row r="383" spans="1:13" ht="15" customHeight="1" x14ac:dyDescent="0.25">
      <c r="A383" s="29">
        <v>3.39</v>
      </c>
      <c r="B383">
        <v>1.8925322701240865E-2</v>
      </c>
      <c r="C383">
        <v>2.8407438367267619E-2</v>
      </c>
      <c r="D383">
        <v>5.2700309267701261E-3</v>
      </c>
      <c r="E383">
        <v>-13013.024731190248</v>
      </c>
      <c r="F383">
        <v>-68.579042784197114</v>
      </c>
      <c r="G383">
        <v>0</v>
      </c>
      <c r="M383" s="25">
        <f t="shared" si="11"/>
        <v>3.39</v>
      </c>
    </row>
    <row r="384" spans="1:13" ht="15" customHeight="1" x14ac:dyDescent="0.25">
      <c r="A384" s="29">
        <v>3.4</v>
      </c>
      <c r="B384">
        <v>1.8837884099548539E-2</v>
      </c>
      <c r="C384">
        <v>2.8387971172626477E-2</v>
      </c>
      <c r="D384">
        <v>5.2456823784052479E-3</v>
      </c>
      <c r="E384">
        <v>-13091.174591674031</v>
      </c>
      <c r="F384">
        <v>-68.672143868170991</v>
      </c>
      <c r="G384">
        <v>0</v>
      </c>
      <c r="M384" s="25">
        <f t="shared" si="11"/>
        <v>3.4</v>
      </c>
    </row>
    <row r="385" spans="1:13" ht="15" customHeight="1" x14ac:dyDescent="0.25">
      <c r="A385" s="29">
        <v>3.41</v>
      </c>
      <c r="B385">
        <v>1.8751060925678936E-2</v>
      </c>
      <c r="C385">
        <v>2.8368582238854412E-2</v>
      </c>
      <c r="D385">
        <v>5.221505204854429E-3</v>
      </c>
      <c r="E385">
        <v>-13169.495571043099</v>
      </c>
      <c r="F385">
        <v>-68.764589669508894</v>
      </c>
      <c r="G385">
        <v>0</v>
      </c>
      <c r="M385" s="25">
        <f t="shared" si="11"/>
        <v>3.41</v>
      </c>
    </row>
    <row r="386" spans="1:13" ht="15" customHeight="1" x14ac:dyDescent="0.25">
      <c r="A386" s="29">
        <v>3.42</v>
      </c>
      <c r="B386">
        <v>1.8664847108427012E-2</v>
      </c>
      <c r="C386">
        <v>2.8349271199261603E-2</v>
      </c>
      <c r="D386">
        <v>5.1974977155024634E-3</v>
      </c>
      <c r="E386">
        <v>-13247.987862930222</v>
      </c>
      <c r="F386">
        <v>-68.856386652584192</v>
      </c>
      <c r="G386">
        <v>0</v>
      </c>
      <c r="M386" s="25">
        <f t="shared" si="11"/>
        <v>3.42</v>
      </c>
    </row>
    <row r="387" spans="1:13" ht="15" customHeight="1" x14ac:dyDescent="0.25">
      <c r="A387" s="29">
        <v>3.43</v>
      </c>
      <c r="B387">
        <v>1.8579236656164053E-2</v>
      </c>
      <c r="C387">
        <v>2.8330037688918737E-2</v>
      </c>
      <c r="D387">
        <v>5.1736582418933294E-3</v>
      </c>
      <c r="E387">
        <v>-13326.651659891808</v>
      </c>
      <c r="F387">
        <v>-68.947541197040664</v>
      </c>
      <c r="G387">
        <v>0</v>
      </c>
      <c r="M387" s="25">
        <f t="shared" si="11"/>
        <v>3.43</v>
      </c>
    </row>
    <row r="388" spans="1:13" ht="15" customHeight="1" x14ac:dyDescent="0.25">
      <c r="A388" s="29">
        <v>3.44</v>
      </c>
      <c r="B388">
        <v>1.8494223655585371E-2</v>
      </c>
      <c r="C388">
        <v>2.8310881344650835E-2</v>
      </c>
      <c r="D388">
        <v>5.1499851373814683E-3</v>
      </c>
      <c r="E388">
        <v>-13405.487153352928</v>
      </c>
      <c r="F388">
        <v>-69.038059599125788</v>
      </c>
      <c r="G388">
        <v>0</v>
      </c>
      <c r="M388" s="25">
        <f t="shared" si="11"/>
        <v>3.44</v>
      </c>
    </row>
    <row r="389" spans="1:13" ht="15" customHeight="1" x14ac:dyDescent="0.25">
      <c r="A389" s="29">
        <v>3.45</v>
      </c>
      <c r="B389">
        <v>1.8409802270480301E-2</v>
      </c>
      <c r="C389">
        <v>2.8291801805030856E-2</v>
      </c>
      <c r="D389">
        <v>5.1264767767892697E-3</v>
      </c>
      <c r="E389">
        <v>-13484.494533552832</v>
      </c>
      <c r="F389">
        <v>-69.127948073000454</v>
      </c>
      <c r="G389">
        <v>0</v>
      </c>
      <c r="M389" s="25">
        <f t="shared" si="11"/>
        <v>3.45</v>
      </c>
    </row>
    <row r="390" spans="1:13" ht="15" customHeight="1" x14ac:dyDescent="0.25">
      <c r="A390" s="29">
        <v>3.46</v>
      </c>
      <c r="B390">
        <v>1.8325966740524165E-2</v>
      </c>
      <c r="C390">
        <v>2.82727987103733E-2</v>
      </c>
      <c r="D390">
        <v>5.1031315560706803E-3</v>
      </c>
      <c r="E390">
        <v>-13563.673989490724</v>
      </c>
      <c r="F390">
        <v>-69.217212752025219</v>
      </c>
      <c r="G390">
        <v>0</v>
      </c>
      <c r="M390" s="25">
        <f t="shared" si="11"/>
        <v>3.46</v>
      </c>
    </row>
    <row r="391" spans="1:13" ht="15" customHeight="1" x14ac:dyDescent="0.25">
      <c r="A391" s="29">
        <v>3.47</v>
      </c>
      <c r="B391">
        <v>1.8242711380091748E-2</v>
      </c>
      <c r="C391">
        <v>2.8253871702727557E-2</v>
      </c>
      <c r="D391">
        <v>5.0799478919807961E-3</v>
      </c>
      <c r="E391">
        <v>-13643.025708871917</v>
      </c>
      <c r="F391">
        <v>-69.305859690023695</v>
      </c>
      <c r="G391">
        <v>0</v>
      </c>
      <c r="M391" s="25">
        <f t="shared" si="11"/>
        <v>3.47</v>
      </c>
    </row>
    <row r="392" spans="1:13" ht="15" customHeight="1" x14ac:dyDescent="0.25">
      <c r="A392" s="29">
        <v>3.48</v>
      </c>
      <c r="B392">
        <v>1.8160030577091833E-2</v>
      </c>
      <c r="C392">
        <v>2.8235020425871265E-2</v>
      </c>
      <c r="D392">
        <v>5.056924221751323E-3</v>
      </c>
      <c r="E392">
        <v>-13722.5498780543</v>
      </c>
      <c r="F392">
        <v>-69.393894862523453</v>
      </c>
      <c r="G392">
        <v>0</v>
      </c>
      <c r="M392" s="25">
        <f t="shared" si="11"/>
        <v>3.48</v>
      </c>
    </row>
    <row r="393" spans="1:13" ht="15" customHeight="1" x14ac:dyDescent="0.25">
      <c r="A393" s="29">
        <v>3.49</v>
      </c>
      <c r="B393">
        <v>1.8077918791822363E-2</v>
      </c>
      <c r="C393">
        <v>2.8216244525303545E-2</v>
      </c>
      <c r="D393">
        <v>5.034059002771778E-3</v>
      </c>
      <c r="E393">
        <v>-13802.246681995239</v>
      </c>
      <c r="F393">
        <v>-69.481324167975032</v>
      </c>
      <c r="G393">
        <v>0</v>
      </c>
      <c r="M393" s="25">
        <f t="shared" si="11"/>
        <v>3.49</v>
      </c>
    </row>
    <row r="394" spans="1:13" ht="15" customHeight="1" x14ac:dyDescent="0.25">
      <c r="A394" s="29">
        <v>3.5</v>
      </c>
      <c r="B394">
        <v>1.7996370555845877E-2</v>
      </c>
      <c r="C394">
        <v>2.8197543648238052E-2</v>
      </c>
      <c r="D394">
        <v>5.0113507122763433E-3</v>
      </c>
      <c r="E394">
        <v>-13882.116304198722</v>
      </c>
      <c r="F394">
        <v>-69.568153428949302</v>
      </c>
      <c r="G394">
        <v>0</v>
      </c>
      <c r="M394" s="25">
        <f t="shared" si="11"/>
        <v>3.5</v>
      </c>
    </row>
    <row r="395" spans="1:13" ht="15" customHeight="1" x14ac:dyDescent="0.25">
      <c r="A395" s="29">
        <v>3.51</v>
      </c>
      <c r="B395">
        <v>1.7915380470884729E-2</v>
      </c>
      <c r="C395">
        <v>2.8178917443596047E-2</v>
      </c>
      <c r="D395">
        <v>4.9887978470362169E-3</v>
      </c>
      <c r="E395">
        <v>-13962.158926662987</v>
      </c>
      <c r="F395">
        <v>-69.654388393313809</v>
      </c>
      <c r="G395">
        <v>0</v>
      </c>
      <c r="M395" s="25">
        <f t="shared" si="11"/>
        <v>3.51</v>
      </c>
    </row>
    <row r="396" spans="1:13" ht="15" customHeight="1" x14ac:dyDescent="0.25">
      <c r="A396" s="29">
        <v>3.52</v>
      </c>
      <c r="B396">
        <v>1.783494320773581E-2</v>
      </c>
      <c r="C396">
        <v>2.8160365561999325E-2</v>
      </c>
      <c r="D396">
        <v>4.966398923057406E-3</v>
      </c>
      <c r="E396">
        <v>-14042.374729828396</v>
      </c>
      <c r="F396">
        <v>-69.740034735388278</v>
      </c>
      <c r="G396">
        <v>0</v>
      </c>
      <c r="M396" s="25">
        <f t="shared" si="11"/>
        <v>3.52</v>
      </c>
    </row>
    <row r="397" spans="1:13" ht="15" customHeight="1" x14ac:dyDescent="0.25">
      <c r="A397" s="29">
        <v>3.53</v>
      </c>
      <c r="B397">
        <v>1.775505350520434E-2</v>
      </c>
      <c r="C397">
        <v>2.8141887655763077E-2</v>
      </c>
      <c r="D397">
        <v>4.9441524752838256E-3</v>
      </c>
      <c r="E397">
        <v>-14122.763892525709</v>
      </c>
      <c r="F397">
        <v>-69.825098057080027</v>
      </c>
      <c r="G397">
        <v>0</v>
      </c>
      <c r="M397" s="25">
        <f t="shared" si="11"/>
        <v>3.53</v>
      </c>
    </row>
    <row r="398" spans="1:13" ht="15" customHeight="1" x14ac:dyDescent="0.25">
      <c r="A398" s="29">
        <v>3.54</v>
      </c>
      <c r="B398">
        <v>1.7675706169056275E-2</v>
      </c>
      <c r="C398">
        <v>2.8123483378888686E-2</v>
      </c>
      <c r="D398">
        <v>4.9220570573055783E-3</v>
      </c>
      <c r="E398">
        <v>-14203.326591924746</v>
      </c>
      <c r="F398">
        <v>-69.90958388899918</v>
      </c>
      <c r="G398">
        <v>0</v>
      </c>
      <c r="M398" s="25">
        <f t="shared" si="11"/>
        <v>3.54</v>
      </c>
    </row>
    <row r="399" spans="1:13" ht="15" customHeight="1" x14ac:dyDescent="0.25">
      <c r="A399" s="29">
        <v>3.55</v>
      </c>
      <c r="B399">
        <v>1.7596896070989115E-2</v>
      </c>
      <c r="C399">
        <v>2.8105152387056364E-2</v>
      </c>
      <c r="D399">
        <v>4.9001112410723639E-3</v>
      </c>
      <c r="E399">
        <v>-14284.063003483361</v>
      </c>
      <c r="F399">
        <v>-69.993497691554694</v>
      </c>
      <c r="G399">
        <v>0</v>
      </c>
      <c r="M399" s="25">
        <f t="shared" si="11"/>
        <v>3.55</v>
      </c>
    </row>
    <row r="400" spans="1:13" ht="15" customHeight="1" x14ac:dyDescent="0.25">
      <c r="A400" s="29">
        <v>3.56</v>
      </c>
      <c r="B400">
        <v>1.7518618147620645E-2</v>
      </c>
      <c r="C400">
        <v>2.8086894337617963E-2</v>
      </c>
      <c r="D400">
        <v>4.8783136166118766E-3</v>
      </c>
      <c r="E400">
        <v>-14364.973300896816</v>
      </c>
      <c r="F400">
        <v>-70.076844856030988</v>
      </c>
      <c r="G400">
        <v>0</v>
      </c>
      <c r="M400" s="25">
        <f t="shared" si="11"/>
        <v>3.56</v>
      </c>
    </row>
    <row r="401" spans="1:13" ht="15" customHeight="1" x14ac:dyDescent="0.25">
      <c r="A401" s="29">
        <v>3.57</v>
      </c>
      <c r="B401">
        <v>1.7440867399495314E-2</v>
      </c>
      <c r="C401">
        <v>2.8068708889589438E-2</v>
      </c>
      <c r="D401">
        <v>4.8566627917531208E-3</v>
      </c>
      <c r="E401">
        <v>-14446.057656047458</v>
      </c>
      <c r="F401">
        <v>-70.159630705645995</v>
      </c>
      <c r="G401">
        <v>0</v>
      </c>
      <c r="M401" s="25">
        <f t="shared" si="11"/>
        <v>3.57</v>
      </c>
    </row>
    <row r="402" spans="1:13" ht="15" customHeight="1" x14ac:dyDescent="0.25">
      <c r="A402" s="29">
        <v>3.58</v>
      </c>
      <c r="B402">
        <v>1.7363638890107835E-2</v>
      </c>
      <c r="C402">
        <v>2.8050595703643412E-2</v>
      </c>
      <c r="D402">
        <v>4.8351573918545138E-3</v>
      </c>
      <c r="E402">
        <v>-14527.316238954867</v>
      </c>
      <c r="F402">
        <v>-70.241860496590746</v>
      </c>
      <c r="G402">
        <v>0</v>
      </c>
      <c r="M402" s="25">
        <f t="shared" si="11"/>
        <v>3.58</v>
      </c>
    </row>
    <row r="403" spans="1:13" ht="15" customHeight="1" x14ac:dyDescent="0.25">
      <c r="A403" s="29">
        <v>3.59</v>
      </c>
      <c r="B403">
        <v>1.7286927744943795E-2</v>
      </c>
      <c r="C403">
        <v>2.8032554442101679E-2</v>
      </c>
      <c r="D403">
        <v>4.8137960595367327E-3</v>
      </c>
      <c r="E403">
        <v>-14608.749217726232</v>
      </c>
      <c r="F403">
        <v>-70.32353941905086</v>
      </c>
      <c r="G403">
        <v>0</v>
      </c>
      <c r="M403" s="25">
        <f t="shared" si="11"/>
        <v>3.59</v>
      </c>
    </row>
    <row r="404" spans="1:13" ht="15" customHeight="1" x14ac:dyDescent="0.25">
      <c r="A404" s="29">
        <v>3.6</v>
      </c>
      <c r="B404">
        <v>1.7210729150536796E-2</v>
      </c>
      <c r="C404">
        <v>2.8014584768927663E-2</v>
      </c>
      <c r="D404">
        <v>4.7925774544201622E-3</v>
      </c>
      <c r="E404">
        <v>-14690.356758507221</v>
      </c>
      <c r="F404">
        <v>-70.404672598210567</v>
      </c>
      <c r="G404">
        <v>0</v>
      </c>
      <c r="M404" s="25">
        <f t="shared" si="11"/>
        <v>3.6</v>
      </c>
    </row>
    <row r="405" spans="1:13" ht="15" customHeight="1" x14ac:dyDescent="0.25">
      <c r="A405" s="29">
        <v>3.61</v>
      </c>
      <c r="B405">
        <v>1.7135038353541982E-2</v>
      </c>
      <c r="C405">
        <v>2.7996686349718754E-2</v>
      </c>
      <c r="D405">
        <v>4.7715002528669016E-3</v>
      </c>
      <c r="E405">
        <v>-14772.139025433098</v>
      </c>
      <c r="F405">
        <v>-70.485265095239043</v>
      </c>
      <c r="G405">
        <v>0</v>
      </c>
      <c r="M405" s="25">
        <f t="shared" si="11"/>
        <v>3.61</v>
      </c>
    </row>
    <row r="406" spans="1:13" ht="15" customHeight="1" x14ac:dyDescent="0.25">
      <c r="A406" s="29">
        <v>3.62</v>
      </c>
      <c r="B406">
        <v>1.7059850659825418E-2</v>
      </c>
      <c r="C406">
        <v>2.7978858851698735E-2</v>
      </c>
      <c r="D406">
        <v>4.7505631477271926E-3</v>
      </c>
      <c r="E406">
        <v>-14854.096180580322</v>
      </c>
      <c r="F406">
        <v>-70.565321908260131</v>
      </c>
      <c r="G406">
        <v>0</v>
      </c>
      <c r="M406" s="25">
        <f t="shared" si="11"/>
        <v>3.62</v>
      </c>
    </row>
    <row r="407" spans="1:13" ht="15" customHeight="1" x14ac:dyDescent="0.25">
      <c r="A407" s="29">
        <v>3.63</v>
      </c>
      <c r="B407">
        <v>1.6985161433569294E-2</v>
      </c>
      <c r="C407">
        <v>2.796110194371005E-2</v>
      </c>
      <c r="D407">
        <v>4.7297648480902465E-3</v>
      </c>
      <c r="E407">
        <v>-14936.228383918387</v>
      </c>
      <c r="F407">
        <v>-70.644847973304977</v>
      </c>
      <c r="G407">
        <v>0</v>
      </c>
      <c r="M407" s="25">
        <f t="shared" si="11"/>
        <v>3.63</v>
      </c>
    </row>
    <row r="408" spans="1:13" ht="15" customHeight="1" x14ac:dyDescent="0.25">
      <c r="A408" s="29">
        <v>3.64</v>
      </c>
      <c r="B408">
        <v>1.6910966096392283E-2</v>
      </c>
      <c r="C408">
        <v>2.7943415296206125E-2</v>
      </c>
      <c r="D408">
        <v>4.709104079039299E-3</v>
      </c>
      <c r="E408">
        <v>-15018.535793262196</v>
      </c>
      <c r="F408">
        <v>-70.723848165248725</v>
      </c>
      <c r="G408">
        <v>0</v>
      </c>
      <c r="M408" s="25">
        <f t="shared" si="11"/>
        <v>3.64</v>
      </c>
    </row>
    <row r="409" spans="1:13" ht="15" customHeight="1" x14ac:dyDescent="0.25">
      <c r="A409" s="29">
        <v>3.65</v>
      </c>
      <c r="B409">
        <v>1.6837260126485218E-2</v>
      </c>
      <c r="C409">
        <v>2.7925798581243642E-2</v>
      </c>
      <c r="D409">
        <v>4.6885795814109255E-3</v>
      </c>
      <c r="E409">
        <v>-15101.018564224591</v>
      </c>
      <c r="F409">
        <v>-70.802327298730745</v>
      </c>
      <c r="G409">
        <v>0</v>
      </c>
      <c r="M409" s="25">
        <f t="shared" si="11"/>
        <v>3.65</v>
      </c>
    </row>
    <row r="410" spans="1:13" ht="15" customHeight="1" x14ac:dyDescent="0.25">
      <c r="A410" s="29">
        <v>3.66</v>
      </c>
      <c r="B410">
        <v>1.6764039057761353E-2</v>
      </c>
      <c r="C410">
        <v>2.7908251472474721E-2</v>
      </c>
      <c r="D410">
        <v>4.6681901115584179E-3</v>
      </c>
      <c r="E410">
        <v>-15183.676850169439</v>
      </c>
      <c r="F410">
        <v>-70.880290129059432</v>
      </c>
      <c r="G410">
        <v>0</v>
      </c>
      <c r="M410" s="25">
        <f t="shared" si="11"/>
        <v>3.66</v>
      </c>
    </row>
    <row r="411" spans="1:13" ht="15" customHeight="1" x14ac:dyDescent="0.25">
      <c r="A411" s="29">
        <v>3.67</v>
      </c>
      <c r="B411">
        <v>1.6691298479021219E-2</v>
      </c>
      <c r="C411">
        <v>2.7890773645139175E-2</v>
      </c>
      <c r="D411">
        <v>4.6479344411192274E-3</v>
      </c>
      <c r="E411">
        <v>-15266.510802165008</v>
      </c>
      <c r="F411">
        <v>-70.957741353101468</v>
      </c>
      <c r="G411">
        <v>0</v>
      </c>
      <c r="M411" s="25">
        <f t="shared" si="11"/>
        <v>3.67</v>
      </c>
    </row>
    <row r="412" spans="1:13" ht="15" customHeight="1" x14ac:dyDescent="0.25">
      <c r="A412" s="29">
        <v>3.68</v>
      </c>
      <c r="B412">
        <v>1.6619034033131683E-2</v>
      </c>
      <c r="C412">
        <v>2.7873364776056734E-2</v>
      </c>
      <c r="D412">
        <v>4.6278113567863616E-3</v>
      </c>
      <c r="E412">
        <v>-15349.520568937714</v>
      </c>
      <c r="F412">
        <v>-71.034685610155805</v>
      </c>
      <c r="G412">
        <v>0</v>
      </c>
      <c r="M412" s="25">
        <f t="shared" si="11"/>
        <v>3.68</v>
      </c>
    </row>
    <row r="413" spans="1:13" ht="15" customHeight="1" x14ac:dyDescent="0.25">
      <c r="A413" s="29">
        <v>3.69</v>
      </c>
      <c r="B413">
        <v>1.6547241416219036E-2</v>
      </c>
      <c r="C413">
        <v>2.7856024543619195E-2</v>
      </c>
      <c r="D413">
        <v>4.6078196600836899E-3</v>
      </c>
      <c r="E413">
        <v>-15432.706296826174</v>
      </c>
      <c r="F413">
        <v>-71.111127482813004</v>
      </c>
      <c r="G413">
        <v>0</v>
      </c>
      <c r="M413" s="25">
        <f t="shared" si="11"/>
        <v>3.69</v>
      </c>
    </row>
    <row r="414" spans="1:13" ht="15" customHeight="1" x14ac:dyDescent="0.25">
      <c r="A414" s="29">
        <v>3.7</v>
      </c>
      <c r="B414">
        <v>1.64759163768756E-2</v>
      </c>
      <c r="C414">
        <v>2.7838752627782543E-2</v>
      </c>
      <c r="D414">
        <v>4.5879581671450058E-3</v>
      </c>
      <c r="E414">
        <v>-15516.068129735837</v>
      </c>
      <c r="F414">
        <v>-71.187071497799877</v>
      </c>
      <c r="G414">
        <v>0</v>
      </c>
      <c r="M414" s="25">
        <f t="shared" si="11"/>
        <v>3.7</v>
      </c>
    </row>
    <row r="415" spans="1:13" ht="15" customHeight="1" x14ac:dyDescent="0.25">
      <c r="A415" s="29">
        <v>3.71</v>
      </c>
      <c r="B415">
        <v>1.6405054715379976E-2</v>
      </c>
      <c r="C415">
        <v>2.78215487100592E-2</v>
      </c>
      <c r="D415">
        <v>4.5682257084969022E-3</v>
      </c>
      <c r="E415">
        <v>-15599.606209093707</v>
      </c>
      <c r="F415">
        <v>-71.26252212680977</v>
      </c>
      <c r="G415">
        <v>0</v>
      </c>
      <c r="M415" s="25">
        <f t="shared" si="11"/>
        <v>3.71</v>
      </c>
    </row>
    <row r="416" spans="1:13" ht="15" customHeight="1" x14ac:dyDescent="0.25">
      <c r="A416" s="29">
        <v>3.72</v>
      </c>
      <c r="B416">
        <v>1.6334652282930302E-2</v>
      </c>
      <c r="C416">
        <v>2.7804412473510117E-2</v>
      </c>
      <c r="D416">
        <v>4.548621128845254E-3</v>
      </c>
      <c r="E416">
        <v>-15683.320673803679</v>
      </c>
      <c r="F416">
        <v>-71.337483787319002</v>
      </c>
      <c r="G416">
        <v>0</v>
      </c>
      <c r="M416" s="25">
        <f t="shared" si="11"/>
        <v>3.72</v>
      </c>
    </row>
    <row r="417" spans="1:13" ht="15" customHeight="1" x14ac:dyDescent="0.25">
      <c r="A417" s="29">
        <v>3.73</v>
      </c>
      <c r="B417">
        <v>1.6264704980890575E-2</v>
      </c>
      <c r="C417">
        <v>2.7787343602736925E-2</v>
      </c>
      <c r="D417">
        <v>4.5291432868653477E-3</v>
      </c>
      <c r="E417">
        <v>-15767.21166020208</v>
      </c>
      <c r="F417">
        <v>-71.411960843389281</v>
      </c>
      <c r="G417">
        <v>0</v>
      </c>
      <c r="M417" s="25">
        <f t="shared" si="11"/>
        <v>3.73</v>
      </c>
    </row>
    <row r="418" spans="1:13" ht="15" customHeight="1" x14ac:dyDescent="0.25">
      <c r="A418" s="29">
        <v>3.74</v>
      </c>
      <c r="B418">
        <v>1.6195208760049543E-2</v>
      </c>
      <c r="C418">
        <v>2.7770341783874081E-2</v>
      </c>
      <c r="D418">
        <v>4.5097910549955125E-3</v>
      </c>
      <c r="E418">
        <v>-15851.279302013691</v>
      </c>
      <c r="F418">
        <v>-71.48595760645685</v>
      </c>
      <c r="G418">
        <v>0</v>
      </c>
      <c r="M418" s="25">
        <f t="shared" si="11"/>
        <v>3.74</v>
      </c>
    </row>
    <row r="419" spans="1:13" ht="15" customHeight="1" x14ac:dyDescent="0.25">
      <c r="A419" s="29">
        <v>3.75</v>
      </c>
      <c r="B419">
        <v>1.6126159619892173E-2</v>
      </c>
      <c r="C419">
        <v>2.775340670458103E-2</v>
      </c>
      <c r="D419">
        <v>4.4905633192342418E-3</v>
      </c>
      <c r="E419">
        <v>-15935.52373030807</v>
      </c>
      <c r="F419">
        <v>-71.559478336108228</v>
      </c>
      <c r="G419">
        <v>0</v>
      </c>
      <c r="M419" s="25">
        <f t="shared" si="11"/>
        <v>3.75</v>
      </c>
    </row>
    <row r="420" spans="1:13" ht="15" customHeight="1" x14ac:dyDescent="0.25">
      <c r="A420" s="29">
        <v>3.76</v>
      </c>
      <c r="B420">
        <v>1.6057553607883204E-2</v>
      </c>
      <c r="C420">
        <v>2.7736538054034299E-2</v>
      </c>
      <c r="D420">
        <v>4.4714589789406987E-3</v>
      </c>
      <c r="E420">
        <v>-16019.945073456291</v>
      </c>
      <c r="F420">
        <v>-71.632527240842933</v>
      </c>
      <c r="G420">
        <v>0</v>
      </c>
      <c r="M420" s="25">
        <f t="shared" si="11"/>
        <v>3.76</v>
      </c>
    </row>
    <row r="421" spans="1:13" ht="15" customHeight="1" x14ac:dyDescent="0.25">
      <c r="A421" s="29">
        <v>3.77</v>
      </c>
      <c r="B421">
        <v>1.5989386818762812E-2</v>
      </c>
      <c r="C421">
        <v>2.7719735522919689E-2</v>
      </c>
      <c r="D421">
        <v>4.4524769466385743E-3</v>
      </c>
      <c r="E421">
        <v>-16104.543457088042</v>
      </c>
      <c r="F421">
        <v>-71.705108478823604</v>
      </c>
      <c r="G421">
        <v>0</v>
      </c>
      <c r="M421" s="25">
        <f t="shared" si="11"/>
        <v>3.77</v>
      </c>
    </row>
    <row r="422" spans="1:13" ht="15" customHeight="1" x14ac:dyDescent="0.25">
      <c r="A422" s="29">
        <v>3.78</v>
      </c>
      <c r="B422">
        <v>1.5921655393853987E-2</v>
      </c>
      <c r="C422">
        <v>2.7702998803424427E-2</v>
      </c>
      <c r="D422">
        <v>4.433616147823222E-3</v>
      </c>
      <c r="E422">
        <v>-16189.319004049066</v>
      </c>
      <c r="F422">
        <v>-71.777226158613303</v>
      </c>
      <c r="G422">
        <v>0</v>
      </c>
      <c r="M422" s="25">
        <f t="shared" si="11"/>
        <v>3.78</v>
      </c>
    </row>
    <row r="423" spans="1:13" ht="15" customHeight="1" x14ac:dyDescent="0.25">
      <c r="A423" s="29">
        <v>3.79</v>
      </c>
      <c r="B423">
        <v>1.5854355520381412E-2</v>
      </c>
      <c r="C423">
        <v>2.7686327589229245E-2</v>
      </c>
      <c r="D423">
        <v>4.4148755207719893E-3</v>
      </c>
      <c r="E423">
        <v>-16274.271834359062</v>
      </c>
      <c r="F423">
        <v>-71.848884339900877</v>
      </c>
      <c r="G423">
        <v>0</v>
      </c>
      <c r="M423" s="25">
        <f t="shared" si="11"/>
        <v>3.79</v>
      </c>
    </row>
    <row r="424" spans="1:13" ht="15" customHeight="1" x14ac:dyDescent="0.25">
      <c r="A424" s="29">
        <v>3.8</v>
      </c>
      <c r="B424">
        <v>1.5787483430801778E-2</v>
      </c>
      <c r="C424">
        <v>2.7669721575500676E-2</v>
      </c>
      <c r="D424">
        <v>4.3962540163577308E-3</v>
      </c>
      <c r="E424">
        <v>-16359.402065169863</v>
      </c>
      <c r="F424">
        <v>-71.920087034213964</v>
      </c>
      <c r="G424">
        <v>0</v>
      </c>
      <c r="M424" s="25">
        <f t="shared" si="11"/>
        <v>3.8</v>
      </c>
    </row>
    <row r="425" spans="1:13" ht="15" customHeight="1" x14ac:dyDescent="0.25">
      <c r="A425" s="29">
        <v>3.81</v>
      </c>
      <c r="B425">
        <v>1.5721035402145173E-2</v>
      </c>
      <c r="C425">
        <v>2.7653180458883143E-2</v>
      </c>
      <c r="D425">
        <v>4.377750597865414E-3</v>
      </c>
      <c r="E425">
        <v>-16444.709810723994</v>
      </c>
      <c r="F425">
        <v>-71.990838205620207</v>
      </c>
      <c r="G425">
        <v>0</v>
      </c>
      <c r="M425" s="25">
        <f t="shared" si="11"/>
        <v>3.81</v>
      </c>
    </row>
    <row r="426" spans="1:13" ht="15" customHeight="1" x14ac:dyDescent="0.25">
      <c r="A426" s="29">
        <v>3.82</v>
      </c>
      <c r="B426">
        <v>1.5655007755367347E-2</v>
      </c>
      <c r="C426">
        <v>2.763670393749117E-2</v>
      </c>
      <c r="D426">
        <v>4.3593642408117413E-3</v>
      </c>
      <c r="E426">
        <v>-16530.195182313739</v>
      </c>
      <c r="F426">
        <v>-72.061141771417041</v>
      </c>
      <c r="G426">
        <v>0</v>
      </c>
      <c r="M426" s="25">
        <f t="shared" si="11"/>
        <v>3.82</v>
      </c>
    </row>
    <row r="427" spans="1:13" ht="15" customHeight="1" x14ac:dyDescent="0.25">
      <c r="A427" s="29">
        <v>3.83</v>
      </c>
      <c r="B427">
        <v>1.5589396854712785E-2</v>
      </c>
      <c r="C427">
        <v>2.7620291710901596E-2</v>
      </c>
      <c r="D427">
        <v>4.3410939327677934E-3</v>
      </c>
      <c r="E427">
        <v>-16615.858288240383</v>
      </c>
      <c r="F427">
        <v>-72.131001602809775</v>
      </c>
      <c r="G427">
        <v>0</v>
      </c>
      <c r="M427" s="25">
        <f t="shared" si="11"/>
        <v>3.83</v>
      </c>
    </row>
    <row r="428" spans="1:13" ht="15" customHeight="1" x14ac:dyDescent="0.25">
      <c r="A428" s="29">
        <v>3.84</v>
      </c>
      <c r="B428">
        <v>1.5524199107088235E-2</v>
      </c>
      <c r="C428">
        <v>2.7603943480145811E-2</v>
      </c>
      <c r="D428">
        <v>4.3229386731845785E-3</v>
      </c>
      <c r="E428">
        <v>-16701.69923377395</v>
      </c>
      <c r="F428">
        <v>-72.200421525578648</v>
      </c>
      <c r="G428">
        <v>0</v>
      </c>
      <c r="M428" s="25">
        <f t="shared" ref="M428:M491" si="12">A428</f>
        <v>3.84</v>
      </c>
    </row>
    <row r="429" spans="1:13" ht="15" customHeight="1" x14ac:dyDescent="0.25">
      <c r="A429" s="29">
        <v>3.85</v>
      </c>
      <c r="B429">
        <v>1.5459410961446584E-2</v>
      </c>
      <c r="C429">
        <v>2.758765894770198E-2</v>
      </c>
      <c r="D429">
        <v>4.3048974732214623E-3</v>
      </c>
      <c r="E429">
        <v>-16787.718121113328</v>
      </c>
      <c r="F429">
        <v>-72.269405320734919</v>
      </c>
      <c r="G429">
        <v>0</v>
      </c>
      <c r="M429" s="25">
        <f t="shared" si="12"/>
        <v>3.85</v>
      </c>
    </row>
    <row r="430" spans="1:13" ht="15" customHeight="1" x14ac:dyDescent="0.25">
      <c r="A430" s="29">
        <v>3.86</v>
      </c>
      <c r="B430">
        <v>1.5395028908180867E-2</v>
      </c>
      <c r="C430">
        <v>2.7571437817487308E-2</v>
      </c>
      <c r="D430">
        <v>4.2869693555774215E-3</v>
      </c>
      <c r="E430">
        <v>-16873.915049346713</v>
      </c>
      <c r="F430">
        <v>-72.337956725166038</v>
      </c>
      <c r="G430">
        <v>0</v>
      </c>
      <c r="M430" s="25">
        <f t="shared" si="12"/>
        <v>3.86</v>
      </c>
    </row>
    <row r="431" spans="1:13" ht="15" customHeight="1" x14ac:dyDescent="0.25">
      <c r="A431" s="29">
        <v>3.87</v>
      </c>
      <c r="B431">
        <v>1.5331049478528251E-2</v>
      </c>
      <c r="C431">
        <v>2.7555279794850302E-2</v>
      </c>
      <c r="D431">
        <v>4.2691533543250731E-3</v>
      </c>
      <c r="E431">
        <v>-16960.290114412444</v>
      </c>
      <c r="F431">
        <v>-72.406079432270261</v>
      </c>
      <c r="G431">
        <v>0</v>
      </c>
      <c r="M431" s="25">
        <f t="shared" si="12"/>
        <v>3.87</v>
      </c>
    </row>
    <row r="432" spans="1:13" ht="15" customHeight="1" x14ac:dyDescent="0.25">
      <c r="A432" s="29">
        <v>3.88</v>
      </c>
      <c r="B432">
        <v>1.5267469243983785E-2</v>
      </c>
      <c r="C432">
        <v>2.7539184586563122E-2</v>
      </c>
      <c r="D432">
        <v>4.2514485147474284E-3</v>
      </c>
      <c r="E432">
        <v>-17046.843409060177</v>
      </c>
      <c r="F432">
        <v>-72.473777092580875</v>
      </c>
      <c r="G432">
        <v>0</v>
      </c>
      <c r="M432" s="25">
        <f t="shared" si="12"/>
        <v>3.88</v>
      </c>
    </row>
    <row r="433" spans="1:13" ht="15" customHeight="1" x14ac:dyDescent="0.25">
      <c r="A433" s="29">
        <v>3.89</v>
      </c>
      <c r="B433">
        <v>1.5204284815723708E-2</v>
      </c>
      <c r="C433">
        <v>2.7523151900813853E-2</v>
      </c>
      <c r="D433">
        <v>4.2338538931772996E-3</v>
      </c>
      <c r="E433">
        <v>-17133.575022812554</v>
      </c>
      <c r="F433">
        <v>-72.541053314380278</v>
      </c>
      <c r="G433">
        <v>0</v>
      </c>
      <c r="M433" s="25">
        <f t="shared" si="12"/>
        <v>3.89</v>
      </c>
    </row>
    <row r="434" spans="1:13" ht="15" customHeight="1" x14ac:dyDescent="0.25">
      <c r="A434" s="29">
        <v>3.9</v>
      </c>
      <c r="B434">
        <v>1.5141492844038221E-2</v>
      </c>
      <c r="C434">
        <v>2.7507181447198888E-2</v>
      </c>
      <c r="D434">
        <v>4.2163685568393523E-3</v>
      </c>
      <c r="E434">
        <v>-17220.485041927117</v>
      </c>
      <c r="F434">
        <v>-72.607911664303884</v>
      </c>
      <c r="G434">
        <v>0</v>
      </c>
      <c r="M434" s="25">
        <f t="shared" si="12"/>
        <v>3.9</v>
      </c>
    </row>
    <row r="435" spans="1:13" ht="15" customHeight="1" x14ac:dyDescent="0.25">
      <c r="A435" s="29">
        <v>3.91</v>
      </c>
      <c r="B435">
        <v>1.5079090017773498E-2</v>
      </c>
      <c r="C435">
        <v>2.7491272936715258E-2</v>
      </c>
      <c r="D435">
        <v>4.1989915836947202E-3</v>
      </c>
      <c r="E435">
        <v>-17307.573549358629</v>
      </c>
      <c r="F435">
        <v>-72.674355667934236</v>
      </c>
      <c r="G435">
        <v>0</v>
      </c>
      <c r="M435" s="25">
        <f t="shared" si="12"/>
        <v>3.91</v>
      </c>
    </row>
    <row r="436" spans="1:13" ht="15" customHeight="1" x14ac:dyDescent="0.25">
      <c r="A436" s="29">
        <v>3.92</v>
      </c>
      <c r="B436">
        <v>1.5017073063782773E-2</v>
      </c>
      <c r="C436">
        <v>2.7475426081753108E-2</v>
      </c>
      <c r="D436">
        <v>4.181722062288157E-3</v>
      </c>
      <c r="E436">
        <v>-17394.840624721826</v>
      </c>
      <c r="F436">
        <v>-72.740388810385568</v>
      </c>
      <c r="G436">
        <v>0</v>
      </c>
      <c r="M436" s="25">
        <f t="shared" si="12"/>
        <v>3.92</v>
      </c>
    </row>
    <row r="437" spans="1:13" ht="15" customHeight="1" x14ac:dyDescent="0.25">
      <c r="A437" s="29">
        <v>3.93</v>
      </c>
      <c r="B437">
        <v>1.4955438746386307E-2</v>
      </c>
      <c r="C437">
        <v>2.7459640596088058E-2</v>
      </c>
      <c r="D437">
        <v>4.1645590915976522E-3</v>
      </c>
      <c r="E437">
        <v>-17482.286344254528</v>
      </c>
      <c r="F437">
        <v>-72.806014536878678</v>
      </c>
      <c r="G437">
        <v>0</v>
      </c>
      <c r="M437" s="25">
        <f t="shared" si="12"/>
        <v>3.93</v>
      </c>
    </row>
    <row r="438" spans="1:13" ht="15" customHeight="1" x14ac:dyDescent="0.25">
      <c r="A438" s="29">
        <v>3.94</v>
      </c>
      <c r="B438">
        <v>1.4894183866840226E-2</v>
      </c>
      <c r="C438">
        <v>2.7443916194873661E-2</v>
      </c>
      <c r="D438">
        <v>4.1475017808865243E-3</v>
      </c>
      <c r="E438">
        <v>-17569.910780781007</v>
      </c>
      <c r="F438">
        <v>-72.871236253306577</v>
      </c>
      <c r="G438">
        <v>0</v>
      </c>
      <c r="M438" s="25">
        <f t="shared" si="12"/>
        <v>3.94</v>
      </c>
    </row>
    <row r="439" spans="1:13" ht="15" customHeight="1" x14ac:dyDescent="0.25">
      <c r="A439" s="29">
        <v>3.95</v>
      </c>
      <c r="B439">
        <v>1.4833305262813812E-2</v>
      </c>
      <c r="C439">
        <v>2.7428252594633943E-2</v>
      </c>
      <c r="D439">
        <v>4.1305492495578638E-3</v>
      </c>
      <c r="E439">
        <v>-17657.714003675937</v>
      </c>
      <c r="F439">
        <v>-72.936057326791015</v>
      </c>
      <c r="G439">
        <v>0</v>
      </c>
      <c r="M439" s="25">
        <f t="shared" si="12"/>
        <v>3.95</v>
      </c>
    </row>
    <row r="440" spans="1:13" ht="15" customHeight="1" x14ac:dyDescent="0.25">
      <c r="A440" s="29">
        <v>3.96</v>
      </c>
      <c r="B440">
        <v>1.4772799807875353E-2</v>
      </c>
      <c r="C440">
        <v>2.7412649513255869E-2</v>
      </c>
      <c r="D440">
        <v>4.1137006270113609E-3</v>
      </c>
      <c r="E440">
        <v>-17745.696078828525</v>
      </c>
      <c r="F440">
        <v>-73.000481086229954</v>
      </c>
      <c r="G440">
        <v>0</v>
      </c>
      <c r="M440" s="25">
        <f t="shared" si="12"/>
        <v>3.96</v>
      </c>
    </row>
    <row r="441" spans="1:13" ht="15" customHeight="1" x14ac:dyDescent="0.25">
      <c r="A441" s="29">
        <v>3.97</v>
      </c>
      <c r="B441">
        <v>1.4712664410986233E-2</v>
      </c>
      <c r="C441">
        <v>2.7397106669981863E-2</v>
      </c>
      <c r="D441">
        <v>4.0969550525024262E-3</v>
      </c>
      <c r="E441">
        <v>-17833.857068607151</v>
      </c>
      <c r="F441">
        <v>-73.064510822836169</v>
      </c>
      <c r="G441">
        <v>0</v>
      </c>
      <c r="M441" s="25">
        <f t="shared" si="12"/>
        <v>3.97</v>
      </c>
    </row>
    <row r="442" spans="1:13" ht="15" customHeight="1" x14ac:dyDescent="0.25">
      <c r="A442" s="29">
        <v>3.98</v>
      </c>
      <c r="B442">
        <v>1.4652896016003166E-2</v>
      </c>
      <c r="C442">
        <v>2.7381623785402476E-2</v>
      </c>
      <c r="D442">
        <v>4.0803116750035831E-3</v>
      </c>
      <c r="E442">
        <v>-17922.197031824326</v>
      </c>
      <c r="F442">
        <v>-73.128149790667351</v>
      </c>
      <c r="G442">
        <v>0</v>
      </c>
      <c r="M442" s="25">
        <f t="shared" si="12"/>
        <v>3.98</v>
      </c>
    </row>
    <row r="443" spans="1:13" ht="15" customHeight="1" x14ac:dyDescent="0.25">
      <c r="A443" s="29">
        <v>3.99</v>
      </c>
      <c r="B443">
        <v>1.4593491601188448E-2</v>
      </c>
      <c r="C443">
        <v>2.7366200581448907E-2</v>
      </c>
      <c r="D443">
        <v>4.0637696530680884E-3</v>
      </c>
      <c r="E443">
        <v>-18010.716023702043</v>
      </c>
      <c r="F443">
        <v>-73.191401207147521</v>
      </c>
      <c r="G443">
        <v>0</v>
      </c>
      <c r="M443" s="25">
        <f t="shared" si="12"/>
        <v>3.99</v>
      </c>
    </row>
    <row r="444" spans="1:13" ht="15" customHeight="1" x14ac:dyDescent="0.25">
      <c r="A444" s="29">
        <v>4</v>
      </c>
      <c r="B444">
        <v>1.4534448178728109E-2</v>
      </c>
      <c r="C444">
        <v>2.7350836781385706E-2</v>
      </c>
      <c r="D444">
        <v>4.0473281546957547E-3</v>
      </c>
      <c r="E444">
        <v>-18099.414095837426</v>
      </c>
      <c r="F444">
        <v>-73.254268253580022</v>
      </c>
      <c r="G444">
        <v>0</v>
      </c>
      <c r="M444" s="25">
        <f t="shared" si="12"/>
        <v>4</v>
      </c>
    </row>
    <row r="445" spans="1:13" ht="15" customHeight="1" x14ac:dyDescent="0.25">
      <c r="A445" s="29">
        <v>4.01</v>
      </c>
      <c r="B445">
        <v>1.4475762794257654E-2</v>
      </c>
      <c r="C445">
        <v>2.7335532109803374E-2</v>
      </c>
      <c r="D445">
        <v>4.0309863572008872E-3</v>
      </c>
      <c r="E445">
        <v>-18188.291296168933</v>
      </c>
      <c r="F445">
        <v>-73.316754075652611</v>
      </c>
      <c r="G445">
        <v>0</v>
      </c>
      <c r="M445" s="25">
        <f t="shared" si="12"/>
        <v>4.01</v>
      </c>
    </row>
    <row r="446" spans="1:13" ht="15" customHeight="1" x14ac:dyDescent="0.25">
      <c r="A446" s="29">
        <v>4.0199999999999996</v>
      </c>
      <c r="B446">
        <v>1.4417432526395527E-2</v>
      </c>
      <c r="C446">
        <v>2.7320286292611188E-2</v>
      </c>
      <c r="D446">
        <v>4.0147434470823697E-3</v>
      </c>
      <c r="E446">
        <v>-18277.347668942748</v>
      </c>
      <c r="F446">
        <v>-73.378861783934113</v>
      </c>
      <c r="G446">
        <v>0</v>
      </c>
      <c r="M446" s="25">
        <f t="shared" si="12"/>
        <v>4.0199999999999996</v>
      </c>
    </row>
    <row r="447" spans="1:13" ht="15" customHeight="1" x14ac:dyDescent="0.25">
      <c r="A447" s="29">
        <v>4.03</v>
      </c>
      <c r="B447">
        <v>1.4359454486283937E-2</v>
      </c>
      <c r="C447">
        <v>2.7305099057029811E-2</v>
      </c>
      <c r="D447">
        <v>3.9985986198958004E-3</v>
      </c>
      <c r="E447">
        <v>-18366.583254679659</v>
      </c>
      <c r="F447">
        <v>-73.440594454363392</v>
      </c>
      <c r="G447">
        <v>0</v>
      </c>
      <c r="M447" s="25">
        <f t="shared" si="12"/>
        <v>4.03</v>
      </c>
    </row>
    <row r="448" spans="1:13" ht="15" customHeight="1" x14ac:dyDescent="0.25">
      <c r="A448" s="29">
        <v>4.04</v>
      </c>
      <c r="B448">
        <v>1.4301825817137064E-2</v>
      </c>
      <c r="C448">
        <v>2.7289970131584178E-2</v>
      </c>
      <c r="D448">
        <v>3.9825510801276822E-3</v>
      </c>
      <c r="E448">
        <v>-18455.998090142228</v>
      </c>
      <c r="F448">
        <v>-73.501955128730373</v>
      </c>
      <c r="G448">
        <v>0</v>
      </c>
      <c r="M448" s="25">
        <f t="shared" si="12"/>
        <v>4.04</v>
      </c>
    </row>
    <row r="449" spans="1:13" ht="15" customHeight="1" x14ac:dyDescent="0.25">
      <c r="A449" s="29">
        <v>4.05</v>
      </c>
      <c r="B449">
        <v>1.424454369379635E-2</v>
      </c>
      <c r="C449">
        <v>2.7274899246096281E-2</v>
      </c>
      <c r="D449">
        <v>3.9666000410715913E-3</v>
      </c>
      <c r="E449">
        <v>-18545.592208302452</v>
      </c>
      <c r="F449">
        <v>-73.562946815149488</v>
      </c>
      <c r="G449">
        <v>0</v>
      </c>
      <c r="M449" s="25">
        <f t="shared" si="12"/>
        <v>4.05</v>
      </c>
    </row>
    <row r="450" spans="1:13" ht="15" customHeight="1" x14ac:dyDescent="0.25">
      <c r="A450" s="29">
        <v>4.0599999999999996</v>
      </c>
      <c r="B450">
        <v>1.4187605322292941E-2</v>
      </c>
      <c r="C450">
        <v>2.7259886131677985E-2</v>
      </c>
      <c r="D450">
        <v>3.950744724706327E-3</v>
      </c>
      <c r="E450">
        <v>-18635.365638309733</v>
      </c>
      <c r="F450">
        <v>-73.623572488525738</v>
      </c>
      <c r="G450">
        <v>0</v>
      </c>
      <c r="M450" s="25">
        <f t="shared" si="12"/>
        <v>4.0599999999999996</v>
      </c>
    </row>
    <row r="451" spans="1:13" ht="15" customHeight="1" x14ac:dyDescent="0.25">
      <c r="A451" s="29">
        <v>4.07</v>
      </c>
      <c r="B451">
        <v>1.4131007939417045E-2</v>
      </c>
      <c r="C451">
        <v>2.7244930520723944E-2</v>
      </c>
      <c r="D451">
        <v>3.9349843615759973E-3</v>
      </c>
      <c r="E451">
        <v>-18725.318405459177</v>
      </c>
      <c r="F451">
        <v>-73.683835091013037</v>
      </c>
      <c r="G451">
        <v>0</v>
      </c>
      <c r="M451" s="25">
        <f t="shared" si="12"/>
        <v>4.07</v>
      </c>
    </row>
    <row r="452" spans="1:13" ht="15" customHeight="1" x14ac:dyDescent="0.25">
      <c r="A452" s="29">
        <v>4.08</v>
      </c>
      <c r="B452">
        <v>1.4074748812294103E-2</v>
      </c>
      <c r="C452">
        <v>2.7230032146904563E-2</v>
      </c>
      <c r="D452">
        <v>3.919318190671997E-3</v>
      </c>
      <c r="E452">
        <v>-18815.450531160292</v>
      </c>
      <c r="F452">
        <v>-73.743737532465616</v>
      </c>
      <c r="G452">
        <v>0</v>
      </c>
      <c r="M452" s="25">
        <f t="shared" si="12"/>
        <v>4.08</v>
      </c>
    </row>
    <row r="453" spans="1:13" ht="15" customHeight="1" x14ac:dyDescent="0.25">
      <c r="A453" s="29">
        <v>4.09</v>
      </c>
      <c r="B453">
        <v>1.401882523796758E-2</v>
      </c>
      <c r="C453">
        <v>2.7215190745158883E-2</v>
      </c>
      <c r="D453">
        <v>3.9037454593168282E-3</v>
      </c>
      <c r="E453">
        <v>-18905.762032906234</v>
      </c>
      <c r="F453">
        <v>-73.80328269088217</v>
      </c>
      <c r="G453">
        <v>0</v>
      </c>
      <c r="M453" s="25">
        <f t="shared" si="12"/>
        <v>4.09</v>
      </c>
    </row>
    <row r="454" spans="1:13" ht="15" customHeight="1" x14ac:dyDescent="0.25">
      <c r="A454" s="29">
        <v>4.0999999999999996</v>
      </c>
      <c r="B454">
        <v>1.3963234542988465E-2</v>
      </c>
      <c r="C454">
        <v>2.7200406051687633E-2</v>
      </c>
      <c r="D454">
        <v>3.8882654230497915E-3</v>
      </c>
      <c r="E454">
        <v>-18996.252924243126</v>
      </c>
      <c r="F454">
        <v>-73.86247341284303</v>
      </c>
      <c r="G454">
        <v>0</v>
      </c>
      <c r="M454" s="25">
        <f t="shared" si="12"/>
        <v>4.0999999999999996</v>
      </c>
    </row>
    <row r="455" spans="1:13" ht="15" customHeight="1" x14ac:dyDescent="0.25">
      <c r="A455" s="29">
        <v>4.1100000000000003</v>
      </c>
      <c r="B455">
        <v>1.3907974083011148E-2</v>
      </c>
      <c r="C455">
        <v>2.7185677803946293E-2</v>
      </c>
      <c r="D455">
        <v>3.8728773455144528E-3</v>
      </c>
      <c r="E455">
        <v>-19086.923214739978</v>
      </c>
      <c r="F455">
        <v>-73.92131251394035</v>
      </c>
      <c r="G455">
        <v>0</v>
      </c>
      <c r="M455" s="25">
        <f t="shared" si="12"/>
        <v>4.1100000000000003</v>
      </c>
    </row>
    <row r="456" spans="1:13" ht="15" customHeight="1" x14ac:dyDescent="0.25">
      <c r="A456" s="29">
        <v>4.12</v>
      </c>
      <c r="B456">
        <v>1.3853041242395659E-2</v>
      </c>
      <c r="C456">
        <v>2.7171005740638104E-2</v>
      </c>
      <c r="D456">
        <v>3.8575804983478792E-3</v>
      </c>
      <c r="E456">
        <v>-19177.772909958901</v>
      </c>
      <c r="F456">
        <v>-73.979802779201705</v>
      </c>
      <c r="G456">
        <v>0</v>
      </c>
      <c r="M456" s="25">
        <f t="shared" si="12"/>
        <v>4.12</v>
      </c>
    </row>
    <row r="457" spans="1:13" ht="15" customHeight="1" x14ac:dyDescent="0.25">
      <c r="A457" s="29">
        <v>4.13</v>
      </c>
      <c r="B457">
        <v>1.379843343381614E-2</v>
      </c>
      <c r="C457">
        <v>2.7156389601707225E-2</v>
      </c>
      <c r="D457">
        <v>3.8423741610716152E-3</v>
      </c>
      <c r="E457">
        <v>-19268.802011425716</v>
      </c>
      <c r="F457">
        <v>-74.03794696350694</v>
      </c>
      <c r="G457">
        <v>0</v>
      </c>
      <c r="M457" s="25">
        <f t="shared" si="12"/>
        <v>4.13</v>
      </c>
    </row>
    <row r="458" spans="1:13" ht="15" customHeight="1" x14ac:dyDescent="0.25">
      <c r="A458" s="29">
        <v>4.1399999999999997</v>
      </c>
      <c r="B458">
        <v>1.3744148097875487E-2</v>
      </c>
      <c r="C458">
        <v>2.7141829128331893E-2</v>
      </c>
      <c r="D458">
        <v>3.8272576209843704E-3</v>
      </c>
      <c r="E458">
        <v>-19360.010516600942</v>
      </c>
      <c r="F458">
        <v>-74.095747791998505</v>
      </c>
      <c r="G458">
        <v>0</v>
      </c>
      <c r="M458" s="25">
        <f t="shared" si="12"/>
        <v>4.1399999999999997</v>
      </c>
    </row>
    <row r="459" spans="1:13" ht="15" customHeight="1" x14ac:dyDescent="0.25">
      <c r="A459" s="29">
        <v>4.1500000000000004</v>
      </c>
      <c r="B459">
        <v>1.3690182702725959E-2</v>
      </c>
      <c r="C459">
        <v>2.712732406291761E-2</v>
      </c>
      <c r="D459">
        <v>3.8122301730563767E-3</v>
      </c>
      <c r="E459">
        <v>-19451.398418851139</v>
      </c>
      <c r="F459">
        <v>-74.153207960485403</v>
      </c>
      <c r="G459">
        <v>0</v>
      </c>
      <c r="M459" s="25">
        <f t="shared" si="12"/>
        <v>4.1500000000000004</v>
      </c>
    </row>
    <row r="460" spans="1:13" ht="15" customHeight="1" x14ac:dyDescent="0.25">
      <c r="A460" s="29">
        <v>4.16</v>
      </c>
      <c r="B460">
        <v>1.3636534743695793E-2</v>
      </c>
      <c r="C460">
        <v>2.7112874149090388E-2</v>
      </c>
      <c r="D460">
        <v>3.7972911198254091E-3</v>
      </c>
      <c r="E460">
        <v>-19542.965707420601</v>
      </c>
      <c r="F460">
        <v>-74.210330135840721</v>
      </c>
      <c r="G460">
        <v>0</v>
      </c>
      <c r="M460" s="25">
        <f t="shared" si="12"/>
        <v>4.16</v>
      </c>
    </row>
    <row r="461" spans="1:13" ht="15" customHeight="1" x14ac:dyDescent="0.25">
      <c r="A461" s="29">
        <v>4.17</v>
      </c>
      <c r="B461">
        <v>1.358320174292151E-2</v>
      </c>
      <c r="C461">
        <v>2.7098479131689966E-2</v>
      </c>
      <c r="D461">
        <v>3.782439771294401E-3</v>
      </c>
      <c r="E461">
        <v>-19634.712367403557</v>
      </c>
      <c r="F461">
        <v>-74.267116956393252</v>
      </c>
      <c r="G461">
        <v>0</v>
      </c>
      <c r="M461" s="25">
        <f t="shared" si="12"/>
        <v>4.17</v>
      </c>
    </row>
    <row r="462" spans="1:13" ht="15" customHeight="1" x14ac:dyDescent="0.25">
      <c r="A462" s="29">
        <v>4.18</v>
      </c>
      <c r="B462">
        <v>1.3530181248986068E-2</v>
      </c>
      <c r="C462">
        <v>2.7084138756763226E-2</v>
      </c>
      <c r="D462">
        <v>3.7676754448306795E-3</v>
      </c>
      <c r="E462">
        <v>-19726.638379716573</v>
      </c>
      <c r="F462">
        <v>-74.323571032312586</v>
      </c>
      <c r="G462">
        <v>0</v>
      </c>
      <c r="M462" s="25">
        <f t="shared" si="12"/>
        <v>4.18</v>
      </c>
    </row>
    <row r="463" spans="1:13" ht="15" customHeight="1" x14ac:dyDescent="0.25">
      <c r="A463" s="29">
        <v>4.1900000000000004</v>
      </c>
      <c r="B463">
        <v>1.3477470836562561E-2</v>
      </c>
      <c r="C463">
        <v>2.7069852771557441E-2</v>
      </c>
      <c r="D463">
        <v>3.7529974650667474E-3</v>
      </c>
      <c r="E463">
        <v>-19818.743721071452</v>
      </c>
      <c r="F463">
        <v>-74.379694945988689</v>
      </c>
      <c r="G463">
        <v>0</v>
      </c>
      <c r="M463" s="25">
        <f t="shared" si="12"/>
        <v>4.1900000000000004</v>
      </c>
    </row>
    <row r="464" spans="1:13" ht="15" customHeight="1" x14ac:dyDescent="0.25">
      <c r="A464" s="29">
        <v>4.2</v>
      </c>
      <c r="B464">
        <v>1.3425068106063474E-2</v>
      </c>
      <c r="C464">
        <v>2.7055620924513742E-2</v>
      </c>
      <c r="D464">
        <v>3.7384051638026175E-3</v>
      </c>
      <c r="E464">
        <v>-19911.02836394843</v>
      </c>
      <c r="F464">
        <v>-74.435491252405185</v>
      </c>
      <c r="G464">
        <v>0</v>
      </c>
      <c r="M464" s="25">
        <f t="shared" si="12"/>
        <v>4.2</v>
      </c>
    </row>
    <row r="465" spans="1:13" ht="15" customHeight="1" x14ac:dyDescent="0.25">
      <c r="A465" s="29">
        <v>4.21</v>
      </c>
      <c r="B465">
        <v>1.3372970683295319E-2</v>
      </c>
      <c r="C465">
        <v>2.7041442965260537E-2</v>
      </c>
      <c r="D465">
        <v>3.7238978799096355E-3</v>
      </c>
      <c r="E465">
        <v>-20003.492276569854</v>
      </c>
      <c r="F465">
        <v>-74.490962479507246</v>
      </c>
      <c r="G465">
        <v>0</v>
      </c>
      <c r="M465" s="25">
        <f t="shared" si="12"/>
        <v>4.21</v>
      </c>
    </row>
    <row r="466" spans="1:13" ht="15" customHeight="1" x14ac:dyDescent="0.25">
      <c r="A466" s="29">
        <v>4.22</v>
      </c>
      <c r="B466">
        <v>1.3321176219118684E-2</v>
      </c>
      <c r="C466">
        <v>2.7027318644606942E-2</v>
      </c>
      <c r="D466">
        <v>3.70947495923582E-3</v>
      </c>
      <c r="E466">
        <v>-20096.135422874089</v>
      </c>
      <c r="F466">
        <v>-74.546111128563382</v>
      </c>
      <c r="G466">
        <v>0</v>
      </c>
      <c r="M466" s="25">
        <f t="shared" si="12"/>
        <v>4.22</v>
      </c>
    </row>
    <row r="467" spans="1:13" ht="15" customHeight="1" x14ac:dyDescent="0.25">
      <c r="A467" s="29">
        <v>4.2300000000000004</v>
      </c>
      <c r="B467">
        <v>1.3269682389113443E-2</v>
      </c>
      <c r="C467">
        <v>2.7013247714536361E-2</v>
      </c>
      <c r="D467">
        <v>3.6951357545126334E-3</v>
      </c>
      <c r="E467">
        <v>-20188.957762489987</v>
      </c>
      <c r="F467">
        <v>-74.600939674522095</v>
      </c>
      <c r="G467">
        <v>0</v>
      </c>
      <c r="M467" s="25">
        <f t="shared" si="12"/>
        <v>4.2300000000000004</v>
      </c>
    </row>
    <row r="468" spans="1:13" ht="15" customHeight="1" x14ac:dyDescent="0.25">
      <c r="A468" s="29">
        <v>4.24</v>
      </c>
      <c r="B468">
        <v>1.3218486893249209E-2</v>
      </c>
      <c r="C468">
        <v>2.6999229928199999E-2</v>
      </c>
      <c r="D468">
        <v>3.6808796252632151E-3</v>
      </c>
      <c r="E468">
        <v>-20281.959250711476</v>
      </c>
      <c r="F468">
        <v>-74.65545056636266</v>
      </c>
      <c r="G468">
        <v>0</v>
      </c>
      <c r="M468" s="25">
        <f t="shared" si="12"/>
        <v>4.24</v>
      </c>
    </row>
    <row r="469" spans="1:13" ht="15" customHeight="1" x14ac:dyDescent="0.25">
      <c r="A469" s="29">
        <v>4.25</v>
      </c>
      <c r="B469">
        <v>1.3167587455560761E-2</v>
      </c>
      <c r="C469">
        <v>2.6985265039910465E-2</v>
      </c>
      <c r="D469">
        <v>3.6667059377119985E-3</v>
      </c>
      <c r="E469">
        <v>-20375.139838472853</v>
      </c>
      <c r="F469">
        <v>-74.7096462274407</v>
      </c>
      <c r="G469">
        <v>0</v>
      </c>
      <c r="M469" s="25">
        <f t="shared" si="12"/>
        <v>4.25</v>
      </c>
    </row>
    <row r="470" spans="1:13" ht="15" customHeight="1" x14ac:dyDescent="0.25">
      <c r="A470" s="29">
        <v>4.26</v>
      </c>
      <c r="B470">
        <v>1.311698182382851E-2</v>
      </c>
      <c r="C470">
        <v>2.6971352805135403E-2</v>
      </c>
      <c r="D470">
        <v>3.6526140646957351E-3</v>
      </c>
      <c r="E470">
        <v>-20468.499472324169</v>
      </c>
      <c r="F470">
        <v>-74.763529055828485</v>
      </c>
      <c r="G470">
        <v>0</v>
      </c>
      <c r="M470" s="25">
        <f t="shared" si="12"/>
        <v>4.26</v>
      </c>
    </row>
    <row r="471" spans="1:13" ht="15" customHeight="1" x14ac:dyDescent="0.25">
      <c r="A471" s="29">
        <v>4.2699999999999996</v>
      </c>
      <c r="B471">
        <v>1.3066667769263875E-2</v>
      </c>
      <c r="C471">
        <v>2.6957492980491198E-2</v>
      </c>
      <c r="D471">
        <v>3.6386033855758783E-3</v>
      </c>
      <c r="E471">
        <v>-20562.038094407108</v>
      </c>
      <c r="F471">
        <v>-74.817101424649863</v>
      </c>
      <c r="G471">
        <v>0</v>
      </c>
      <c r="M471" s="25">
        <f t="shared" si="12"/>
        <v>4.2699999999999996</v>
      </c>
    </row>
    <row r="472" spans="1:13" ht="15" customHeight="1" x14ac:dyDescent="0.25">
      <c r="A472" s="29">
        <v>4.28</v>
      </c>
      <c r="B472">
        <v>1.3016643086199417E-2</v>
      </c>
      <c r="C472">
        <v>2.6943685323736633E-2</v>
      </c>
      <c r="D472">
        <v>3.6246732861523008E-3</v>
      </c>
      <c r="E472">
        <v>-20655.755642431275</v>
      </c>
      <c r="F472">
        <v>-74.870365682410281</v>
      </c>
      <c r="G472">
        <v>0</v>
      </c>
      <c r="M472" s="25">
        <f t="shared" si="12"/>
        <v>4.28</v>
      </c>
    </row>
    <row r="473" spans="1:13" ht="15" customHeight="1" x14ac:dyDescent="0.25">
      <c r="A473" s="29">
        <v>4.29</v>
      </c>
      <c r="B473">
        <v>1.2966905591783751E-2</v>
      </c>
      <c r="C473">
        <v>2.6929929593766718E-2</v>
      </c>
      <c r="D473">
        <v>3.6108231585783371E-3</v>
      </c>
      <c r="E473">
        <v>-20749.652049650791</v>
      </c>
      <c r="F473">
        <v>-74.923324153321531</v>
      </c>
      <c r="G473">
        <v>0</v>
      </c>
      <c r="M473" s="25">
        <f t="shared" si="12"/>
        <v>4.29</v>
      </c>
    </row>
    <row r="474" spans="1:13" ht="15" customHeight="1" x14ac:dyDescent="0.25">
      <c r="A474" s="29">
        <v>4.3</v>
      </c>
      <c r="B474">
        <v>1.2917453125681105E-2</v>
      </c>
      <c r="C474">
        <v>2.6916225550606451E-2</v>
      </c>
      <c r="D474">
        <v>3.5970524012771204E-3</v>
      </c>
      <c r="E474">
        <v>-20843.727244841288</v>
      </c>
      <c r="F474">
        <v>-74.975979137621692</v>
      </c>
      <c r="G474">
        <v>0</v>
      </c>
      <c r="M474" s="25">
        <f t="shared" si="12"/>
        <v>4.3</v>
      </c>
    </row>
    <row r="475" spans="1:13" ht="15" customHeight="1" x14ac:dyDescent="0.25">
      <c r="A475" s="29">
        <v>4.3099999999999996</v>
      </c>
      <c r="B475">
        <v>1.2868283549775417E-2</v>
      </c>
      <c r="C475">
        <v>2.690257295540463E-2</v>
      </c>
      <c r="D475">
        <v>3.583360418859185E-3</v>
      </c>
      <c r="E475">
        <v>-20937.981152277331</v>
      </c>
      <c r="F475">
        <v>-75.028332911890217</v>
      </c>
      <c r="G475">
        <v>0</v>
      </c>
      <c r="M475" s="25">
        <f t="shared" si="12"/>
        <v>4.3099999999999996</v>
      </c>
    </row>
    <row r="476" spans="1:13" ht="15" customHeight="1" x14ac:dyDescent="0.25">
      <c r="A476" s="29">
        <v>4.32</v>
      </c>
      <c r="B476">
        <v>1.2819394747878972E-2</v>
      </c>
      <c r="C476">
        <v>2.6888971570427776E-2</v>
      </c>
      <c r="D476">
        <v>3.5697466220413316E-3</v>
      </c>
      <c r="E476">
        <v>-21032.413691710139</v>
      </c>
      <c r="F476">
        <v>-75.080387729358108</v>
      </c>
      <c r="G476">
        <v>0</v>
      </c>
      <c r="M476" s="25">
        <f t="shared" si="12"/>
        <v>4.32</v>
      </c>
    </row>
    <row r="477" spans="1:13" ht="15" customHeight="1" x14ac:dyDescent="0.25">
      <c r="A477" s="29">
        <v>4.33</v>
      </c>
      <c r="B477">
        <v>1.2770784625445461E-2</v>
      </c>
      <c r="C477">
        <v>2.687542115905403E-2</v>
      </c>
      <c r="D477">
        <v>3.5562104275667248E-3</v>
      </c>
      <c r="E477">
        <v>-21127.024778345694</v>
      </c>
      <c r="F477">
        <v>-75.132145820213537</v>
      </c>
      <c r="G477">
        <v>0</v>
      </c>
      <c r="M477" s="25">
        <f t="shared" si="12"/>
        <v>4.33</v>
      </c>
    </row>
    <row r="478" spans="1:13" ht="15" customHeight="1" x14ac:dyDescent="0.25">
      <c r="A478" s="29">
        <v>4.34</v>
      </c>
      <c r="B478">
        <v>1.2722451109287346E-2</v>
      </c>
      <c r="C478">
        <v>2.6861921485767121E-2</v>
      </c>
      <c r="D478">
        <v>3.5427512581261895E-3</v>
      </c>
      <c r="E478">
        <v>-21221.814322823306</v>
      </c>
      <c r="F478">
        <v>-75.18360939190265</v>
      </c>
      <c r="G478">
        <v>0</v>
      </c>
      <c r="M478" s="25">
        <f t="shared" si="12"/>
        <v>4.34</v>
      </c>
    </row>
    <row r="479" spans="1:13" ht="15" customHeight="1" x14ac:dyDescent="0.25">
      <c r="A479" s="29">
        <v>4.3499999999999996</v>
      </c>
      <c r="B479">
        <v>1.2674392147297518E-2</v>
      </c>
      <c r="C479">
        <v>2.6848472316150351E-2</v>
      </c>
      <c r="D479">
        <v>3.5293685422807014E-3</v>
      </c>
      <c r="E479">
        <v>-21316.782231194495</v>
      </c>
      <c r="F479">
        <v>-75.234780629426055</v>
      </c>
      <c r="G479">
        <v>0</v>
      </c>
      <c r="M479" s="25">
        <f t="shared" si="12"/>
        <v>4.3499999999999996</v>
      </c>
    </row>
    <row r="480" spans="1:13" ht="15" customHeight="1" x14ac:dyDescent="0.25">
      <c r="A480" s="29">
        <v>4.3600000000000003</v>
      </c>
      <c r="B480">
        <v>1.2626605708175198E-2</v>
      </c>
      <c r="C480">
        <v>2.6835073416880646E-2</v>
      </c>
      <c r="D480">
        <v>3.5160617143850628E-3</v>
      </c>
      <c r="E480">
        <v>-21411.928404902184</v>
      </c>
      <c r="F480">
        <v>-75.285661695630594</v>
      </c>
      <c r="G480">
        <v>0</v>
      </c>
      <c r="M480" s="25">
        <f t="shared" si="12"/>
        <v>4.3600000000000003</v>
      </c>
    </row>
    <row r="481" spans="1:13" ht="15" customHeight="1" x14ac:dyDescent="0.25">
      <c r="A481" s="29">
        <v>4.37</v>
      </c>
      <c r="B481">
        <v>1.257908978115593E-2</v>
      </c>
      <c r="C481">
        <v>2.6821724555722602E-2</v>
      </c>
      <c r="D481">
        <v>3.5028302145127103E-3</v>
      </c>
      <c r="E481">
        <v>-21507.252740760414</v>
      </c>
      <c r="F481">
        <v>-75.336254731496865</v>
      </c>
      <c r="G481">
        <v>0</v>
      </c>
      <c r="M481" s="25">
        <f t="shared" si="12"/>
        <v>4.37</v>
      </c>
    </row>
    <row r="482" spans="1:13" ht="15" customHeight="1" x14ac:dyDescent="0.25">
      <c r="A482" s="29">
        <v>4.38</v>
      </c>
      <c r="B482">
        <v>1.2531842375745615E-2</v>
      </c>
      <c r="C482">
        <v>2.6808425501522681E-2</v>
      </c>
      <c r="D482">
        <v>3.4896734883816585E-3</v>
      </c>
      <c r="E482">
        <v>-21602.755130934351</v>
      </c>
      <c r="F482">
        <v>-75.386561856422446</v>
      </c>
      <c r="G482">
        <v>0</v>
      </c>
      <c r="M482" s="25">
        <f t="shared" si="12"/>
        <v>4.38</v>
      </c>
    </row>
    <row r="483" spans="1:13" ht="15" customHeight="1" x14ac:dyDescent="0.25">
      <c r="A483" s="29">
        <v>4.3899999999999997</v>
      </c>
      <c r="B483">
        <v>1.2484861521458611E-2</v>
      </c>
      <c r="C483">
        <v>2.6795176024203265E-2</v>
      </c>
      <c r="D483">
        <v>3.4765909872815659E-3</v>
      </c>
      <c r="E483">
        <v>-21698.435462920657</v>
      </c>
      <c r="F483">
        <v>-75.43658516850067</v>
      </c>
      <c r="G483">
        <v>0</v>
      </c>
      <c r="M483" s="25">
        <f t="shared" si="12"/>
        <v>4.3899999999999997</v>
      </c>
    </row>
    <row r="484" spans="1:13" ht="15" customHeight="1" x14ac:dyDescent="0.25">
      <c r="A484" s="29">
        <v>4.4000000000000004</v>
      </c>
      <c r="B484">
        <v>1.2438145267559689E-2</v>
      </c>
      <c r="C484">
        <v>2.6781975894756928E-2</v>
      </c>
      <c r="D484">
        <v>3.4635821680018808E-3</v>
      </c>
      <c r="E484">
        <v>-21794.293619528322</v>
      </c>
      <c r="F484">
        <v>-75.486326744795463</v>
      </c>
      <c r="G484">
        <v>0</v>
      </c>
      <c r="M484" s="25">
        <f t="shared" si="12"/>
        <v>4.4000000000000004</v>
      </c>
    </row>
    <row r="485" spans="1:13" ht="15" customHeight="1" x14ac:dyDescent="0.25">
      <c r="A485" s="29">
        <v>4.41</v>
      </c>
      <c r="B485">
        <v>1.2391691682809946E-2</v>
      </c>
      <c r="C485">
        <v>2.6768824885240669E-2</v>
      </c>
      <c r="D485">
        <v>3.4506464927610862E-3</v>
      </c>
      <c r="E485">
        <v>-21890.329478859694</v>
      </c>
      <c r="F485">
        <v>-75.535788641611816</v>
      </c>
      <c r="G485">
        <v>0</v>
      </c>
      <c r="M485" s="25">
        <f t="shared" si="12"/>
        <v>4.41</v>
      </c>
    </row>
    <row r="486" spans="1:13" ht="15" customHeight="1" x14ac:dyDescent="0.25">
      <c r="A486" s="29">
        <v>4.42</v>
      </c>
      <c r="B486">
        <v>1.2345498855216406E-2</v>
      </c>
      <c r="C486">
        <v>2.6755722768770134E-2</v>
      </c>
      <c r="D486">
        <v>3.4377834291369745E-3</v>
      </c>
      <c r="E486">
        <v>-21986.542914292146</v>
      </c>
      <c r="F486">
        <v>-75.584972894762501</v>
      </c>
      <c r="G486">
        <v>0</v>
      </c>
      <c r="M486" s="25">
        <f t="shared" si="12"/>
        <v>4.42</v>
      </c>
    </row>
    <row r="487" spans="1:13" ht="15" customHeight="1" x14ac:dyDescent="0.25">
      <c r="A487" s="29">
        <v>4.43</v>
      </c>
      <c r="B487">
        <v>1.2299564891785436E-2</v>
      </c>
      <c r="C487">
        <v>2.6742669319513968E-2</v>
      </c>
      <c r="D487">
        <v>3.4249924499979781E-3</v>
      </c>
      <c r="E487">
        <v>-22082.933794459936</v>
      </c>
      <c r="F487">
        <v>-75.633881519830481</v>
      </c>
      <c r="G487">
        <v>0</v>
      </c>
      <c r="M487" s="25">
        <f t="shared" si="12"/>
        <v>4.43</v>
      </c>
    </row>
    <row r="488" spans="1:13" ht="15" customHeight="1" x14ac:dyDescent="0.25">
      <c r="A488" s="29">
        <v>4.4400000000000004</v>
      </c>
      <c r="B488">
        <v>1.2253887918279823E-2</v>
      </c>
      <c r="C488">
        <v>2.6729664312688178E-2</v>
      </c>
      <c r="D488">
        <v>3.4122730334355299E-3</v>
      </c>
      <c r="E488">
        <v>-22179.501983236489</v>
      </c>
      <c r="F488">
        <v>-75.682516512427725</v>
      </c>
      <c r="G488">
        <v>0</v>
      </c>
      <c r="M488" s="25">
        <f t="shared" si="12"/>
        <v>4.4400000000000004</v>
      </c>
    </row>
    <row r="489" spans="1:13" ht="15" customHeight="1" x14ac:dyDescent="0.25">
      <c r="A489" s="29">
        <v>4.45</v>
      </c>
      <c r="B489">
        <v>1.2208466078979491E-2</v>
      </c>
      <c r="C489">
        <v>2.6716707524550486E-2</v>
      </c>
      <c r="D489">
        <v>3.3996246626974268E-3</v>
      </c>
      <c r="E489">
        <v>-22276.247339716989</v>
      </c>
      <c r="F489">
        <v>-75.730879848449803</v>
      </c>
      <c r="G489">
        <v>0</v>
      </c>
      <c r="M489" s="25">
        <f t="shared" si="12"/>
        <v>4.45</v>
      </c>
    </row>
    <row r="490" spans="1:13" ht="15" customHeight="1" x14ac:dyDescent="0.25">
      <c r="A490" s="29">
        <v>4.46</v>
      </c>
      <c r="B490">
        <v>1.2163297536445685E-2</v>
      </c>
      <c r="C490">
        <v>2.6703798732394823E-2</v>
      </c>
      <c r="D490">
        <v>3.3870468261221658E-3</v>
      </c>
      <c r="E490">
        <v>-22373.169718201571</v>
      </c>
      <c r="F490">
        <v>-75.778973484327182</v>
      </c>
      <c r="G490">
        <v>0</v>
      </c>
      <c r="M490" s="25">
        <f t="shared" si="12"/>
        <v>4.46</v>
      </c>
    </row>
    <row r="491" spans="1:13" ht="15" customHeight="1" x14ac:dyDescent="0.25">
      <c r="A491" s="29">
        <v>4.47</v>
      </c>
      <c r="B491">
        <v>1.2118380471288773E-2</v>
      </c>
      <c r="C491">
        <v>2.6690937714545723E-2</v>
      </c>
      <c r="D491">
        <v>3.3745390170742831E-3</v>
      </c>
      <c r="E491">
        <v>-22470.268968178629</v>
      </c>
      <c r="F491">
        <v>-75.826799357272265</v>
      </c>
      <c r="G491">
        <v>0</v>
      </c>
      <c r="M491" s="25">
        <f t="shared" si="12"/>
        <v>4.47</v>
      </c>
    </row>
    <row r="492" spans="1:13" ht="15" customHeight="1" x14ac:dyDescent="0.25">
      <c r="A492" s="29">
        <v>4.4800000000000004</v>
      </c>
      <c r="B492">
        <v>1.2073713081939398E-2</v>
      </c>
      <c r="C492">
        <v>2.6678124250352882E-2</v>
      </c>
      <c r="D492">
        <v>3.362100733880631E-3</v>
      </c>
      <c r="E492">
        <v>-22567.544934308647</v>
      </c>
      <c r="F492">
        <v>-75.874359385523206</v>
      </c>
      <c r="G492">
        <v>0</v>
      </c>
      <c r="M492" s="25">
        <f t="shared" ref="M492:M531" si="13">A492</f>
        <v>4.4800000000000004</v>
      </c>
    </row>
    <row r="493" spans="1:13" ht="15" customHeight="1" x14ac:dyDescent="0.25">
      <c r="A493" s="29">
        <v>4.49</v>
      </c>
      <c r="B493">
        <v>1.2029293584423067E-2</v>
      </c>
      <c r="C493">
        <v>2.6665358120185674E-2</v>
      </c>
      <c r="D493">
        <v>3.3497314797676057E-3</v>
      </c>
      <c r="E493">
        <v>-22664.997456408371</v>
      </c>
      <c r="F493">
        <v>-75.921655468583836</v>
      </c>
      <c r="G493">
        <v>0</v>
      </c>
      <c r="M493" s="25">
        <f t="shared" si="13"/>
        <v>4.49</v>
      </c>
    </row>
    <row r="494" spans="1:13" ht="15" customHeight="1" x14ac:dyDescent="0.25">
      <c r="A494" s="29">
        <v>4.5</v>
      </c>
      <c r="B494">
        <v>1.1985120212138031E-2</v>
      </c>
      <c r="C494">
        <v>2.6652639105427763E-2</v>
      </c>
      <c r="D494">
        <v>3.3374307627992974E-3</v>
      </c>
      <c r="E494">
        <v>-22762.626369435402</v>
      </c>
      <c r="F494">
        <v>-75.968689487460196</v>
      </c>
      <c r="G494">
        <v>0</v>
      </c>
      <c r="M494" s="25">
        <f t="shared" si="13"/>
        <v>4.5</v>
      </c>
    </row>
    <row r="495" spans="1:13" ht="15" customHeight="1" x14ac:dyDescent="0.25">
      <c r="A495" s="29">
        <v>4.51</v>
      </c>
      <c r="B495">
        <v>1.1941191215636478E-2</v>
      </c>
      <c r="C495">
        <v>2.6639966988471691E-2</v>
      </c>
      <c r="D495">
        <v>3.3251980958165575E-3</v>
      </c>
      <c r="E495">
        <v>-22860.431503473064</v>
      </c>
      <c r="F495">
        <v>-76.015463304893473</v>
      </c>
      <c r="G495">
        <v>0</v>
      </c>
      <c r="M495" s="25">
        <f t="shared" si="13"/>
        <v>4.51</v>
      </c>
    </row>
    <row r="496" spans="1:13" ht="15" customHeight="1" x14ac:dyDescent="0.25">
      <c r="A496" s="29">
        <v>4.5199999999999996</v>
      </c>
      <c r="B496">
        <v>1.1897504862408901E-2</v>
      </c>
      <c r="C496">
        <v>2.6627341552713537E-2</v>
      </c>
      <c r="D496">
        <v>3.3130329963769567E-3</v>
      </c>
      <c r="E496">
        <v>-22958.412683715804</v>
      </c>
      <c r="F496">
        <v>-76.0619787655897</v>
      </c>
      <c r="G496">
        <v>0</v>
      </c>
      <c r="M496" s="25">
        <f t="shared" si="13"/>
        <v>4.5199999999999996</v>
      </c>
    </row>
    <row r="497" spans="1:13" ht="15" customHeight="1" x14ac:dyDescent="0.25">
      <c r="A497" s="29">
        <v>4.53</v>
      </c>
      <c r="B497">
        <v>1.1854059436671694E-2</v>
      </c>
      <c r="C497">
        <v>2.6614762582547656E-2</v>
      </c>
      <c r="D497">
        <v>3.3009349866956333E-3</v>
      </c>
      <c r="E497">
        <v>-23056.569730454816</v>
      </c>
      <c r="F497">
        <v>-76.108237696445812</v>
      </c>
      <c r="G497">
        <v>0</v>
      </c>
      <c r="M497" s="25">
        <f t="shared" si="13"/>
        <v>4.53</v>
      </c>
    </row>
    <row r="498" spans="1:13" ht="15" customHeight="1" x14ac:dyDescent="0.25">
      <c r="A498" s="29">
        <v>4.54</v>
      </c>
      <c r="B498">
        <v>1.1810853239157823E-2</v>
      </c>
      <c r="C498">
        <v>2.660222986336136E-2</v>
      </c>
      <c r="D498">
        <v>3.2889035935870074E-3</v>
      </c>
      <c r="E498">
        <v>-23154.902459064106</v>
      </c>
      <c r="F498">
        <v>-76.154241906772569</v>
      </c>
      <c r="G498">
        <v>0</v>
      </c>
      <c r="M498" s="25">
        <f t="shared" si="13"/>
        <v>4.54</v>
      </c>
    </row>
    <row r="499" spans="1:13" ht="15" customHeight="1" x14ac:dyDescent="0.25">
      <c r="A499" s="29">
        <v>4.55</v>
      </c>
      <c r="B499">
        <v>1.1767884586910561E-2</v>
      </c>
      <c r="C499">
        <v>2.658974318152969E-2</v>
      </c>
      <c r="D499">
        <v>3.2769383484073382E-3</v>
      </c>
      <c r="E499">
        <v>-23253.410679986999</v>
      </c>
      <c r="F499">
        <v>-76.199993188514156</v>
      </c>
      <c r="G499">
        <v>0</v>
      </c>
      <c r="M499" s="25">
        <f t="shared" si="13"/>
        <v>4.55</v>
      </c>
    </row>
    <row r="500" spans="1:13" ht="15" customHeight="1" x14ac:dyDescent="0.25">
      <c r="A500" s="29">
        <v>4.5599999999999996</v>
      </c>
      <c r="B500">
        <v>1.1725151813080254E-2</v>
      </c>
      <c r="C500">
        <v>2.657730232441027E-2</v>
      </c>
      <c r="D500">
        <v>3.2650387869981356E-3</v>
      </c>
      <c r="E500">
        <v>-23352.094198722967</v>
      </c>
      <c r="F500">
        <v>-76.245493316464632</v>
      </c>
      <c r="G500">
        <v>0</v>
      </c>
      <c r="M500" s="25">
        <f t="shared" si="13"/>
        <v>4.5599999999999996</v>
      </c>
    </row>
    <row r="501" spans="1:13" ht="15" customHeight="1" x14ac:dyDescent="0.25">
      <c r="A501" s="29">
        <v>4.57</v>
      </c>
      <c r="B501">
        <v>1.1682653266724081E-2</v>
      </c>
      <c r="C501">
        <v>2.6564907080338075E-2</v>
      </c>
      <c r="D501">
        <v>3.2532044496303971E-3</v>
      </c>
      <c r="E501">
        <v>-23450.95281581477</v>
      </c>
      <c r="F501">
        <v>-76.290744048481102</v>
      </c>
      <c r="G501">
        <v>0</v>
      </c>
      <c r="M501" s="25">
        <f t="shared" si="13"/>
        <v>4.57</v>
      </c>
    </row>
    <row r="502" spans="1:13" ht="15" customHeight="1" x14ac:dyDescent="0.25">
      <c r="A502" s="29">
        <v>4.58</v>
      </c>
      <c r="B502">
        <v>1.1640387312608682E-2</v>
      </c>
      <c r="C502">
        <v>2.6552557238620367E-2</v>
      </c>
      <c r="D502">
        <v>3.2414348809496479E-3</v>
      </c>
      <c r="E502">
        <v>-23549.986326836104</v>
      </c>
      <c r="F502">
        <v>-76.335747125693828</v>
      </c>
      <c r="G502">
        <v>0</v>
      </c>
      <c r="M502" s="25">
        <f t="shared" si="13"/>
        <v>4.58</v>
      </c>
    </row>
    <row r="503" spans="1:13" ht="15" customHeight="1" x14ac:dyDescent="0.25">
      <c r="A503" s="29">
        <v>4.59</v>
      </c>
      <c r="B503">
        <v>1.1598352331015693E-2</v>
      </c>
      <c r="C503">
        <v>2.654025258953157E-2</v>
      </c>
      <c r="D503">
        <v>3.2297296299217885E-3</v>
      </c>
      <c r="E503">
        <v>-23649.194522379585</v>
      </c>
      <c r="F503">
        <v>-76.380504272713409</v>
      </c>
      <c r="G503">
        <v>0</v>
      </c>
      <c r="M503" s="25">
        <f t="shared" si="13"/>
        <v>4.59</v>
      </c>
    </row>
    <row r="504" spans="1:13" ht="15" customHeight="1" x14ac:dyDescent="0.25">
      <c r="A504" s="29">
        <v>4.5999999999999996</v>
      </c>
      <c r="B504">
        <v>1.1556546717550105E-2</v>
      </c>
      <c r="C504">
        <v>2.6527992924308241E-2</v>
      </c>
      <c r="D504">
        <v>3.2180882497797316E-3</v>
      </c>
      <c r="E504">
        <v>-23748.577188045023</v>
      </c>
      <c r="F504">
        <v>-76.425017197834677</v>
      </c>
      <c r="G504">
        <v>0</v>
      </c>
      <c r="M504" s="25">
        <f t="shared" si="13"/>
        <v>4.5999999999999996</v>
      </c>
    </row>
    <row r="505" spans="1:13" ht="15" customHeight="1" x14ac:dyDescent="0.25">
      <c r="A505" s="29">
        <v>4.6100000000000003</v>
      </c>
      <c r="B505">
        <v>1.15149688829514E-2</v>
      </c>
      <c r="C505">
        <v>2.6515778035144065E-2</v>
      </c>
      <c r="D505">
        <v>3.206510297970807E-3</v>
      </c>
      <c r="E505">
        <v>-23848.134104428224</v>
      </c>
      <c r="F505">
        <v>-76.469287593237908</v>
      </c>
      <c r="G505">
        <v>0</v>
      </c>
      <c r="M505" s="25">
        <f t="shared" si="13"/>
        <v>4.6100000000000003</v>
      </c>
    </row>
    <row r="506" spans="1:13" ht="15" customHeight="1" x14ac:dyDescent="0.25">
      <c r="A506" s="29">
        <v>4.62</v>
      </c>
      <c r="B506">
        <v>1.1473617252907431E-2</v>
      </c>
      <c r="C506">
        <v>2.6503607715184809E-2</v>
      </c>
      <c r="D506">
        <v>3.1949953361049372E-3</v>
      </c>
      <c r="E506">
        <v>-23947.865047110026</v>
      </c>
      <c r="F506">
        <v>-76.513317135186966</v>
      </c>
      <c r="G506">
        <v>0</v>
      </c>
      <c r="M506" s="25">
        <f t="shared" si="13"/>
        <v>4.62</v>
      </c>
    </row>
    <row r="507" spans="1:13" ht="15" customHeight="1" x14ac:dyDescent="0.25">
      <c r="A507" s="29">
        <v>4.63</v>
      </c>
      <c r="B507">
        <v>1.1432490267870977E-2</v>
      </c>
      <c r="C507">
        <v>2.649148175852346E-2</v>
      </c>
      <c r="D507">
        <v>3.183542929903551E-3</v>
      </c>
      <c r="E507">
        <v>-24047.769786645851</v>
      </c>
      <c r="F507">
        <v>-76.55710748422463</v>
      </c>
      <c r="G507">
        <v>0</v>
      </c>
      <c r="M507" s="25">
        <f t="shared" si="13"/>
        <v>4.63</v>
      </c>
    </row>
    <row r="508" spans="1:13" ht="15" customHeight="1" x14ac:dyDescent="0.25">
      <c r="A508" s="29">
        <v>4.6399999999999997</v>
      </c>
      <c r="B508">
        <v>1.1391586382878953E-2</v>
      </c>
      <c r="C508">
        <v>2.647939996019524E-2</v>
      </c>
      <c r="D508">
        <v>3.1721526491492427E-3</v>
      </c>
      <c r="E508">
        <v>-24147.848088555569</v>
      </c>
      <c r="F508">
        <v>-76.600660285365024</v>
      </c>
      <c r="G508">
        <v>0</v>
      </c>
      <c r="M508" s="25">
        <f t="shared" si="13"/>
        <v>4.6399999999999997</v>
      </c>
    </row>
    <row r="509" spans="1:13" ht="15" customHeight="1" x14ac:dyDescent="0.25">
      <c r="A509" s="29">
        <v>4.6500000000000004</v>
      </c>
      <c r="B509">
        <v>1.1350904067374257E-2</v>
      </c>
      <c r="C509">
        <v>2.6467362116172802E-2</v>
      </c>
      <c r="D509">
        <v>3.1608240676361619E-3</v>
      </c>
      <c r="E509">
        <v>-24248.099713313684</v>
      </c>
      <c r="F509">
        <v>-76.643977168283413</v>
      </c>
      <c r="G509">
        <v>0</v>
      </c>
      <c r="M509" s="25">
        <f t="shared" si="13"/>
        <v>4.6500000000000004</v>
      </c>
    </row>
    <row r="510" spans="1:13" ht="15" customHeight="1" x14ac:dyDescent="0.25">
      <c r="A510" s="29">
        <v>4.66</v>
      </c>
      <c r="B510">
        <v>1.1310441805030165E-2</v>
      </c>
      <c r="C510">
        <v>2.6455368023361309E-2</v>
      </c>
      <c r="D510">
        <v>3.1495567631211127E-3</v>
      </c>
      <c r="E510">
        <v>-24348.524416339977</v>
      </c>
      <c r="F510">
        <v>-76.687059747503113</v>
      </c>
      <c r="G510">
        <v>0</v>
      </c>
      <c r="M510" s="25">
        <f t="shared" si="13"/>
        <v>4.66</v>
      </c>
    </row>
    <row r="511" spans="1:13" ht="15" customHeight="1" x14ac:dyDescent="0.25">
      <c r="A511" s="29">
        <v>4.67</v>
      </c>
      <c r="B511">
        <v>1.1270198093577211E-2</v>
      </c>
      <c r="C511">
        <v>2.6443417479593688E-2</v>
      </c>
      <c r="D511">
        <v>3.1383503172753477E-3</v>
      </c>
      <c r="E511">
        <v>-24449.121947990567</v>
      </c>
      <c r="F511">
        <v>-76.729909622579868</v>
      </c>
      <c r="G511">
        <v>0</v>
      </c>
      <c r="M511" s="25">
        <f t="shared" si="13"/>
        <v>4.67</v>
      </c>
    </row>
    <row r="512" spans="1:13" ht="15" customHeight="1" x14ac:dyDescent="0.25">
      <c r="A512" s="29">
        <v>4.68</v>
      </c>
      <c r="B512">
        <v>1.1230171444632613E-2</v>
      </c>
      <c r="C512">
        <v>2.6431510283625791E-2</v>
      </c>
      <c r="D512">
        <v>3.1272043156370683E-3</v>
      </c>
      <c r="E512">
        <v>-24549.892053549258</v>
      </c>
      <c r="F512">
        <v>-76.772528378283397</v>
      </c>
      <c r="G512">
        <v>0</v>
      </c>
      <c r="M512" s="25">
        <f t="shared" si="13"/>
        <v>4.68</v>
      </c>
    </row>
    <row r="513" spans="1:13" ht="15" customHeight="1" x14ac:dyDescent="0.25">
      <c r="A513" s="29">
        <v>4.6900000000000004</v>
      </c>
      <c r="B513">
        <v>1.1190360383532136E-2</v>
      </c>
      <c r="C513">
        <v>2.6419646235131732E-2</v>
      </c>
      <c r="D513">
        <v>3.1161183475646036E-3</v>
      </c>
      <c r="E513">
        <v>-24650.834473219242</v>
      </c>
      <c r="F513">
        <v>-76.814917584776509</v>
      </c>
      <c r="G513">
        <v>0</v>
      </c>
      <c r="M513" s="25">
        <f t="shared" si="13"/>
        <v>4.6900000000000004</v>
      </c>
    </row>
    <row r="514" spans="1:13" ht="15" customHeight="1" x14ac:dyDescent="0.25">
      <c r="A514" s="29">
        <v>4.7</v>
      </c>
      <c r="B514">
        <v>1.115076344916429E-2</v>
      </c>
      <c r="C514">
        <v>2.6407825134699081E-2</v>
      </c>
      <c r="D514">
        <v>3.1050920061902422E-3</v>
      </c>
      <c r="E514">
        <v>-24751.948942115403</v>
      </c>
      <c r="F514">
        <v>-76.857078797791559</v>
      </c>
      <c r="G514">
        <v>0</v>
      </c>
      <c r="M514" s="25">
        <f t="shared" si="13"/>
        <v>4.7</v>
      </c>
    </row>
    <row r="515" spans="1:13" ht="15" customHeight="1" x14ac:dyDescent="0.25">
      <c r="A515" s="29">
        <v>4.71</v>
      </c>
      <c r="B515">
        <v>1.1111379193807018E-2</v>
      </c>
      <c r="C515">
        <v>2.6396046783824283E-2</v>
      </c>
      <c r="D515">
        <v>3.0941248883747541E-3</v>
      </c>
      <c r="E515">
        <v>-24853.235190256662</v>
      </c>
      <c r="F515">
        <v>-76.899013558804413</v>
      </c>
      <c r="G515">
        <v>0</v>
      </c>
      <c r="M515" s="25">
        <f t="shared" si="13"/>
        <v>4.71</v>
      </c>
    </row>
    <row r="516" spans="1:13" ht="15" customHeight="1" x14ac:dyDescent="0.25">
      <c r="A516" s="29">
        <v>4.72</v>
      </c>
      <c r="B516">
        <v>1.1072206182966608E-2</v>
      </c>
      <c r="C516">
        <v>2.6384310984907965E-2</v>
      </c>
      <c r="D516">
        <v>3.0832165946625351E-3</v>
      </c>
      <c r="E516">
        <v>-24954.692942558984</v>
      </c>
      <c r="F516">
        <v>-76.940723395205907</v>
      </c>
      <c r="G516">
        <v>0</v>
      </c>
      <c r="M516" s="25">
        <f t="shared" si="13"/>
        <v>4.72</v>
      </c>
    </row>
    <row r="517" spans="1:13" ht="15" customHeight="1" x14ac:dyDescent="0.25">
      <c r="A517" s="29">
        <v>4.7300000000000004</v>
      </c>
      <c r="B517">
        <v>1.1033242995218939E-2</v>
      </c>
      <c r="C517">
        <v>2.6372617541250302E-2</v>
      </c>
      <c r="D517">
        <v>3.0723667292373975E-3</v>
      </c>
      <c r="E517">
        <v>-25056.321918828657</v>
      </c>
      <c r="F517">
        <v>-76.982209820470914</v>
      </c>
      <c r="G517">
        <v>0</v>
      </c>
      <c r="M517" s="25">
        <f t="shared" si="13"/>
        <v>4.7300000000000004</v>
      </c>
    </row>
    <row r="518" spans="1:13" ht="15" customHeight="1" x14ac:dyDescent="0.25">
      <c r="A518" s="29">
        <v>4.74</v>
      </c>
      <c r="B518">
        <v>1.099448822205301E-2</v>
      </c>
      <c r="C518">
        <v>2.6360966257046488E-2</v>
      </c>
      <c r="D518">
        <v>3.0615748998789995E-3</v>
      </c>
      <c r="E518">
        <v>-25158.121833755915</v>
      </c>
      <c r="F518">
        <v>-77.023474334324945</v>
      </c>
      <c r="G518">
        <v>0</v>
      </c>
      <c r="M518" s="25">
        <f t="shared" si="13"/>
        <v>4.74</v>
      </c>
    </row>
    <row r="519" spans="1:13" ht="15" customHeight="1" x14ac:dyDescent="0.25">
      <c r="A519" s="29">
        <v>4.75</v>
      </c>
      <c r="B519">
        <v>1.0955940467716654E-2</v>
      </c>
      <c r="C519">
        <v>2.6349356937382169E-2</v>
      </c>
      <c r="D519">
        <v>3.0508407179198824E-3</v>
      </c>
      <c r="E519">
        <v>-25260.092396908989</v>
      </c>
      <c r="F519">
        <v>-77.064518422908392</v>
      </c>
      <c r="G519">
        <v>0</v>
      </c>
      <c r="M519" s="25">
        <f t="shared" si="13"/>
        <v>4.75</v>
      </c>
    </row>
    <row r="520" spans="1:13" ht="15" customHeight="1" x14ac:dyDescent="0.25">
      <c r="A520" s="29">
        <v>4.76</v>
      </c>
      <c r="B520">
        <v>1.0917598349064436E-2</v>
      </c>
      <c r="C520">
        <v>2.6337789388228894E-2</v>
      </c>
      <c r="D520">
        <v>3.0401637982031141E-3</v>
      </c>
      <c r="E520">
        <v>-25362.233312728611</v>
      </c>
      <c r="F520">
        <v>-77.105343558938557</v>
      </c>
      <c r="G520">
        <v>0</v>
      </c>
      <c r="M520" s="25">
        <f t="shared" si="13"/>
        <v>4.76</v>
      </c>
    </row>
    <row r="521" spans="1:13" ht="15" customHeight="1" x14ac:dyDescent="0.25">
      <c r="A521" s="29">
        <v>4.7699999999999996</v>
      </c>
      <c r="B521">
        <v>1.087946049540775E-2</v>
      </c>
      <c r="C521">
        <v>2.6326263416439687E-2</v>
      </c>
      <c r="D521">
        <v>3.0295437590405487E-3</v>
      </c>
      <c r="E521">
        <v>-25464.544280522674</v>
      </c>
      <c r="F521">
        <v>-77.145951201869167</v>
      </c>
      <c r="G521">
        <v>0</v>
      </c>
      <c r="M521" s="25">
        <f t="shared" si="13"/>
        <v>4.7699999999999996</v>
      </c>
    </row>
    <row r="522" spans="1:13" ht="15" customHeight="1" x14ac:dyDescent="0.25">
      <c r="A522" s="29">
        <v>4.78</v>
      </c>
      <c r="B522">
        <v>1.084152554836699E-2</v>
      </c>
      <c r="C522">
        <v>2.6314778829744558E-2</v>
      </c>
      <c r="D522">
        <v>3.0189802221716588E-3</v>
      </c>
      <c r="E522">
        <v>-25567.024994461543</v>
      </c>
      <c r="F522">
        <v>-77.18634279804786</v>
      </c>
      <c r="G522">
        <v>0</v>
      </c>
      <c r="M522" s="25">
        <f t="shared" si="13"/>
        <v>4.78</v>
      </c>
    </row>
    <row r="523" spans="1:13" ht="15" customHeight="1" x14ac:dyDescent="0.25">
      <c r="A523" s="29">
        <v>4.79</v>
      </c>
      <c r="B523">
        <v>1.0803792161725827E-2</v>
      </c>
      <c r="C523">
        <v>2.6303335436746095E-2</v>
      </c>
      <c r="D523">
        <v>3.0084728127229596E-3</v>
      </c>
      <c r="E523">
        <v>-25669.675143573528</v>
      </c>
      <c r="F523">
        <v>-77.2265197808713</v>
      </c>
      <c r="G523">
        <v>0</v>
      </c>
      <c r="M523" s="25">
        <f t="shared" si="13"/>
        <v>4.79</v>
      </c>
    </row>
    <row r="524" spans="1:13" ht="15" customHeight="1" x14ac:dyDescent="0.25">
      <c r="A524" s="29">
        <v>4.8</v>
      </c>
      <c r="B524">
        <v>1.0766259001287535E-2</v>
      </c>
      <c r="C524">
        <v>2.6291933046915052E-2</v>
      </c>
      <c r="D524">
        <v>2.9980211591679974E-3</v>
      </c>
      <c r="E524">
        <v>-25772.494411740881</v>
      </c>
      <c r="F524">
        <v>-77.266483570938135</v>
      </c>
      <c r="G524">
        <v>0</v>
      </c>
      <c r="M524" s="25">
        <f t="shared" si="13"/>
        <v>4.8</v>
      </c>
    </row>
    <row r="525" spans="1:13" ht="15" customHeight="1" x14ac:dyDescent="0.25">
      <c r="A525" s="29">
        <v>4.8099999999999996</v>
      </c>
      <c r="B525">
        <v>1.0728924744733328E-2</v>
      </c>
      <c r="C525">
        <v>2.6280571470585979E-2</v>
      </c>
      <c r="D525">
        <v>2.9876248932879058E-3</v>
      </c>
      <c r="E525">
        <v>-25875.482477696107</v>
      </c>
      <c r="F525">
        <v>-77.30623557619991</v>
      </c>
      <c r="G525">
        <v>0</v>
      </c>
      <c r="M525" s="25">
        <f t="shared" si="13"/>
        <v>4.8099999999999996</v>
      </c>
    </row>
    <row r="526" spans="1:13" ht="15" customHeight="1" x14ac:dyDescent="0.25">
      <c r="A526" s="29">
        <v>4.82</v>
      </c>
      <c r="B526">
        <v>1.0691788081482719E-2</v>
      </c>
      <c r="C526">
        <v>2.6269250518952968E-2</v>
      </c>
      <c r="D526">
        <v>2.9772836501325154E-3</v>
      </c>
      <c r="E526">
        <v>-25978.639015018638</v>
      </c>
      <c r="F526">
        <v>-77.345777192109665</v>
      </c>
      <c r="G526">
        <v>0</v>
      </c>
      <c r="M526" s="25">
        <f t="shared" si="13"/>
        <v>4.82</v>
      </c>
    </row>
    <row r="527" spans="1:13" ht="15" customHeight="1" x14ac:dyDescent="0.25">
      <c r="A527" s="29">
        <v>4.83</v>
      </c>
      <c r="B527">
        <v>1.0654847712555806E-2</v>
      </c>
      <c r="C527">
        <v>2.6257970004065264E-2</v>
      </c>
      <c r="D527">
        <v>2.9669970679820105E-3</v>
      </c>
      <c r="E527">
        <v>-26081.963692131914</v>
      </c>
      <c r="F527">
        <v>-77.385109801768635</v>
      </c>
      <c r="G527">
        <v>0</v>
      </c>
      <c r="M527" s="25">
        <f t="shared" si="13"/>
        <v>4.83</v>
      </c>
    </row>
    <row r="528" spans="1:13" ht="15" customHeight="1" x14ac:dyDescent="0.25">
      <c r="A528" s="29">
        <v>4.84</v>
      </c>
      <c r="B528">
        <v>1.0618102350437492E-2</v>
      </c>
      <c r="C528">
        <v>2.6246729738823017E-2</v>
      </c>
      <c r="D528">
        <v>2.9567647883091156E-3</v>
      </c>
      <c r="E528">
        <v>-26185.456172300859</v>
      </c>
      <c r="F528">
        <v>-77.424234776070776</v>
      </c>
      <c r="G528">
        <v>0</v>
      </c>
      <c r="M528" s="25">
        <f t="shared" si="13"/>
        <v>4.84</v>
      </c>
    </row>
    <row r="529" spans="1:13" ht="15" customHeight="1" x14ac:dyDescent="0.25">
      <c r="A529" s="29">
        <v>4.8499999999999996</v>
      </c>
      <c r="B529">
        <v>1.0581550718943603E-2</v>
      </c>
      <c r="C529">
        <v>2.6235529536973036E-2</v>
      </c>
      <c r="D529">
        <v>2.946586455741816E-3</v>
      </c>
      <c r="E529">
        <v>-26289.116113629749</v>
      </c>
      <c r="F529">
        <v>-77.463153473845338</v>
      </c>
      <c r="G529">
        <v>0</v>
      </c>
      <c r="M529" s="25">
        <f t="shared" si="13"/>
        <v>4.8499999999999996</v>
      </c>
    </row>
    <row r="530" spans="1:13" ht="15" customHeight="1" x14ac:dyDescent="0.25">
      <c r="A530" s="29">
        <v>4.8600000000000003</v>
      </c>
      <c r="B530">
        <v>1.0545191553088905E-2</v>
      </c>
      <c r="C530">
        <v>2.6224369213104629E-2</v>
      </c>
      <c r="D530">
        <v>2.936461718026603E-3</v>
      </c>
      <c r="E530">
        <v>-26392.943169060338</v>
      </c>
      <c r="F530">
        <v>-77.501867241997417</v>
      </c>
      <c r="G530">
        <v>0</v>
      </c>
      <c r="M530" s="25">
        <f t="shared" si="13"/>
        <v>4.8600000000000003</v>
      </c>
    </row>
    <row r="531" spans="1:13" ht="15" customHeight="1" x14ac:dyDescent="0.25">
      <c r="A531" s="29">
        <v>4.87</v>
      </c>
      <c r="B531">
        <v>1.0509023598956908E-2</v>
      </c>
      <c r="C531">
        <v>2.6213248582645343E-2</v>
      </c>
      <c r="D531">
        <v>2.9263902259922224E-3</v>
      </c>
      <c r="E531">
        <v>-26496.936986370525</v>
      </c>
      <c r="F531">
        <v>-77.540377415646518</v>
      </c>
      <c r="G531">
        <v>0</v>
      </c>
      <c r="M531" s="25">
        <f t="shared" si="13"/>
        <v>4.87</v>
      </c>
    </row>
    <row r="532" spans="1:13" ht="15" customHeight="1" x14ac:dyDescent="0.25">
      <c r="A532" s="29">
        <v>4.88</v>
      </c>
      <c r="B532">
        <v>0.13241046908305287</v>
      </c>
      <c r="C532">
        <v>0.77072483604794217</v>
      </c>
      <c r="D532">
        <v>1.1447846920480274</v>
      </c>
      <c r="E532">
        <v>2.4080854277468617</v>
      </c>
      <c r="F532">
        <v>2.7567393348285334</v>
      </c>
      <c r="G532">
        <v>1.8559712464896387</v>
      </c>
      <c r="M532" s="25">
        <f t="shared" ref="M532:M551" si="14">A532</f>
        <v>4.88</v>
      </c>
    </row>
    <row r="533" spans="1:13" ht="15" customHeight="1" x14ac:dyDescent="0.25">
      <c r="A533" s="29">
        <v>4.8900000000000103</v>
      </c>
      <c r="B533">
        <v>0.13241046908305287</v>
      </c>
      <c r="C533">
        <v>0.77072483604794217</v>
      </c>
      <c r="D533">
        <v>1.1447846920480274</v>
      </c>
      <c r="E533">
        <v>2.4080854277468617</v>
      </c>
      <c r="F533">
        <v>2.7567393348285334</v>
      </c>
      <c r="G533">
        <v>1.8559712464896387</v>
      </c>
      <c r="M533" s="25">
        <f t="shared" si="14"/>
        <v>4.8900000000000103</v>
      </c>
    </row>
    <row r="534" spans="1:13" ht="15" customHeight="1" x14ac:dyDescent="0.25">
      <c r="A534" s="29">
        <v>4.9000000000000101</v>
      </c>
      <c r="B534">
        <v>0.13241046908305287</v>
      </c>
      <c r="C534">
        <v>0.77072483604794217</v>
      </c>
      <c r="D534">
        <v>1.1447846920480274</v>
      </c>
      <c r="E534">
        <v>2.4080854277468617</v>
      </c>
      <c r="F534">
        <v>2.7567393348285334</v>
      </c>
      <c r="G534">
        <v>1.8559712464896387</v>
      </c>
      <c r="M534" s="25">
        <f t="shared" si="14"/>
        <v>4.9000000000000101</v>
      </c>
    </row>
    <row r="535" spans="1:13" ht="15" customHeight="1" x14ac:dyDescent="0.25">
      <c r="A535" s="29">
        <v>4.9100000000000099</v>
      </c>
      <c r="B535">
        <v>0.13241046908305287</v>
      </c>
      <c r="C535">
        <v>0.77072483604794217</v>
      </c>
      <c r="D535">
        <v>1.1447846920480274</v>
      </c>
      <c r="E535">
        <v>2.4080854277468617</v>
      </c>
      <c r="F535">
        <v>2.7567393348285334</v>
      </c>
      <c r="G535">
        <v>1.8559712464896387</v>
      </c>
      <c r="M535" s="25">
        <f t="shared" si="14"/>
        <v>4.9100000000000099</v>
      </c>
    </row>
    <row r="536" spans="1:13" ht="15" customHeight="1" x14ac:dyDescent="0.25">
      <c r="A536" s="29">
        <v>4.9200000000000097</v>
      </c>
      <c r="B536">
        <v>0.13241046908305287</v>
      </c>
      <c r="C536">
        <v>0.77072483604794217</v>
      </c>
      <c r="D536">
        <v>1.1447846920480274</v>
      </c>
      <c r="E536">
        <v>2.4080854277468617</v>
      </c>
      <c r="F536">
        <v>2.7567393348285334</v>
      </c>
      <c r="G536">
        <v>1.8559712464896387</v>
      </c>
      <c r="M536" s="25">
        <f t="shared" si="14"/>
        <v>4.9200000000000097</v>
      </c>
    </row>
    <row r="537" spans="1:13" ht="15" customHeight="1" x14ac:dyDescent="0.25">
      <c r="A537" s="29">
        <v>4.9300000000000104</v>
      </c>
      <c r="B537">
        <v>0.13241046908305287</v>
      </c>
      <c r="C537">
        <v>0.77072483604794217</v>
      </c>
      <c r="D537">
        <v>1.1447846920480274</v>
      </c>
      <c r="E537">
        <v>2.4080854277468617</v>
      </c>
      <c r="F537">
        <v>2.7567393348285334</v>
      </c>
      <c r="G537">
        <v>1.8559712464896387</v>
      </c>
      <c r="M537" s="25">
        <f t="shared" si="14"/>
        <v>4.9300000000000104</v>
      </c>
    </row>
    <row r="538" spans="1:13" ht="15" customHeight="1" x14ac:dyDescent="0.25">
      <c r="A538" s="29">
        <v>4.9400000000000102</v>
      </c>
      <c r="B538">
        <v>0.13241046908305287</v>
      </c>
      <c r="C538">
        <v>0.77072483604794217</v>
      </c>
      <c r="D538">
        <v>1.1447846920480274</v>
      </c>
      <c r="E538">
        <v>2.4080854277468617</v>
      </c>
      <c r="F538">
        <v>2.7567393348285334</v>
      </c>
      <c r="G538">
        <v>1.8559712464896387</v>
      </c>
      <c r="M538" s="25">
        <f t="shared" si="14"/>
        <v>4.9400000000000102</v>
      </c>
    </row>
    <row r="539" spans="1:13" ht="15" customHeight="1" x14ac:dyDescent="0.25">
      <c r="A539" s="29">
        <v>4.9500000000000099</v>
      </c>
      <c r="B539">
        <v>0.13241046908305287</v>
      </c>
      <c r="C539">
        <v>0.77072483604794217</v>
      </c>
      <c r="D539">
        <v>1.1447846920480274</v>
      </c>
      <c r="E539">
        <v>2.4080854277468617</v>
      </c>
      <c r="F539">
        <v>2.7567393348285334</v>
      </c>
      <c r="G539">
        <v>1.8559712464896387</v>
      </c>
      <c r="M539" s="25">
        <f t="shared" si="14"/>
        <v>4.9500000000000099</v>
      </c>
    </row>
    <row r="540" spans="1:13" ht="15" customHeight="1" x14ac:dyDescent="0.25">
      <c r="A540" s="29">
        <v>4.9600000000000097</v>
      </c>
      <c r="B540">
        <v>0.13241046908305287</v>
      </c>
      <c r="C540">
        <v>0.77072483604794217</v>
      </c>
      <c r="D540">
        <v>1.1447846920480274</v>
      </c>
      <c r="E540">
        <v>2.4080854277468617</v>
      </c>
      <c r="F540">
        <v>2.7567393348285334</v>
      </c>
      <c r="G540">
        <v>1.8559712464896387</v>
      </c>
      <c r="M540" s="25">
        <f t="shared" si="14"/>
        <v>4.9600000000000097</v>
      </c>
    </row>
    <row r="541" spans="1:13" ht="15" customHeight="1" x14ac:dyDescent="0.25">
      <c r="A541" s="29">
        <v>4.9700000000000104</v>
      </c>
      <c r="B541">
        <v>0.13241046908305287</v>
      </c>
      <c r="C541">
        <v>0.77072483604794217</v>
      </c>
      <c r="D541">
        <v>1.1447846920480274</v>
      </c>
      <c r="E541">
        <v>2.4080854277468617</v>
      </c>
      <c r="F541">
        <v>2.7567393348285334</v>
      </c>
      <c r="G541">
        <v>1.8559712464896387</v>
      </c>
      <c r="M541" s="25">
        <f t="shared" si="14"/>
        <v>4.9700000000000104</v>
      </c>
    </row>
    <row r="542" spans="1:13" ht="15" customHeight="1" x14ac:dyDescent="0.25">
      <c r="A542" s="29">
        <v>4.9800000000000102</v>
      </c>
      <c r="B542">
        <v>0.13241046908305287</v>
      </c>
      <c r="C542">
        <v>0.77072483604794217</v>
      </c>
      <c r="D542">
        <v>1.1447846920480274</v>
      </c>
      <c r="E542">
        <v>2.4080854277468617</v>
      </c>
      <c r="F542">
        <v>2.7567393348285334</v>
      </c>
      <c r="G542">
        <v>1.8559712464896387</v>
      </c>
      <c r="M542" s="25">
        <f t="shared" si="14"/>
        <v>4.9800000000000102</v>
      </c>
    </row>
    <row r="543" spans="1:13" ht="15" customHeight="1" x14ac:dyDescent="0.25">
      <c r="A543" s="29">
        <v>4.99000000000001</v>
      </c>
      <c r="B543">
        <v>0.13241046908305287</v>
      </c>
      <c r="C543">
        <v>0.77072483604794217</v>
      </c>
      <c r="D543">
        <v>1.1447846920480274</v>
      </c>
      <c r="E543">
        <v>2.4080854277468617</v>
      </c>
      <c r="F543">
        <v>2.7567393348285334</v>
      </c>
      <c r="G543">
        <v>1.8559712464896387</v>
      </c>
      <c r="M543" s="25">
        <f t="shared" si="14"/>
        <v>4.99000000000001</v>
      </c>
    </row>
    <row r="544" spans="1:13" ht="15" customHeight="1" x14ac:dyDescent="0.25">
      <c r="A544" s="29">
        <v>5.0000000000000098</v>
      </c>
      <c r="B544">
        <v>0.13241046908305287</v>
      </c>
      <c r="C544">
        <v>0.77072483604794217</v>
      </c>
      <c r="D544">
        <v>1.1447846920480274</v>
      </c>
      <c r="E544">
        <v>2.4080854277468617</v>
      </c>
      <c r="F544">
        <v>2.7567393348285334</v>
      </c>
      <c r="G544">
        <v>1.8559712464896387</v>
      </c>
      <c r="M544" s="25">
        <f t="shared" si="14"/>
        <v>5.0000000000000098</v>
      </c>
    </row>
    <row r="545" spans="1:13" ht="15" customHeight="1" x14ac:dyDescent="0.25">
      <c r="A545" s="29"/>
      <c r="M545" s="25"/>
    </row>
    <row r="546" spans="1:13" ht="15" customHeight="1" x14ac:dyDescent="0.25">
      <c r="A546" s="29"/>
      <c r="M546" s="25"/>
    </row>
    <row r="547" spans="1:13" ht="15" customHeight="1" x14ac:dyDescent="0.25">
      <c r="A547" s="29"/>
      <c r="M547" s="25"/>
    </row>
    <row r="548" spans="1:13" ht="15" customHeight="1" x14ac:dyDescent="0.25">
      <c r="A548" s="29"/>
      <c r="M548" s="25"/>
    </row>
    <row r="549" spans="1:13" ht="15" customHeight="1" x14ac:dyDescent="0.25">
      <c r="A549" s="29"/>
      <c r="M549" s="25"/>
    </row>
    <row r="550" spans="1:13" ht="15" customHeight="1" x14ac:dyDescent="0.25">
      <c r="A550" s="29"/>
      <c r="M550" s="25"/>
    </row>
    <row r="551" spans="1:13" ht="15" customHeight="1" x14ac:dyDescent="0.25">
      <c r="A551" s="29"/>
      <c r="M551" s="25"/>
    </row>
  </sheetData>
  <mergeCells count="4">
    <mergeCell ref="A1:A4"/>
    <mergeCell ref="A9:A12"/>
    <mergeCell ref="A24:A27"/>
    <mergeCell ref="A41:G41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11"/>
  <sheetViews>
    <sheetView tabSelected="1" workbookViewId="0">
      <selection activeCell="G25" sqref="G25"/>
    </sheetView>
  </sheetViews>
  <sheetFormatPr defaultRowHeight="15" x14ac:dyDescent="0.25"/>
  <cols>
    <col min="2" max="2" width="62.5703125" bestFit="1" customWidth="1"/>
  </cols>
  <sheetData>
    <row r="1" spans="1:7" x14ac:dyDescent="0.25">
      <c r="B1" t="s">
        <v>109</v>
      </c>
      <c r="C1" t="s">
        <v>110</v>
      </c>
      <c r="D1" t="s">
        <v>111</v>
      </c>
    </row>
    <row r="2" spans="1:7" ht="18" x14ac:dyDescent="0.35">
      <c r="A2">
        <v>1</v>
      </c>
      <c r="B2" t="s">
        <v>80</v>
      </c>
      <c r="C2" s="66">
        <f>MSY!E26</f>
        <v>279.96184713603287</v>
      </c>
      <c r="D2" t="s">
        <v>67</v>
      </c>
    </row>
    <row r="3" spans="1:7" ht="18" x14ac:dyDescent="0.35">
      <c r="A3">
        <v>2</v>
      </c>
      <c r="B3" t="s">
        <v>115</v>
      </c>
      <c r="C3" s="66">
        <f>MSY!E19</f>
        <v>976.02956426133596</v>
      </c>
      <c r="D3" t="s">
        <v>67</v>
      </c>
    </row>
    <row r="4" spans="1:7" ht="18" x14ac:dyDescent="0.35">
      <c r="A4">
        <v>3</v>
      </c>
      <c r="B4" t="s">
        <v>112</v>
      </c>
      <c r="C4" s="66">
        <f>'SSB at SPRx'!E27</f>
        <v>392.07521508585063</v>
      </c>
      <c r="D4" t="s">
        <v>67</v>
      </c>
    </row>
    <row r="5" spans="1:7" ht="18" x14ac:dyDescent="0.35">
      <c r="A5">
        <v>4</v>
      </c>
      <c r="B5" t="s">
        <v>113</v>
      </c>
      <c r="C5" s="56">
        <f>G9/(G10-G11*G9)</f>
        <v>75.079197250871985</v>
      </c>
      <c r="D5" t="s">
        <v>67</v>
      </c>
    </row>
    <row r="9" spans="1:7" x14ac:dyDescent="0.25">
      <c r="F9" t="s">
        <v>114</v>
      </c>
      <c r="G9">
        <f>MSY!E15/2</f>
        <v>1752.5204999999999</v>
      </c>
    </row>
    <row r="10" spans="1:7" x14ac:dyDescent="0.25">
      <c r="F10" t="s">
        <v>83</v>
      </c>
      <c r="G10">
        <f>MSY!E17</f>
        <v>43.093461038581957</v>
      </c>
    </row>
    <row r="11" spans="1:7" x14ac:dyDescent="0.25">
      <c r="F11" t="s">
        <v>84</v>
      </c>
      <c r="G11">
        <f>MSY!E18</f>
        <v>1.1270150416319466E-2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phi0</vt:lpstr>
      <vt:lpstr>SPR and YPR</vt:lpstr>
      <vt:lpstr>Curves and SPRx</vt:lpstr>
      <vt:lpstr>SSB at SPRx</vt:lpstr>
      <vt:lpstr>SRR and Yield</vt:lpstr>
      <vt:lpstr>MSY</vt:lpstr>
      <vt:lpstr>Solution</vt:lpstr>
    </vt:vector>
  </TitlesOfParts>
  <Company>DFO-MPO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Barrett, Tim</dc:creator>
  <cp:lastModifiedBy>Barrett, Tim</cp:lastModifiedBy>
  <dcterms:created xsi:type="dcterms:W3CDTF">2021-10-13T15:01:06Z</dcterms:created>
  <dcterms:modified xsi:type="dcterms:W3CDTF">2021-10-26T17:57:31Z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2021-10-13T19:32:16Z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e8465786-1aa6-4c57-beca-000083d6e696</vt:lpwstr>
  </property>
</Properties>
</file>
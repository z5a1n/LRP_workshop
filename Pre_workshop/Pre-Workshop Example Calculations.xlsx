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rretttj\Desktop\LRP_workshop\Pre_workshop\"/>
    </mc:Choice>
  </mc:AlternateContent>
  <bookViews>
    <workbookView xWindow="0" yWindow="0" windowWidth="18765" windowHeight="9060"/>
  </bookViews>
  <sheets>
    <sheet name="Read Me" sheetId="9" r:id="rId1"/>
    <sheet name="phi0" sheetId="1" r:id="rId2"/>
    <sheet name="SPR and YPR" sheetId="2" r:id="rId3"/>
    <sheet name="Curves and SPRx" sheetId="5" r:id="rId4"/>
    <sheet name="SSB at SPRx" sheetId="12" r:id="rId5"/>
    <sheet name="SRR and Yield" sheetId="6" r:id="rId6"/>
    <sheet name="MSY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8" l="1"/>
  <c r="E24" i="8"/>
  <c r="E26" i="8" s="1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43" i="8"/>
  <c r="Y45" i="6"/>
  <c r="Y44" i="6"/>
  <c r="W43" i="6"/>
  <c r="V46" i="6" s="1"/>
  <c r="V44" i="6"/>
  <c r="V45" i="6"/>
  <c r="AB59" i="6"/>
  <c r="AB58" i="6"/>
  <c r="AB57" i="6"/>
  <c r="AB56" i="6"/>
  <c r="AB55" i="6"/>
  <c r="AB54" i="6"/>
  <c r="AB53" i="6"/>
  <c r="AB52" i="6"/>
  <c r="AB51" i="6"/>
  <c r="AB50" i="6"/>
  <c r="AB49" i="6"/>
  <c r="AB48" i="6"/>
  <c r="AB47" i="6"/>
  <c r="AB46" i="6"/>
  <c r="AB45" i="6"/>
  <c r="AB44" i="6"/>
  <c r="AB43" i="6"/>
  <c r="AB42" i="6"/>
  <c r="AB41" i="6"/>
  <c r="AB40" i="6"/>
  <c r="AB39" i="6"/>
  <c r="AB38" i="6"/>
  <c r="AB37" i="6"/>
  <c r="AB36" i="6"/>
  <c r="AB35" i="6"/>
  <c r="AB34" i="6"/>
  <c r="AB33" i="6"/>
  <c r="AB32" i="6"/>
  <c r="AB31" i="6"/>
  <c r="AB30" i="6"/>
  <c r="AB29" i="6"/>
  <c r="AB28" i="6"/>
  <c r="AB27" i="6"/>
  <c r="AB26" i="6"/>
  <c r="AB25" i="6"/>
  <c r="AB24" i="6"/>
  <c r="AB23" i="6"/>
  <c r="AB22" i="6"/>
  <c r="AB21" i="6"/>
  <c r="AB20" i="6"/>
  <c r="AB19" i="6"/>
  <c r="AB18" i="6"/>
  <c r="AB17" i="6"/>
  <c r="AB16" i="6"/>
  <c r="AB15" i="6"/>
  <c r="AB14" i="6"/>
  <c r="AB13" i="6"/>
  <c r="AB12" i="6"/>
  <c r="AB11" i="6"/>
  <c r="AB10" i="6"/>
  <c r="AB9" i="6"/>
  <c r="AB8" i="6"/>
  <c r="AB7" i="6"/>
  <c r="AB6" i="6"/>
  <c r="AB5" i="6"/>
  <c r="AB4" i="6"/>
  <c r="AB3" i="6"/>
  <c r="AB2" i="6"/>
  <c r="E9" i="12"/>
  <c r="D27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34" i="12"/>
  <c r="C27" i="12"/>
  <c r="K284" i="12"/>
  <c r="J284" i="12"/>
  <c r="K283" i="12"/>
  <c r="J283" i="12"/>
  <c r="K282" i="12"/>
  <c r="J282" i="12"/>
  <c r="K281" i="12"/>
  <c r="J281" i="12"/>
  <c r="K280" i="12"/>
  <c r="J280" i="12"/>
  <c r="K279" i="12"/>
  <c r="J279" i="12"/>
  <c r="K278" i="12"/>
  <c r="J278" i="12"/>
  <c r="K277" i="12"/>
  <c r="J277" i="12"/>
  <c r="K276" i="12"/>
  <c r="J276" i="12"/>
  <c r="K275" i="12"/>
  <c r="J275" i="12"/>
  <c r="K274" i="12"/>
  <c r="J274" i="12"/>
  <c r="K273" i="12"/>
  <c r="J273" i="12"/>
  <c r="K272" i="12"/>
  <c r="J272" i="12"/>
  <c r="K271" i="12"/>
  <c r="J271" i="12"/>
  <c r="K270" i="12"/>
  <c r="J270" i="12"/>
  <c r="K269" i="12"/>
  <c r="J269" i="12"/>
  <c r="K268" i="12"/>
  <c r="J268" i="12"/>
  <c r="K267" i="12"/>
  <c r="J267" i="12"/>
  <c r="K266" i="12"/>
  <c r="J266" i="12"/>
  <c r="K265" i="12"/>
  <c r="J265" i="12"/>
  <c r="K264" i="12"/>
  <c r="J264" i="12"/>
  <c r="K263" i="12"/>
  <c r="J263" i="12"/>
  <c r="K262" i="12"/>
  <c r="J262" i="12"/>
  <c r="K261" i="12"/>
  <c r="J261" i="12"/>
  <c r="K260" i="12"/>
  <c r="J260" i="12"/>
  <c r="K259" i="12"/>
  <c r="J259" i="12"/>
  <c r="K258" i="12"/>
  <c r="J258" i="12"/>
  <c r="K257" i="12"/>
  <c r="J257" i="12"/>
  <c r="K256" i="12"/>
  <c r="J256" i="12"/>
  <c r="K255" i="12"/>
  <c r="J255" i="12"/>
  <c r="K254" i="12"/>
  <c r="J254" i="12"/>
  <c r="K253" i="12"/>
  <c r="J253" i="12"/>
  <c r="K252" i="12"/>
  <c r="J252" i="12"/>
  <c r="K251" i="12"/>
  <c r="J251" i="12"/>
  <c r="K250" i="12"/>
  <c r="J250" i="12"/>
  <c r="K249" i="12"/>
  <c r="J249" i="12"/>
  <c r="K248" i="12"/>
  <c r="J248" i="12"/>
  <c r="K247" i="12"/>
  <c r="J247" i="12"/>
  <c r="K246" i="12"/>
  <c r="J246" i="12"/>
  <c r="K245" i="12"/>
  <c r="J245" i="12"/>
  <c r="K244" i="12"/>
  <c r="J244" i="12"/>
  <c r="K243" i="12"/>
  <c r="J243" i="12"/>
  <c r="K242" i="12"/>
  <c r="J242" i="12"/>
  <c r="K241" i="12"/>
  <c r="J241" i="12"/>
  <c r="K240" i="12"/>
  <c r="J240" i="12"/>
  <c r="K239" i="12"/>
  <c r="J239" i="12"/>
  <c r="K238" i="12"/>
  <c r="J238" i="12"/>
  <c r="K237" i="12"/>
  <c r="J237" i="12"/>
  <c r="K236" i="12"/>
  <c r="J236" i="12"/>
  <c r="K235" i="12"/>
  <c r="J235" i="12"/>
  <c r="K234" i="12"/>
  <c r="J234" i="12"/>
  <c r="K233" i="12"/>
  <c r="J233" i="12"/>
  <c r="K232" i="12"/>
  <c r="J232" i="12"/>
  <c r="K231" i="12"/>
  <c r="J231" i="12"/>
  <c r="K230" i="12"/>
  <c r="J230" i="12"/>
  <c r="K229" i="12"/>
  <c r="J229" i="12"/>
  <c r="K228" i="12"/>
  <c r="J228" i="12"/>
  <c r="K227" i="12"/>
  <c r="J227" i="12"/>
  <c r="K226" i="12"/>
  <c r="J226" i="12"/>
  <c r="K225" i="12"/>
  <c r="J225" i="12"/>
  <c r="K224" i="12"/>
  <c r="J224" i="12"/>
  <c r="K223" i="12"/>
  <c r="J223" i="12"/>
  <c r="K222" i="12"/>
  <c r="J222" i="12"/>
  <c r="K221" i="12"/>
  <c r="J221" i="12"/>
  <c r="K220" i="12"/>
  <c r="J220" i="12"/>
  <c r="K219" i="12"/>
  <c r="J219" i="12"/>
  <c r="K218" i="12"/>
  <c r="J218" i="12"/>
  <c r="K217" i="12"/>
  <c r="J217" i="12"/>
  <c r="K216" i="12"/>
  <c r="J216" i="12"/>
  <c r="K215" i="12"/>
  <c r="J215" i="12"/>
  <c r="K214" i="12"/>
  <c r="J214" i="12"/>
  <c r="K213" i="12"/>
  <c r="J213" i="12"/>
  <c r="K212" i="12"/>
  <c r="J212" i="12"/>
  <c r="K211" i="12"/>
  <c r="J211" i="12"/>
  <c r="K210" i="12"/>
  <c r="J210" i="12"/>
  <c r="K209" i="12"/>
  <c r="J209" i="12"/>
  <c r="K208" i="12"/>
  <c r="J208" i="12"/>
  <c r="K207" i="12"/>
  <c r="J207" i="12"/>
  <c r="K206" i="12"/>
  <c r="J206" i="12"/>
  <c r="K205" i="12"/>
  <c r="J205" i="12"/>
  <c r="K204" i="12"/>
  <c r="J204" i="12"/>
  <c r="K203" i="12"/>
  <c r="J203" i="12"/>
  <c r="K202" i="12"/>
  <c r="J202" i="12"/>
  <c r="K201" i="12"/>
  <c r="J201" i="12"/>
  <c r="K200" i="12"/>
  <c r="J200" i="12"/>
  <c r="K199" i="12"/>
  <c r="J199" i="12"/>
  <c r="K198" i="12"/>
  <c r="J198" i="12"/>
  <c r="K197" i="12"/>
  <c r="J197" i="12"/>
  <c r="K196" i="12"/>
  <c r="J196" i="12"/>
  <c r="K195" i="12"/>
  <c r="J195" i="12"/>
  <c r="K194" i="12"/>
  <c r="J194" i="12"/>
  <c r="K193" i="12"/>
  <c r="J193" i="12"/>
  <c r="K192" i="12"/>
  <c r="J192" i="12"/>
  <c r="K191" i="12"/>
  <c r="J191" i="12"/>
  <c r="K190" i="12"/>
  <c r="J190" i="12"/>
  <c r="K189" i="12"/>
  <c r="J189" i="12"/>
  <c r="K188" i="12"/>
  <c r="J188" i="12"/>
  <c r="K187" i="12"/>
  <c r="J187" i="12"/>
  <c r="K186" i="12"/>
  <c r="J186" i="12"/>
  <c r="K185" i="12"/>
  <c r="J185" i="12"/>
  <c r="K184" i="12"/>
  <c r="J184" i="12"/>
  <c r="K183" i="12"/>
  <c r="J183" i="12"/>
  <c r="K182" i="12"/>
  <c r="J182" i="12"/>
  <c r="K181" i="12"/>
  <c r="J181" i="12"/>
  <c r="K180" i="12"/>
  <c r="J180" i="12"/>
  <c r="K179" i="12"/>
  <c r="J179" i="12"/>
  <c r="K178" i="12"/>
  <c r="J178" i="12"/>
  <c r="K177" i="12"/>
  <c r="J177" i="12"/>
  <c r="K176" i="12"/>
  <c r="J176" i="12"/>
  <c r="K175" i="12"/>
  <c r="J175" i="12"/>
  <c r="K174" i="12"/>
  <c r="J174" i="12"/>
  <c r="K173" i="12"/>
  <c r="J173" i="12"/>
  <c r="K172" i="12"/>
  <c r="J172" i="12"/>
  <c r="K171" i="12"/>
  <c r="J171" i="12"/>
  <c r="K170" i="12"/>
  <c r="J170" i="12"/>
  <c r="K169" i="12"/>
  <c r="J169" i="12"/>
  <c r="K168" i="12"/>
  <c r="J168" i="12"/>
  <c r="K167" i="12"/>
  <c r="J167" i="12"/>
  <c r="K166" i="12"/>
  <c r="J166" i="12"/>
  <c r="K165" i="12"/>
  <c r="J165" i="12"/>
  <c r="K164" i="12"/>
  <c r="J164" i="12"/>
  <c r="K163" i="12"/>
  <c r="J163" i="12"/>
  <c r="K162" i="12"/>
  <c r="J162" i="12"/>
  <c r="K161" i="12"/>
  <c r="J161" i="12"/>
  <c r="K160" i="12"/>
  <c r="J160" i="12"/>
  <c r="K159" i="12"/>
  <c r="J159" i="12"/>
  <c r="K158" i="12"/>
  <c r="J158" i="12"/>
  <c r="K157" i="12"/>
  <c r="J157" i="12"/>
  <c r="K156" i="12"/>
  <c r="J156" i="12"/>
  <c r="K155" i="12"/>
  <c r="J155" i="12"/>
  <c r="K154" i="12"/>
  <c r="J154" i="12"/>
  <c r="K153" i="12"/>
  <c r="J153" i="12"/>
  <c r="K152" i="12"/>
  <c r="J152" i="12"/>
  <c r="K151" i="12"/>
  <c r="J151" i="12"/>
  <c r="K150" i="12"/>
  <c r="J150" i="12"/>
  <c r="K149" i="12"/>
  <c r="J149" i="12"/>
  <c r="K148" i="12"/>
  <c r="J148" i="12"/>
  <c r="K147" i="12"/>
  <c r="J147" i="12"/>
  <c r="K146" i="12"/>
  <c r="J146" i="12"/>
  <c r="K145" i="12"/>
  <c r="J145" i="12"/>
  <c r="K144" i="12"/>
  <c r="J144" i="12"/>
  <c r="K143" i="12"/>
  <c r="J143" i="12"/>
  <c r="K142" i="12"/>
  <c r="J142" i="12"/>
  <c r="K141" i="12"/>
  <c r="J141" i="12"/>
  <c r="K140" i="12"/>
  <c r="J140" i="12"/>
  <c r="K139" i="12"/>
  <c r="J139" i="12"/>
  <c r="K138" i="12"/>
  <c r="J138" i="12"/>
  <c r="K137" i="12"/>
  <c r="J137" i="12"/>
  <c r="K136" i="12"/>
  <c r="J136" i="12"/>
  <c r="K135" i="12"/>
  <c r="J135" i="12"/>
  <c r="K134" i="12"/>
  <c r="J134" i="12"/>
  <c r="K133" i="12"/>
  <c r="J133" i="12"/>
  <c r="K132" i="12"/>
  <c r="J132" i="12"/>
  <c r="K131" i="12"/>
  <c r="J131" i="12"/>
  <c r="K130" i="12"/>
  <c r="J130" i="12"/>
  <c r="K129" i="12"/>
  <c r="J129" i="12"/>
  <c r="K128" i="12"/>
  <c r="J128" i="12"/>
  <c r="K127" i="12"/>
  <c r="J127" i="12"/>
  <c r="K126" i="12"/>
  <c r="J126" i="12"/>
  <c r="K125" i="12"/>
  <c r="J125" i="12"/>
  <c r="K124" i="12"/>
  <c r="J124" i="12"/>
  <c r="K123" i="12"/>
  <c r="J123" i="12"/>
  <c r="K122" i="12"/>
  <c r="J122" i="12"/>
  <c r="K121" i="12"/>
  <c r="J121" i="12"/>
  <c r="K120" i="12"/>
  <c r="J120" i="12"/>
  <c r="K119" i="12"/>
  <c r="J119" i="12"/>
  <c r="K118" i="12"/>
  <c r="J118" i="12"/>
  <c r="K117" i="12"/>
  <c r="J117" i="12"/>
  <c r="K116" i="12"/>
  <c r="J116" i="12"/>
  <c r="K115" i="12"/>
  <c r="J115" i="12"/>
  <c r="K114" i="12"/>
  <c r="J114" i="12"/>
  <c r="K113" i="12"/>
  <c r="J113" i="12"/>
  <c r="K112" i="12"/>
  <c r="J112" i="12"/>
  <c r="K111" i="12"/>
  <c r="J111" i="12"/>
  <c r="K110" i="12"/>
  <c r="J110" i="12"/>
  <c r="K109" i="12"/>
  <c r="J109" i="12"/>
  <c r="K108" i="12"/>
  <c r="J108" i="12"/>
  <c r="K107" i="12"/>
  <c r="J107" i="12"/>
  <c r="K106" i="12"/>
  <c r="J106" i="12"/>
  <c r="K105" i="12"/>
  <c r="J105" i="12"/>
  <c r="K104" i="12"/>
  <c r="J104" i="12"/>
  <c r="K103" i="12"/>
  <c r="J103" i="12"/>
  <c r="K102" i="12"/>
  <c r="J102" i="12"/>
  <c r="K101" i="12"/>
  <c r="J101" i="12"/>
  <c r="K100" i="12"/>
  <c r="J100" i="12"/>
  <c r="K99" i="12"/>
  <c r="J99" i="12"/>
  <c r="K98" i="12"/>
  <c r="J98" i="12"/>
  <c r="K97" i="12"/>
  <c r="J97" i="12"/>
  <c r="K96" i="12"/>
  <c r="J96" i="12"/>
  <c r="K95" i="12"/>
  <c r="J95" i="12"/>
  <c r="K94" i="12"/>
  <c r="J94" i="12"/>
  <c r="K93" i="12"/>
  <c r="J93" i="12"/>
  <c r="K92" i="12"/>
  <c r="J92" i="12"/>
  <c r="K91" i="12"/>
  <c r="J91" i="12"/>
  <c r="K90" i="12"/>
  <c r="J90" i="12"/>
  <c r="K89" i="12"/>
  <c r="J89" i="12"/>
  <c r="K88" i="12"/>
  <c r="J88" i="12"/>
  <c r="K87" i="12"/>
  <c r="J87" i="12"/>
  <c r="K86" i="12"/>
  <c r="J86" i="12"/>
  <c r="K85" i="12"/>
  <c r="J85" i="12"/>
  <c r="K84" i="12"/>
  <c r="J84" i="12"/>
  <c r="K83" i="12"/>
  <c r="J83" i="12"/>
  <c r="K82" i="12"/>
  <c r="J82" i="12"/>
  <c r="K81" i="12"/>
  <c r="J81" i="12"/>
  <c r="K80" i="12"/>
  <c r="J80" i="12"/>
  <c r="K79" i="12"/>
  <c r="J79" i="12"/>
  <c r="K78" i="12"/>
  <c r="J78" i="12"/>
  <c r="K77" i="12"/>
  <c r="J77" i="12"/>
  <c r="K76" i="12"/>
  <c r="J76" i="12"/>
  <c r="K75" i="12"/>
  <c r="J75" i="12"/>
  <c r="K74" i="12"/>
  <c r="J74" i="12"/>
  <c r="K73" i="12"/>
  <c r="J73" i="12"/>
  <c r="K72" i="12"/>
  <c r="J72" i="12"/>
  <c r="K71" i="12"/>
  <c r="J71" i="12"/>
  <c r="K70" i="12"/>
  <c r="J70" i="12"/>
  <c r="K69" i="12"/>
  <c r="J69" i="12"/>
  <c r="K68" i="12"/>
  <c r="J68" i="12"/>
  <c r="K67" i="12"/>
  <c r="J67" i="12"/>
  <c r="K66" i="12"/>
  <c r="J66" i="12"/>
  <c r="K65" i="12"/>
  <c r="J65" i="12"/>
  <c r="K64" i="12"/>
  <c r="J64" i="12"/>
  <c r="K63" i="12"/>
  <c r="J63" i="12"/>
  <c r="K62" i="12"/>
  <c r="J62" i="12"/>
  <c r="K61" i="12"/>
  <c r="J61" i="12"/>
  <c r="K60" i="12"/>
  <c r="J60" i="12"/>
  <c r="K59" i="12"/>
  <c r="J59" i="12"/>
  <c r="K58" i="12"/>
  <c r="J58" i="12"/>
  <c r="K57" i="12"/>
  <c r="J57" i="12"/>
  <c r="K56" i="12"/>
  <c r="J56" i="12"/>
  <c r="K55" i="12"/>
  <c r="J55" i="12"/>
  <c r="K54" i="12"/>
  <c r="J54" i="12"/>
  <c r="K53" i="12"/>
  <c r="J53" i="12"/>
  <c r="K52" i="12"/>
  <c r="J52" i="12"/>
  <c r="K51" i="12"/>
  <c r="J51" i="12"/>
  <c r="K50" i="12"/>
  <c r="J50" i="12"/>
  <c r="K49" i="12"/>
  <c r="J49" i="12"/>
  <c r="K48" i="12"/>
  <c r="J48" i="12"/>
  <c r="K47" i="12"/>
  <c r="J47" i="12"/>
  <c r="K46" i="12"/>
  <c r="J46" i="12"/>
  <c r="K45" i="12"/>
  <c r="J45" i="12"/>
  <c r="K44" i="12"/>
  <c r="J44" i="12"/>
  <c r="K43" i="12"/>
  <c r="J43" i="12"/>
  <c r="K42" i="12"/>
  <c r="J42" i="12"/>
  <c r="K41" i="12"/>
  <c r="J41" i="12"/>
  <c r="K40" i="12"/>
  <c r="J40" i="12"/>
  <c r="K39" i="12"/>
  <c r="J39" i="12"/>
  <c r="K38" i="12"/>
  <c r="J38" i="12"/>
  <c r="K37" i="12"/>
  <c r="J37" i="12"/>
  <c r="K36" i="12"/>
  <c r="J36" i="12"/>
  <c r="K35" i="12"/>
  <c r="J35" i="12"/>
  <c r="K34" i="12"/>
  <c r="J34" i="12"/>
  <c r="F10" i="12"/>
  <c r="F13" i="12" s="1"/>
  <c r="F6" i="12"/>
  <c r="G6" i="12" s="1"/>
  <c r="H6" i="12" s="1"/>
  <c r="I6" i="12" s="1"/>
  <c r="J6" i="12" s="1"/>
  <c r="K6" i="12" s="1"/>
  <c r="L6" i="12" s="1"/>
  <c r="M6" i="12" s="1"/>
  <c r="V46" i="8"/>
  <c r="V44" i="8"/>
  <c r="Y44" i="8"/>
  <c r="Y45" i="8"/>
  <c r="E9" i="8"/>
  <c r="F10" i="8" s="1"/>
  <c r="F6" i="8"/>
  <c r="G6" i="8" s="1"/>
  <c r="E9" i="6"/>
  <c r="F10" i="6" s="1"/>
  <c r="G10" i="6" s="1"/>
  <c r="F6" i="6"/>
  <c r="G6" i="6" s="1"/>
  <c r="H6" i="6" s="1"/>
  <c r="I6" i="6" s="1"/>
  <c r="J6" i="6" s="1"/>
  <c r="K6" i="6" s="1"/>
  <c r="L6" i="6" s="1"/>
  <c r="M6" i="6" s="1"/>
  <c r="E9" i="5"/>
  <c r="F10" i="5" s="1"/>
  <c r="F6" i="5"/>
  <c r="G6" i="5" s="1"/>
  <c r="H6" i="5" s="1"/>
  <c r="I6" i="5" s="1"/>
  <c r="J6" i="5" s="1"/>
  <c r="K6" i="5" s="1"/>
  <c r="L6" i="5" s="1"/>
  <c r="M6" i="5" s="1"/>
  <c r="F6" i="2"/>
  <c r="G6" i="2" s="1"/>
  <c r="H6" i="2" s="1"/>
  <c r="I6" i="2" s="1"/>
  <c r="J6" i="2" s="1"/>
  <c r="K6" i="2" s="1"/>
  <c r="L6" i="2" s="1"/>
  <c r="M6" i="2" s="1"/>
  <c r="E23" i="12" l="1"/>
  <c r="E13" i="12"/>
  <c r="J31" i="12"/>
  <c r="G10" i="12"/>
  <c r="E7" i="12"/>
  <c r="E13" i="8"/>
  <c r="H6" i="8"/>
  <c r="I6" i="8" s="1"/>
  <c r="J6" i="8" s="1"/>
  <c r="K6" i="8" s="1"/>
  <c r="L6" i="8" s="1"/>
  <c r="M6" i="8" s="1"/>
  <c r="G10" i="8"/>
  <c r="F13" i="8"/>
  <c r="E13" i="6"/>
  <c r="H10" i="6"/>
  <c r="G13" i="6"/>
  <c r="E7" i="6"/>
  <c r="F13" i="6"/>
  <c r="G10" i="5"/>
  <c r="F13" i="5"/>
  <c r="E7" i="5"/>
  <c r="E13" i="5"/>
  <c r="B21" i="12" l="1"/>
  <c r="E27" i="12" s="1"/>
  <c r="G13" i="12"/>
  <c r="H10" i="12"/>
  <c r="E7" i="8"/>
  <c r="E17" i="8" s="1"/>
  <c r="G13" i="8"/>
  <c r="H10" i="8"/>
  <c r="I10" i="6"/>
  <c r="H13" i="6"/>
  <c r="G13" i="5"/>
  <c r="H10" i="5"/>
  <c r="I10" i="12" l="1"/>
  <c r="H13" i="12"/>
  <c r="E18" i="8"/>
  <c r="E19" i="8" s="1"/>
  <c r="H13" i="8"/>
  <c r="I10" i="8"/>
  <c r="I13" i="6"/>
  <c r="J10" i="6"/>
  <c r="H13" i="5"/>
  <c r="I10" i="5"/>
  <c r="J10" i="12" l="1"/>
  <c r="I13" i="12"/>
  <c r="J10" i="8"/>
  <c r="I13" i="8"/>
  <c r="J13" i="6"/>
  <c r="K10" i="6"/>
  <c r="J10" i="5"/>
  <c r="I13" i="5"/>
  <c r="J13" i="12" l="1"/>
  <c r="K10" i="12"/>
  <c r="K10" i="8"/>
  <c r="J13" i="8"/>
  <c r="L10" i="6"/>
  <c r="K13" i="6"/>
  <c r="J13" i="5"/>
  <c r="K10" i="5"/>
  <c r="K13" i="12" l="1"/>
  <c r="L10" i="12"/>
  <c r="L10" i="8"/>
  <c r="K13" i="8"/>
  <c r="L13" i="6"/>
  <c r="M10" i="6"/>
  <c r="K13" i="5"/>
  <c r="L10" i="5"/>
  <c r="L13" i="12" l="1"/>
  <c r="M10" i="12"/>
  <c r="M10" i="8"/>
  <c r="L13" i="8"/>
  <c r="M13" i="6"/>
  <c r="E14" i="6" s="1"/>
  <c r="E11" i="6"/>
  <c r="M10" i="5"/>
  <c r="L13" i="5"/>
  <c r="M13" i="12" l="1"/>
  <c r="E14" i="12" s="1"/>
  <c r="C33" i="12" s="1"/>
  <c r="E11" i="12"/>
  <c r="D33" i="12" s="1"/>
  <c r="M13" i="8"/>
  <c r="E14" i="8" s="1"/>
  <c r="C43" i="8" s="1"/>
  <c r="E11" i="8"/>
  <c r="D43" i="8" s="1"/>
  <c r="E12" i="6"/>
  <c r="M13" i="5"/>
  <c r="E14" i="5" s="1"/>
  <c r="C29" i="5" s="1"/>
  <c r="E11" i="5"/>
  <c r="E12" i="12" l="1"/>
  <c r="B33" i="12" s="1"/>
  <c r="E12" i="8"/>
  <c r="B43" i="8" s="1"/>
  <c r="E20" i="8"/>
  <c r="E12" i="5"/>
  <c r="B29" i="5" s="1"/>
  <c r="E21" i="8" l="1"/>
  <c r="F43" i="8" s="1"/>
  <c r="E43" i="8"/>
  <c r="E22" i="8"/>
  <c r="G43" i="8" s="1"/>
  <c r="W45" i="8" l="1"/>
  <c r="W44" i="8"/>
  <c r="V45" i="8"/>
  <c r="E17" i="6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30" i="5"/>
  <c r="E18" i="6" l="1"/>
  <c r="E19" i="6"/>
  <c r="J27" i="5"/>
  <c r="B21" i="5" s="1"/>
  <c r="AB3" i="8" l="1"/>
  <c r="AB2" i="8" l="1"/>
  <c r="AB53" i="8"/>
  <c r="AB14" i="8"/>
  <c r="AB49" i="8"/>
  <c r="AB38" i="8"/>
  <c r="AB11" i="8"/>
  <c r="AB32" i="8"/>
  <c r="AB41" i="8"/>
  <c r="AB20" i="8"/>
  <c r="AB31" i="8"/>
  <c r="AB42" i="8"/>
  <c r="AB10" i="8"/>
  <c r="AB39" i="8"/>
  <c r="AB23" i="8"/>
  <c r="AB34" i="8"/>
  <c r="AB45" i="8"/>
  <c r="AB56" i="8"/>
  <c r="AB30" i="8"/>
  <c r="AB52" i="8"/>
  <c r="AB47" i="8"/>
  <c r="AB46" i="8"/>
  <c r="AB7" i="8"/>
  <c r="AB27" i="8"/>
  <c r="AB54" i="8"/>
  <c r="AB57" i="8"/>
  <c r="AB9" i="8"/>
  <c r="AB6" i="8"/>
  <c r="AB25" i="8"/>
  <c r="AB35" i="8"/>
  <c r="AB17" i="8"/>
  <c r="AB5" i="8"/>
  <c r="AB50" i="8"/>
  <c r="AB51" i="8"/>
  <c r="AB16" i="8"/>
  <c r="AB59" i="8"/>
  <c r="AB44" i="8"/>
  <c r="AB37" i="8"/>
  <c r="AB15" i="8"/>
  <c r="AB33" i="8"/>
  <c r="AB18" i="8"/>
  <c r="AB43" i="8"/>
  <c r="AB19" i="8"/>
  <c r="AB29" i="8"/>
  <c r="AB48" i="8"/>
  <c r="AB8" i="8"/>
  <c r="AB40" i="8"/>
  <c r="AB28" i="8"/>
  <c r="AB13" i="8"/>
  <c r="AB24" i="8"/>
  <c r="AB21" i="8"/>
  <c r="AB4" i="8"/>
  <c r="AB26" i="8"/>
  <c r="AB58" i="8"/>
  <c r="AB36" i="8"/>
  <c r="AB55" i="8"/>
  <c r="AB22" i="8"/>
  <c r="AB12" i="8"/>
  <c r="E20" i="6" l="1"/>
  <c r="W44" i="6" s="1"/>
  <c r="E21" i="6" l="1"/>
  <c r="W45" i="6" s="1"/>
  <c r="E22" i="6"/>
  <c r="E9" i="2" l="1"/>
  <c r="E13" i="2" l="1"/>
  <c r="F10" i="2"/>
  <c r="G10" i="2" l="1"/>
  <c r="F13" i="2"/>
  <c r="F6" i="1"/>
  <c r="E7" i="2" l="1"/>
  <c r="H10" i="2"/>
  <c r="G13" i="2"/>
  <c r="G6" i="1"/>
  <c r="I10" i="2" l="1"/>
  <c r="H13" i="2"/>
  <c r="H6" i="1"/>
  <c r="I6" i="1" s="1"/>
  <c r="J6" i="1" s="1"/>
  <c r="K6" i="1" s="1"/>
  <c r="J10" i="2" l="1"/>
  <c r="K10" i="2" s="1"/>
  <c r="L10" i="2" s="1"/>
  <c r="I13" i="2"/>
  <c r="L6" i="1"/>
  <c r="M6" i="1" s="1"/>
  <c r="E7" i="1" s="1"/>
  <c r="J13" i="2" l="1"/>
  <c r="K13" i="2" l="1"/>
  <c r="L13" i="2" l="1"/>
  <c r="M10" i="2"/>
  <c r="M13" i="2" l="1"/>
  <c r="E14" i="2" s="1"/>
  <c r="E11" i="2"/>
  <c r="E12" i="2" s="1"/>
</calcChain>
</file>

<file path=xl/sharedStrings.xml><?xml version="1.0" encoding="utf-8"?>
<sst xmlns="http://schemas.openxmlformats.org/spreadsheetml/2006/main" count="439" uniqueCount="132">
  <si>
    <t>Parameter</t>
  </si>
  <si>
    <t>At-age - Biological Data (estimated)</t>
  </si>
  <si>
    <t>units</t>
  </si>
  <si>
    <t>Vulnerability (selectivity)</t>
  </si>
  <si>
    <t>-</t>
  </si>
  <si>
    <t>Proportion mature</t>
  </si>
  <si>
    <t>M</t>
  </si>
  <si>
    <t>Unfished survivorship</t>
  </si>
  <si>
    <t>M_age</t>
  </si>
  <si>
    <t>Equilibrium survivorship-at-age:</t>
  </si>
  <si>
    <t>Unfished spawning biomass (or eggs) per recruit</t>
  </si>
  <si>
    <t>w_age</t>
  </si>
  <si>
    <t>m_age</t>
  </si>
  <si>
    <t>v_age</t>
  </si>
  <si>
    <t>Equilibrium spawning biomass per recruit:</t>
  </si>
  <si>
    <t>Comments</t>
  </si>
  <si>
    <t>unfished so use F=0</t>
  </si>
  <si>
    <t>Fished survivorship</t>
  </si>
  <si>
    <t>Fished spawning biomass (or eggs) per recruit</t>
  </si>
  <si>
    <t>F</t>
  </si>
  <si>
    <t>Fishing mortality rate</t>
  </si>
  <si>
    <r>
      <rPr>
        <sz val="11"/>
        <color theme="1"/>
        <rFont val="Calibri"/>
        <family val="2"/>
      </rPr>
      <t>φ</t>
    </r>
    <r>
      <rPr>
        <vertAlign val="subscript"/>
        <sz val="11"/>
        <color theme="1"/>
        <rFont val="Calibri"/>
        <family val="2"/>
        <scheme val="minor"/>
      </rPr>
      <t>0</t>
    </r>
  </si>
  <si>
    <r>
      <t>φ</t>
    </r>
    <r>
      <rPr>
        <vertAlign val="subscript"/>
        <sz val="11"/>
        <color theme="1"/>
        <rFont val="Calibri"/>
        <family val="2"/>
        <scheme val="minor"/>
      </rPr>
      <t>F</t>
    </r>
  </si>
  <si>
    <r>
      <t>l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_age</t>
    </r>
  </si>
  <si>
    <r>
      <t>l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_age</t>
    </r>
  </si>
  <si>
    <t>SPR</t>
  </si>
  <si>
    <t>Weight-at-age</t>
  </si>
  <si>
    <t>Steepness</t>
  </si>
  <si>
    <t>h</t>
  </si>
  <si>
    <t>R0</t>
  </si>
  <si>
    <t>Beverton-Holt a</t>
  </si>
  <si>
    <t>Beverton-Holt b</t>
  </si>
  <si>
    <t>a</t>
  </si>
  <si>
    <t>b</t>
  </si>
  <si>
    <r>
      <t>Beverton-Holt SRR (parameterized in terms of h and R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):</t>
    </r>
  </si>
  <si>
    <t>Beverton-Holt SRR (parameterized in terms of a and b):</t>
  </si>
  <si>
    <t>Note:</t>
  </si>
  <si>
    <r>
      <t>f</t>
    </r>
    <r>
      <rPr>
        <vertAlign val="sub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= relative fecundity (eggs per units mass). A common assumption is fecundity is proportional to spawning biomass.</t>
    </r>
  </si>
  <si>
    <t>See Miller and Brooks (2021) for more details</t>
  </si>
  <si>
    <t xml:space="preserve">https://onlinelibrary.wiley.com/doi/full/10.1111/faf.12534 </t>
  </si>
  <si>
    <t>1. Calculate unfished spawning biomass per recruit (phi0)</t>
  </si>
  <si>
    <t>Equilibrium eggs  per recruit:</t>
  </si>
  <si>
    <t>User defined: estimated from biological sampling</t>
  </si>
  <si>
    <t>User defined: model assumption</t>
  </si>
  <si>
    <t xml:space="preserve">Start with F = </t>
  </si>
  <si>
    <t>User defined: Model output</t>
  </si>
  <si>
    <t>Spawning Potential Ratio:</t>
  </si>
  <si>
    <r>
      <t>v</t>
    </r>
    <r>
      <rPr>
        <vertAlign val="sub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= vulnerability-at-age</t>
    </r>
  </si>
  <si>
    <t>Yield Per Recruit :</t>
  </si>
  <si>
    <r>
      <t xml:space="preserve">Ratio of (spawning biomass per recruit in the </t>
    </r>
    <r>
      <rPr>
        <u/>
        <sz val="11"/>
        <color theme="1"/>
        <rFont val="Calibri"/>
        <family val="2"/>
        <scheme val="minor"/>
      </rPr>
      <t xml:space="preserve">fished </t>
    </r>
    <r>
      <rPr>
        <sz val="11"/>
        <color theme="1"/>
        <rFont val="Calibri"/>
        <family val="2"/>
        <scheme val="minor"/>
      </rPr>
      <t xml:space="preserve">state) to (spawning biomass per recruit in the </t>
    </r>
    <r>
      <rPr>
        <u/>
        <sz val="11"/>
        <color theme="1"/>
        <rFont val="Calibri"/>
        <family val="2"/>
        <scheme val="minor"/>
      </rPr>
      <t>unfished</t>
    </r>
    <r>
      <rPr>
        <sz val="11"/>
        <color theme="1"/>
        <rFont val="Calibri"/>
        <family val="2"/>
        <scheme val="minor"/>
      </rPr>
      <t xml:space="preserve"> state)</t>
    </r>
  </si>
  <si>
    <t>Yield per recruit</t>
  </si>
  <si>
    <t>Spawning potential ratio</t>
  </si>
  <si>
    <t>YPR</t>
  </si>
  <si>
    <t>YPR_age</t>
  </si>
  <si>
    <t>Yield per recruit-at-age</t>
  </si>
  <si>
    <t>2. Calculate spawning biomass per recruit for various F</t>
  </si>
  <si>
    <t>4. Estimate F at X% SPR</t>
  </si>
  <si>
    <t>X =</t>
  </si>
  <si>
    <t>%</t>
  </si>
  <si>
    <t>F=</t>
  </si>
  <si>
    <t>SPR-X</t>
  </si>
  <si>
    <t>min SPR-X</t>
  </si>
  <si>
    <t>3. Add what-if analysis to calculate SPR and YPR for various F</t>
  </si>
  <si>
    <r>
      <t>A B-H SRR parameterized using h and R0 and be reparmeterized in terms of a and b assuming an equilibrium unfished spawning biomass per recruit (φ</t>
    </r>
    <r>
      <rPr>
        <vertAlign val="subscript"/>
        <sz val="10"/>
        <color theme="1"/>
        <rFont val="Calibri"/>
        <family val="2"/>
        <scheme val="minor"/>
      </rPr>
      <t>0</t>
    </r>
    <r>
      <rPr>
        <sz val="10"/>
        <color theme="1"/>
        <rFont val="Calibri"/>
        <family val="2"/>
        <scheme val="minor"/>
      </rPr>
      <t>)</t>
    </r>
  </si>
  <si>
    <t>Recruitment (10^9)</t>
  </si>
  <si>
    <t>SSB (kt)</t>
  </si>
  <si>
    <t>kt</t>
  </si>
  <si>
    <r>
      <t>SSB</t>
    </r>
    <r>
      <rPr>
        <vertAlign val="subscript"/>
        <sz val="11"/>
        <color theme="1"/>
        <rFont val="Calibri"/>
        <family val="2"/>
        <scheme val="minor"/>
      </rPr>
      <t>0</t>
    </r>
  </si>
  <si>
    <t>Equilibrium unfished recruitment</t>
  </si>
  <si>
    <t>Equilibrium fished recruitment</t>
  </si>
  <si>
    <t>Equilibrium unfished SSB</t>
  </si>
  <si>
    <r>
      <t>Eq_rec</t>
    </r>
    <r>
      <rPr>
        <vertAlign val="subscript"/>
        <sz val="11"/>
        <color theme="1"/>
        <rFont val="Calibri"/>
        <family val="2"/>
        <scheme val="minor"/>
      </rPr>
      <t>F</t>
    </r>
  </si>
  <si>
    <t>Equilibrium fished SSB</t>
  </si>
  <si>
    <r>
      <t>Eq_SSB</t>
    </r>
    <r>
      <rPr>
        <vertAlign val="subscript"/>
        <sz val="11"/>
        <color theme="1"/>
        <rFont val="Calibri"/>
        <family val="2"/>
        <scheme val="minor"/>
      </rPr>
      <t>F</t>
    </r>
  </si>
  <si>
    <t>Yield</t>
  </si>
  <si>
    <t>MSY</t>
  </si>
  <si>
    <r>
      <t>F</t>
    </r>
    <r>
      <rPr>
        <vertAlign val="subscript"/>
        <sz val="11"/>
        <color theme="1"/>
        <rFont val="Calibri"/>
        <family val="2"/>
        <scheme val="minor"/>
      </rPr>
      <t>MSY</t>
    </r>
  </si>
  <si>
    <r>
      <t>SSB</t>
    </r>
    <r>
      <rPr>
        <vertAlign val="subscript"/>
        <sz val="11"/>
        <color theme="1"/>
        <rFont val="Calibri"/>
        <family val="2"/>
        <scheme val="minor"/>
      </rPr>
      <t>MSY</t>
    </r>
  </si>
  <si>
    <t>Fishing mortality at MSY</t>
  </si>
  <si>
    <r>
      <t>Equilibrium SSB</t>
    </r>
    <r>
      <rPr>
        <vertAlign val="subscript"/>
        <sz val="11"/>
        <color theme="1"/>
        <rFont val="Calibri"/>
        <family val="2"/>
        <scheme val="minor"/>
      </rPr>
      <t>MSY</t>
    </r>
  </si>
  <si>
    <t>Tab</t>
  </si>
  <si>
    <t>phi0</t>
  </si>
  <si>
    <r>
      <t>Note: h depends on φ</t>
    </r>
    <r>
      <rPr>
        <vertAlign val="subscript"/>
        <sz val="10"/>
        <color theme="1"/>
        <rFont val="Calibri"/>
        <family val="2"/>
        <scheme val="minor"/>
      </rPr>
      <t>0</t>
    </r>
    <r>
      <rPr>
        <sz val="10"/>
        <color theme="1"/>
        <rFont val="Calibri"/>
        <family val="2"/>
        <scheme val="minor"/>
      </rPr>
      <t xml:space="preserve"> (the equilibrium unfished spawning biomass per recruit). The term "equilibrium" is key because φ</t>
    </r>
    <r>
      <rPr>
        <vertAlign val="subscript"/>
        <sz val="10"/>
        <color theme="1"/>
        <rFont val="Calibri"/>
        <family val="2"/>
        <scheme val="minor"/>
      </rPr>
      <t>0</t>
    </r>
    <r>
      <rPr>
        <sz val="10"/>
        <color theme="1"/>
        <rFont val="Calibri"/>
        <family val="2"/>
        <scheme val="minor"/>
      </rPr>
      <t xml:space="preserve"> depends on weight-at-age, maturity-at-age, and M</t>
    </r>
  </si>
  <si>
    <t>Inputs</t>
  </si>
  <si>
    <t>Outputs</t>
  </si>
  <si>
    <t>Unfished spawning biomass per recruit</t>
  </si>
  <si>
    <t>SPR and YPR</t>
  </si>
  <si>
    <t>Curves and SPRx</t>
  </si>
  <si>
    <t>calculations over all F</t>
  </si>
  <si>
    <t>F at X% SPR</t>
  </si>
  <si>
    <t>SRR and Yield</t>
  </si>
  <si>
    <t xml:space="preserve">weight-, maturity-, and natural mortality-at-age </t>
  </si>
  <si>
    <t xml:space="preserve">weight-, maturity-, vulnerability- and natural mortality-at-age </t>
  </si>
  <si>
    <t>Equilibrium unfished spawning biomass</t>
  </si>
  <si>
    <t>Equilibrium spawning biomass at F=F</t>
  </si>
  <si>
    <t>steepness and equilibrium unfished recuitment OR Beverton-Holt a and b</t>
  </si>
  <si>
    <r>
      <t>Equilibrium MSY, F</t>
    </r>
    <r>
      <rPr>
        <vertAlign val="subscript"/>
        <sz val="11"/>
        <color theme="1"/>
        <rFont val="Calibri"/>
        <family val="2"/>
        <scheme val="minor"/>
      </rPr>
      <t>MSY</t>
    </r>
    <r>
      <rPr>
        <sz val="11"/>
        <color theme="1"/>
        <rFont val="Calibri"/>
        <family val="2"/>
        <scheme val="minor"/>
      </rPr>
      <t>, SSB</t>
    </r>
    <r>
      <rPr>
        <vertAlign val="subscript"/>
        <sz val="11"/>
        <color theme="1"/>
        <rFont val="Calibri"/>
        <family val="2"/>
        <scheme val="minor"/>
      </rPr>
      <t>MSY</t>
    </r>
  </si>
  <si>
    <t>Legend for shading:</t>
  </si>
  <si>
    <t>Estimated for F=0 (unfished)</t>
  </si>
  <si>
    <t>Estimated for F=F (fished)</t>
  </si>
  <si>
    <t>Note difference in formula when dragging cells across (first age class and plus group)</t>
  </si>
  <si>
    <t>User defined value (value, biological data, or model output)</t>
  </si>
  <si>
    <t>Used to estimate F at X% SPR</t>
  </si>
  <si>
    <t>9+</t>
  </si>
  <si>
    <t>kg</t>
  </si>
  <si>
    <t>kg/recruit</t>
  </si>
  <si>
    <t>User defined: needed to estiamte equilibrium SSB at F at X% SPR</t>
  </si>
  <si>
    <t>What if analysis to calculate SPR and YPR for different F</t>
  </si>
  <si>
    <t>10^6 recruits</t>
  </si>
  <si>
    <t>recruit/kg</t>
  </si>
  <si>
    <t>/kg</t>
  </si>
  <si>
    <t>Eq_SSBF</t>
  </si>
  <si>
    <t>Eq_recF</t>
  </si>
  <si>
    <t>What if analysis for different F</t>
  </si>
  <si>
    <t>8. Add what-if analysis to calculate Yield for various F and estimate equilibrium MSY reference points</t>
  </si>
  <si>
    <t>SSB0</t>
  </si>
  <si>
    <t>R</t>
  </si>
  <si>
    <t>Equilibrium fished SSB (no stock recruitment relationship)</t>
  </si>
  <si>
    <t>Equilibrium unfished recruitment or median recruitment (no stock recruitment relationship)</t>
  </si>
  <si>
    <t>5. Estimate Equilibrium SSB at F at X% SPR (no stock recruitment relationship)</t>
  </si>
  <si>
    <r>
      <t>6. Define SRR from steepness (h) and equilibrium unfished recruitment (R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)</t>
    </r>
  </si>
  <si>
    <t>7. Calculate equilbrium fished recruitment and equilibrium fished SSB</t>
  </si>
  <si>
    <r>
      <t>6. Add a B-H SRR from steepness (h) and equilibrium unfished recruitment (R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)</t>
    </r>
  </si>
  <si>
    <t>F corresponding to max yield</t>
  </si>
  <si>
    <t>Equilibrium SSB from fishing at Fmsy</t>
  </si>
  <si>
    <t>Max yield from what-if analysis table</t>
  </si>
  <si>
    <t>SSB at SPRx</t>
  </si>
  <si>
    <t>Estimate Equilibrium SSB at F at X% SPR</t>
  </si>
  <si>
    <t>unfished recruitment (or median recruitment)</t>
  </si>
  <si>
    <t>Add stock recruitment relationship</t>
  </si>
  <si>
    <t>No stock recruitment relationship assumed</t>
  </si>
  <si>
    <t>This spreadsheet guides you through some reference point calculations using an example data set with ages 1 to 9+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</si>
</sst>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bscript"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4">
    <xf numFmtId="0" fontId="0" fillId="0" borderId="0" xfId="0"/>
    <xf numFmtId="0" fontId="0" fillId="0" borderId="0" xfId="0" applyFont="1"/>
    <xf numFmtId="0" fontId="1" fillId="2" borderId="0" xfId="0" applyFont="1" applyFill="1" applyAlignment="1">
      <alignment vertical="center"/>
    </xf>
    <xf numFmtId="0" fontId="1" fillId="0" borderId="0" xfId="0" applyFont="1"/>
    <xf numFmtId="0" fontId="0" fillId="0" borderId="0" xfId="0" quotePrefix="1" applyFont="1"/>
    <xf numFmtId="0" fontId="1" fillId="0" borderId="0" xfId="0" quotePrefix="1" applyFont="1"/>
    <xf numFmtId="0" fontId="1" fillId="0" borderId="0" xfId="0" applyFont="1" applyFill="1" applyAlignment="1">
      <alignment vertical="center"/>
    </xf>
    <xf numFmtId="0" fontId="0" fillId="0" borderId="0" xfId="0" quotePrefix="1"/>
    <xf numFmtId="0" fontId="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5" borderId="0" xfId="0" applyFont="1" applyFill="1"/>
    <xf numFmtId="0" fontId="0" fillId="5" borderId="0" xfId="0" applyFill="1" applyAlignment="1"/>
    <xf numFmtId="0" fontId="0" fillId="3" borderId="0" xfId="0" applyFont="1" applyFill="1"/>
    <xf numFmtId="0" fontId="0" fillId="3" borderId="0" xfId="0" applyFill="1"/>
    <xf numFmtId="0" fontId="0" fillId="5" borderId="0" xfId="0" applyFill="1"/>
    <xf numFmtId="0" fontId="4" fillId="0" borderId="0" xfId="1"/>
    <xf numFmtId="0" fontId="0" fillId="2" borderId="0" xfId="0" applyFill="1"/>
    <xf numFmtId="0" fontId="1" fillId="5" borderId="0" xfId="0" applyFont="1" applyFill="1"/>
    <xf numFmtId="0" fontId="1" fillId="7" borderId="0" xfId="0" applyFont="1" applyFill="1" applyAlignment="1">
      <alignment vertical="center"/>
    </xf>
    <xf numFmtId="0" fontId="0" fillId="7" borderId="0" xfId="0" applyFill="1"/>
    <xf numFmtId="0" fontId="0" fillId="4" borderId="0" xfId="0" applyFill="1" applyAlignment="1">
      <alignment vertical="top" wrapText="1"/>
    </xf>
    <xf numFmtId="0" fontId="0" fillId="8" borderId="0" xfId="0" applyFont="1" applyFill="1"/>
    <xf numFmtId="0" fontId="0" fillId="8" borderId="0" xfId="0" applyFill="1"/>
    <xf numFmtId="0" fontId="0" fillId="8" borderId="0" xfId="0" applyFill="1" applyAlignment="1">
      <alignment vertical="center"/>
    </xf>
    <xf numFmtId="0" fontId="0" fillId="0" borderId="0" xfId="0" applyFill="1"/>
    <xf numFmtId="0" fontId="0" fillId="6" borderId="4" xfId="0" applyFill="1" applyBorder="1"/>
    <xf numFmtId="0" fontId="0" fillId="6" borderId="0" xfId="0" applyFill="1" applyBorder="1"/>
    <xf numFmtId="0" fontId="0" fillId="6" borderId="5" xfId="0" applyFill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right"/>
    </xf>
    <xf numFmtId="0" fontId="0" fillId="0" borderId="0" xfId="0" applyFill="1" applyAlignment="1">
      <alignment horizontal="right" vertical="top" wrapText="1"/>
    </xf>
    <xf numFmtId="0" fontId="7" fillId="0" borderId="0" xfId="0" applyFont="1"/>
    <xf numFmtId="0" fontId="0" fillId="0" borderId="0" xfId="0" applyFont="1" applyFill="1"/>
    <xf numFmtId="2" fontId="0" fillId="0" borderId="0" xfId="0" applyNumberFormat="1"/>
    <xf numFmtId="0" fontId="5" fillId="0" borderId="0" xfId="0" applyFont="1"/>
    <xf numFmtId="0" fontId="1" fillId="3" borderId="0" xfId="0" applyFont="1" applyFill="1"/>
    <xf numFmtId="0" fontId="1" fillId="0" borderId="0" xfId="0" applyFont="1" applyFill="1"/>
    <xf numFmtId="0" fontId="0" fillId="0" borderId="10" xfId="0" applyFill="1" applyBorder="1"/>
    <xf numFmtId="0" fontId="0" fillId="0" borderId="11" xfId="0" applyFill="1" applyBorder="1"/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8" xfId="0" applyFill="1" applyBorder="1"/>
    <xf numFmtId="0" fontId="0" fillId="0" borderId="20" xfId="0" applyBorder="1"/>
    <xf numFmtId="0" fontId="0" fillId="0" borderId="21" xfId="0" applyBorder="1"/>
    <xf numFmtId="0" fontId="0" fillId="4" borderId="0" xfId="0" applyFill="1"/>
    <xf numFmtId="0" fontId="0" fillId="6" borderId="0" xfId="0" applyFill="1"/>
    <xf numFmtId="164" fontId="0" fillId="0" borderId="0" xfId="0" applyNumberFormat="1"/>
    <xf numFmtId="0" fontId="0" fillId="0" borderId="0" xfId="0" applyAlignment="1">
      <alignment horizontal="left"/>
    </xf>
    <xf numFmtId="0" fontId="0" fillId="8" borderId="6" xfId="0" applyFont="1" applyFill="1" applyBorder="1" applyAlignment="1"/>
    <xf numFmtId="0" fontId="0" fillId="8" borderId="7" xfId="0" applyFont="1" applyFill="1" applyBorder="1" applyAlignment="1"/>
    <xf numFmtId="0" fontId="0" fillId="0" borderId="0" xfId="0" applyAlignment="1">
      <alignment horizontal="right" vertical="center"/>
    </xf>
    <xf numFmtId="0" fontId="1" fillId="6" borderId="0" xfId="0" applyFont="1" applyFill="1"/>
    <xf numFmtId="0" fontId="0" fillId="6" borderId="0" xfId="0" applyFont="1" applyFill="1"/>
    <xf numFmtId="0" fontId="0" fillId="9" borderId="17" xfId="0" applyFill="1" applyBorder="1"/>
    <xf numFmtId="0" fontId="0" fillId="9" borderId="15" xfId="0" applyFill="1" applyBorder="1"/>
    <xf numFmtId="0" fontId="0" fillId="9" borderId="19" xfId="0" applyFill="1" applyBorder="1"/>
    <xf numFmtId="0" fontId="0" fillId="6" borderId="0" xfId="0" applyFill="1" applyAlignment="1">
      <alignment horizontal="left"/>
    </xf>
    <xf numFmtId="0" fontId="0" fillId="9" borderId="22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" fillId="6" borderId="0" xfId="0" applyFont="1" applyFill="1" applyAlignment="1">
      <alignment horizontal="left" vertical="top" wrapText="1"/>
    </xf>
    <xf numFmtId="0" fontId="0" fillId="8" borderId="6" xfId="0" applyFont="1" applyFill="1" applyBorder="1" applyAlignment="1">
      <alignment horizontal="left"/>
    </xf>
    <xf numFmtId="0" fontId="0" fillId="8" borderId="7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2799650043744"/>
          <c:y val="4.1666666666666664E-2"/>
          <c:w val="0.84096500437445332"/>
          <c:h val="0.7963888888888889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'Curves and SPRx'!$A$30:$A$280</c:f>
              <c:numCache>
                <c:formatCode>General</c:formatCode>
                <c:ptCount val="251"/>
                <c:pt idx="0">
                  <c:v>1E-4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</c:numCache>
            </c:numRef>
          </c:xVal>
          <c:yVal>
            <c:numRef>
              <c:f>'Curves and SPRx'!$B$30:$B$280</c:f>
              <c:numCache>
                <c:formatCode>General</c:formatCode>
                <c:ptCount val="251"/>
                <c:pt idx="0">
                  <c:v>0.99952159084272474</c:v>
                </c:pt>
                <c:pt idx="1">
                  <c:v>0.95448419702497456</c:v>
                </c:pt>
                <c:pt idx="2">
                  <c:v>0.91323765685305125</c:v>
                </c:pt>
                <c:pt idx="3">
                  <c:v>0.87569913806345145</c:v>
                </c:pt>
                <c:pt idx="4">
                  <c:v>0.84140098817357856</c:v>
                </c:pt>
                <c:pt idx="5">
                  <c:v>0.80995044719986264</c:v>
                </c:pt>
                <c:pt idx="6">
                  <c:v>0.78101525965315455</c:v>
                </c:pt>
                <c:pt idx="7">
                  <c:v>0.75431247955756053</c:v>
                </c:pt>
                <c:pt idx="8">
                  <c:v>0.72959967133015535</c:v>
                </c:pt>
                <c:pt idx="9">
                  <c:v>0.7066679289726443</c:v>
                </c:pt>
                <c:pt idx="10">
                  <c:v>0.68533628984063166</c:v>
                </c:pt>
                <c:pt idx="11">
                  <c:v>0.66544722847070559</c:v>
                </c:pt>
                <c:pt idx="12">
                  <c:v>0.64686299448063744</c:v>
                </c:pt>
                <c:pt idx="13">
                  <c:v>0.62946261569958595</c:v>
                </c:pt>
                <c:pt idx="14">
                  <c:v>0.6131394297182754</c:v>
                </c:pt>
                <c:pt idx="15">
                  <c:v>0.59779903828564174</c:v>
                </c:pt>
                <c:pt idx="16">
                  <c:v>0.58335760241424339</c:v>
                </c:pt>
                <c:pt idx="17">
                  <c:v>0.56974041379787388</c:v>
                </c:pt>
                <c:pt idx="18">
                  <c:v>0.55688069168838961</c:v>
                </c:pt>
                <c:pt idx="19">
                  <c:v>0.54471856479999958</c:v>
                </c:pt>
                <c:pt idx="20">
                  <c:v>0.53320020588797934</c:v>
                </c:pt>
                <c:pt idx="21">
                  <c:v>0.52227709295577129</c:v>
                </c:pt>
                <c:pt idx="22">
                  <c:v>0.51190537600119057</c:v>
                </c:pt>
                <c:pt idx="23">
                  <c:v>0.50204533213265934</c:v>
                </c:pt>
                <c:pt idx="24">
                  <c:v>0.4926608950054514</c:v>
                </c:pt>
                <c:pt idx="25">
                  <c:v>0.48371924702369723</c:v>
                </c:pt>
                <c:pt idx="26">
                  <c:v>0.47519046476178278</c:v>
                </c:pt>
                <c:pt idx="27">
                  <c:v>0.46704720968245955</c:v>
                </c:pt>
                <c:pt idx="28">
                  <c:v>0.45926445754849993</c:v>
                </c:pt>
                <c:pt idx="29">
                  <c:v>0.45181926100204461</c:v>
                </c:pt>
                <c:pt idx="30">
                  <c:v>0.44469054066934505</c:v>
                </c:pt>
                <c:pt idx="31">
                  <c:v>0.43785890087636159</c:v>
                </c:pt>
                <c:pt idx="32">
                  <c:v>0.43130646666254246</c:v>
                </c:pt>
                <c:pt idx="33">
                  <c:v>0.42501673927986727</c:v>
                </c:pt>
                <c:pt idx="34">
                  <c:v>0.41897446778074526</c:v>
                </c:pt>
                <c:pt idx="35">
                  <c:v>0.41316553464675532</c:v>
                </c:pt>
                <c:pt idx="36">
                  <c:v>0.40757685370266106</c:v>
                </c:pt>
                <c:pt idx="37">
                  <c:v>0.40219627880642972</c:v>
                </c:pt>
                <c:pt idx="38">
                  <c:v>0.39701252201407877</c:v>
                </c:pt>
                <c:pt idx="39">
                  <c:v>0.3920150800945556</c:v>
                </c:pt>
                <c:pt idx="40">
                  <c:v>0.38719416841978377</c:v>
                </c:pt>
                <c:pt idx="41">
                  <c:v>0.3825406613828321</c:v>
                </c:pt>
                <c:pt idx="42">
                  <c:v>0.37804603860644587</c:v>
                </c:pt>
                <c:pt idx="43">
                  <c:v>0.37370233629784722</c:v>
                </c:pt>
                <c:pt idx="44">
                  <c:v>0.36950210318622317</c:v>
                </c:pt>
                <c:pt idx="45">
                  <c:v>0.36543836054868317</c:v>
                </c:pt>
                <c:pt idx="46">
                  <c:v>0.36150456589037933</c:v>
                </c:pt>
                <c:pt idx="47">
                  <c:v>0.35769457989634645</c:v>
                </c:pt>
                <c:pt idx="48">
                  <c:v>0.35400263631762141</c:v>
                </c:pt>
                <c:pt idx="49">
                  <c:v>0.35042331449334041</c:v>
                </c:pt>
                <c:pt idx="50">
                  <c:v>0.34695151424461262</c:v>
                </c:pt>
                <c:pt idx="51">
                  <c:v>0.34358243290575535</c:v>
                </c:pt>
                <c:pt idx="52">
                  <c:v>0.34031154428453309</c:v>
                </c:pt>
                <c:pt idx="53">
                  <c:v>0.33713457936589597</c:v>
                </c:pt>
                <c:pt idx="54">
                  <c:v>0.3340475085937758</c:v>
                </c:pt>
                <c:pt idx="55">
                  <c:v>0.33104652558316783</c:v>
                </c:pt>
                <c:pt idx="56">
                  <c:v>0.32812803213029046</c:v>
                </c:pt>
                <c:pt idx="57">
                  <c:v>0.32528862440236567</c:v>
                </c:pt>
                <c:pt idx="58">
                  <c:v>0.32252508020073262</c:v>
                </c:pt>
                <c:pt idx="59">
                  <c:v>0.31983434720177595</c:v>
                </c:pt>
                <c:pt idx="60">
                  <c:v>0.31721353208972275</c:v>
                </c:pt>
                <c:pt idx="61">
                  <c:v>0.31465989050385901</c:v>
                </c:pt>
                <c:pt idx="62">
                  <c:v>0.31217081773028965</c:v>
                </c:pt>
                <c:pt idx="63">
                  <c:v>0.30974384007510952</c:v>
                </c:pt>
                <c:pt idx="64">
                  <c:v>0.30737660686187879</c:v>
                </c:pt>
                <c:pt idx="65">
                  <c:v>0.30506688300168544</c:v>
                </c:pt>
                <c:pt idx="66">
                  <c:v>0.3028125420888938</c:v>
                </c:pt>
                <c:pt idx="67">
                  <c:v>0.30061155998000555</c:v>
                </c:pt>
                <c:pt idx="68">
                  <c:v>0.29846200881694074</c:v>
                </c:pt>
                <c:pt idx="69">
                  <c:v>0.29636205145952904</c:v>
                </c:pt>
                <c:pt idx="70">
                  <c:v>0.29430993629514718</c:v>
                </c:pt>
                <c:pt idx="71">
                  <c:v>0.29230399239626115</c:v>
                </c:pt>
                <c:pt idx="72">
                  <c:v>0.29034262499918539</c:v>
                </c:pt>
                <c:pt idx="73">
                  <c:v>0.28842431127967433</c:v>
                </c:pt>
                <c:pt idx="74">
                  <c:v>0.28654759640304611</c:v>
                </c:pt>
                <c:pt idx="75">
                  <c:v>0.28471108982842003</c:v>
                </c:pt>
                <c:pt idx="76">
                  <c:v>0.28291346184836469</c:v>
                </c:pt>
                <c:pt idx="77">
                  <c:v>0.28115344034679329</c:v>
                </c:pt>
                <c:pt idx="78">
                  <c:v>0.27942980775936105</c:v>
                </c:pt>
                <c:pt idx="79">
                  <c:v>0.27774139822188915</c:v>
                </c:pt>
                <c:pt idx="80">
                  <c:v>0.27608709489350897</c:v>
                </c:pt>
                <c:pt idx="81">
                  <c:v>0.27446582744227782</c:v>
                </c:pt>
                <c:pt idx="82">
                  <c:v>0.2728765696819842</c:v>
                </c:pt>
                <c:pt idx="83">
                  <c:v>0.27131833734974026</c:v>
                </c:pt>
                <c:pt idx="84">
                  <c:v>0.26979018601476712</c:v>
                </c:pt>
                <c:pt idx="85">
                  <c:v>0.26829120910951293</c:v>
                </c:pt>
                <c:pt idx="86">
                  <c:v>0.26682053607491374</c:v>
                </c:pt>
                <c:pt idx="87">
                  <c:v>0.26537733061222968</c:v>
                </c:pt>
                <c:pt idx="88">
                  <c:v>0.26396078903444975</c:v>
                </c:pt>
                <c:pt idx="89">
                  <c:v>0.2625701387107745</c:v>
                </c:pt>
                <c:pt idx="90">
                  <c:v>0.26120463659816789</c:v>
                </c:pt>
                <c:pt idx="91">
                  <c:v>0.25986356785439996</c:v>
                </c:pt>
                <c:pt idx="92">
                  <c:v>0.25854624452740771</c:v>
                </c:pt>
                <c:pt idx="93">
                  <c:v>0.25725200431616851</c:v>
                </c:pt>
                <c:pt idx="94">
                  <c:v>0.25598020939862121</c:v>
                </c:pt>
                <c:pt idx="95">
                  <c:v>0.25473024532248623</c:v>
                </c:pt>
                <c:pt idx="96">
                  <c:v>0.25350151995511894</c:v>
                </c:pt>
                <c:pt idx="97">
                  <c:v>0.2522934624888033</c:v>
                </c:pt>
                <c:pt idx="98">
                  <c:v>0.25110552249813722</c:v>
                </c:pt>
                <c:pt idx="99">
                  <c:v>0.24993716904638399</c:v>
                </c:pt>
                <c:pt idx="100">
                  <c:v>0.24878788983788414</c:v>
                </c:pt>
                <c:pt idx="101">
                  <c:v>0.24765719041380529</c:v>
                </c:pt>
                <c:pt idx="102">
                  <c:v>0.24654459338869789</c:v>
                </c:pt>
                <c:pt idx="103">
                  <c:v>0.24544963772548459</c:v>
                </c:pt>
                <c:pt idx="104">
                  <c:v>0.24437187804666854</c:v>
                </c:pt>
                <c:pt idx="105">
                  <c:v>0.243310883979691</c:v>
                </c:pt>
                <c:pt idx="106">
                  <c:v>0.24226623953449766</c:v>
                </c:pt>
                <c:pt idx="107">
                  <c:v>0.24123754251150048</c:v>
                </c:pt>
                <c:pt idx="108">
                  <c:v>0.24022440393823571</c:v>
                </c:pt>
                <c:pt idx="109">
                  <c:v>0.23922644753312411</c:v>
                </c:pt>
                <c:pt idx="110">
                  <c:v>0.2382433091948403</c:v>
                </c:pt>
                <c:pt idx="111">
                  <c:v>0.23727463651589242</c:v>
                </c:pt>
                <c:pt idx="112">
                  <c:v>0.23632008831909385</c:v>
                </c:pt>
                <c:pt idx="113">
                  <c:v>0.23537933421569526</c:v>
                </c:pt>
                <c:pt idx="114">
                  <c:v>0.23445205418401688</c:v>
                </c:pt>
                <c:pt idx="115">
                  <c:v>0.23353793816749024</c:v>
                </c:pt>
                <c:pt idx="116">
                  <c:v>0.23263668569108592</c:v>
                </c:pt>
                <c:pt idx="117">
                  <c:v>0.23174800549516245</c:v>
                </c:pt>
                <c:pt idx="118">
                  <c:v>0.23087161518582994</c:v>
                </c:pt>
                <c:pt idx="119">
                  <c:v>0.23000724090097513</c:v>
                </c:pt>
                <c:pt idx="120">
                  <c:v>0.22915461699114162</c:v>
                </c:pt>
                <c:pt idx="121">
                  <c:v>0.22831348571450999</c:v>
                </c:pt>
                <c:pt idx="122">
                  <c:v>0.22748359694526149</c:v>
                </c:pt>
                <c:pt idx="123">
                  <c:v>0.2266647078946521</c:v>
                </c:pt>
                <c:pt idx="124">
                  <c:v>0.22585658284416293</c:v>
                </c:pt>
                <c:pt idx="125">
                  <c:v>0.22505899289012465</c:v>
                </c:pt>
                <c:pt idx="126">
                  <c:v>0.22427171569925192</c:v>
                </c:pt>
                <c:pt idx="127">
                  <c:v>0.22349453527455171</c:v>
                </c:pt>
                <c:pt idx="128">
                  <c:v>0.2227272417311007</c:v>
                </c:pt>
                <c:pt idx="129">
                  <c:v>0.22196963108121426</c:v>
                </c:pt>
                <c:pt idx="130">
                  <c:v>0.22122150502855434</c:v>
                </c:pt>
                <c:pt idx="131">
                  <c:v>0.22048267077075084</c:v>
                </c:pt>
                <c:pt idx="132">
                  <c:v>0.21975294081013066</c:v>
                </c:pt>
                <c:pt idx="133">
                  <c:v>0.2190321327721724</c:v>
                </c:pt>
                <c:pt idx="134">
                  <c:v>0.21832006923132488</c:v>
                </c:pt>
                <c:pt idx="135">
                  <c:v>0.21761657754384495</c:v>
                </c:pt>
                <c:pt idx="136">
                  <c:v>0.21692148968733141</c:v>
                </c:pt>
                <c:pt idx="137">
                  <c:v>0.2162346421066447</c:v>
                </c:pt>
                <c:pt idx="138">
                  <c:v>0.21555587556592173</c:v>
                </c:pt>
                <c:pt idx="139">
                  <c:v>0.21488503500640771</c:v>
                </c:pt>
                <c:pt idx="140">
                  <c:v>0.21422196940984226</c:v>
                </c:pt>
                <c:pt idx="141">
                  <c:v>0.21356653166715087</c:v>
                </c:pt>
                <c:pt idx="142">
                  <c:v>0.21291857845220305</c:v>
                </c:pt>
                <c:pt idx="143">
                  <c:v>0.21227797010041399</c:v>
                </c:pt>
                <c:pt idx="144">
                  <c:v>0.21164457049197488</c:v>
                </c:pt>
                <c:pt idx="145">
                  <c:v>0.21101824693950885</c:v>
                </c:pt>
                <c:pt idx="146">
                  <c:v>0.21039887007995942</c:v>
                </c:pt>
                <c:pt idx="147">
                  <c:v>0.20978631377052842</c:v>
                </c:pt>
                <c:pt idx="148">
                  <c:v>0.20918045498848767</c:v>
                </c:pt>
                <c:pt idx="149">
                  <c:v>0.20858117373469906</c:v>
                </c:pt>
                <c:pt idx="150">
                  <c:v>0.20798835294068493</c:v>
                </c:pt>
                <c:pt idx="151">
                  <c:v>0.20740187837909746</c:v>
                </c:pt>
                <c:pt idx="152">
                  <c:v>0.20682163857744484</c:v>
                </c:pt>
                <c:pt idx="153">
                  <c:v>0.20624752473493652</c:v>
                </c:pt>
                <c:pt idx="154">
                  <c:v>0.20567943064231864</c:v>
                </c:pt>
                <c:pt idx="155">
                  <c:v>0.20511725260457475</c:v>
                </c:pt>
                <c:pt idx="156">
                  <c:v>0.20456088936637412</c:v>
                </c:pt>
                <c:pt idx="157">
                  <c:v>0.20401024204015508</c:v>
                </c:pt>
                <c:pt idx="158">
                  <c:v>0.20346521403673554</c:v>
                </c:pt>
                <c:pt idx="159">
                  <c:v>0.20292571099834836</c:v>
                </c:pt>
                <c:pt idx="160">
                  <c:v>0.20239164073400459</c:v>
                </c:pt>
                <c:pt idx="161">
                  <c:v>0.20186291315708896</c:v>
                </c:pt>
                <c:pt idx="162">
                  <c:v>0.20133944022510139</c:v>
                </c:pt>
                <c:pt idx="163">
                  <c:v>0.20082113588145756</c:v>
                </c:pt>
                <c:pt idx="164">
                  <c:v>0.20030791599926717</c:v>
                </c:pt>
                <c:pt idx="165">
                  <c:v>0.19979969832701328</c:v>
                </c:pt>
                <c:pt idx="166">
                  <c:v>0.1992964024360577</c:v>
                </c:pt>
                <c:pt idx="167">
                  <c:v>0.1987979496699018</c:v>
                </c:pt>
                <c:pt idx="168">
                  <c:v>0.19830426309513469</c:v>
                </c:pt>
                <c:pt idx="169">
                  <c:v>0.19781526745400385</c:v>
                </c:pt>
                <c:pt idx="170">
                  <c:v>0.1973308891185466</c:v>
                </c:pt>
                <c:pt idx="171">
                  <c:v>0.19685105604622252</c:v>
                </c:pt>
                <c:pt idx="172">
                  <c:v>0.19637569773699026</c:v>
                </c:pt>
                <c:pt idx="173">
                  <c:v>0.19590474519177409</c:v>
                </c:pt>
                <c:pt idx="174">
                  <c:v>0.19543813087226836</c:v>
                </c:pt>
                <c:pt idx="175">
                  <c:v>0.19497578866203025</c:v>
                </c:pt>
                <c:pt idx="176">
                  <c:v>0.19451765382881223</c:v>
                </c:pt>
                <c:pt idx="177">
                  <c:v>0.19406366298808897</c:v>
                </c:pt>
                <c:pt idx="178">
                  <c:v>0.19361375406773551</c:v>
                </c:pt>
                <c:pt idx="179">
                  <c:v>0.19316786627381274</c:v>
                </c:pt>
                <c:pt idx="180">
                  <c:v>0.1927259400574225</c:v>
                </c:pt>
                <c:pt idx="181">
                  <c:v>0.19228791708259099</c:v>
                </c:pt>
                <c:pt idx="182">
                  <c:v>0.19185374019514573</c:v>
                </c:pt>
                <c:pt idx="183">
                  <c:v>0.19142335339254885</c:v>
                </c:pt>
                <c:pt idx="184">
                  <c:v>0.19099670179465358</c:v>
                </c:pt>
                <c:pt idx="185">
                  <c:v>0.19057373161535066</c:v>
                </c:pt>
                <c:pt idx="186">
                  <c:v>0.19015439013507379</c:v>
                </c:pt>
                <c:pt idx="187">
                  <c:v>0.18973862567413327</c:v>
                </c:pt>
                <c:pt idx="188">
                  <c:v>0.18932638756684964</c:v>
                </c:pt>
                <c:pt idx="189">
                  <c:v>0.18891762613645882</c:v>
                </c:pt>
                <c:pt idx="190">
                  <c:v>0.18851229267076222</c:v>
                </c:pt>
                <c:pt idx="191">
                  <c:v>0.18811033939849681</c:v>
                </c:pt>
                <c:pt idx="192">
                  <c:v>0.18771171946639917</c:v>
                </c:pt>
                <c:pt idx="193">
                  <c:v>0.18731638691694127</c:v>
                </c:pt>
                <c:pt idx="194">
                  <c:v>0.18692429666671428</c:v>
                </c:pt>
                <c:pt idx="195">
                  <c:v>0.18653540448543784</c:v>
                </c:pt>
                <c:pt idx="196">
                  <c:v>0.18614966697557628</c:v>
                </c:pt>
                <c:pt idx="197">
                  <c:v>0.18576704155253804</c:v>
                </c:pt>
                <c:pt idx="198">
                  <c:v>0.18538748642544212</c:v>
                </c:pt>
                <c:pt idx="199">
                  <c:v>0.18501096057842967</c:v>
                </c:pt>
                <c:pt idx="200">
                  <c:v>0.18463742375250583</c:v>
                </c:pt>
                <c:pt idx="201">
                  <c:v>0.18426683642789146</c:v>
                </c:pt>
                <c:pt idx="202">
                  <c:v>0.18389915980687038</c:v>
                </c:pt>
                <c:pt idx="203">
                  <c:v>0.18353435579711447</c:v>
                </c:pt>
                <c:pt idx="204">
                  <c:v>0.18317238699547211</c:v>
                </c:pt>
                <c:pt idx="205">
                  <c:v>0.18281321667220407</c:v>
                </c:pt>
                <c:pt idx="206">
                  <c:v>0.18245680875565323</c:v>
                </c:pt>
                <c:pt idx="207">
                  <c:v>0.18210312781733473</c:v>
                </c:pt>
                <c:pt idx="208">
                  <c:v>0.18175213905743073</c:v>
                </c:pt>
                <c:pt idx="209">
                  <c:v>0.18140380829068042</c:v>
                </c:pt>
                <c:pt idx="210">
                  <c:v>0.1810581019326501</c:v>
                </c:pt>
                <c:pt idx="211">
                  <c:v>0.18071498698637242</c:v>
                </c:pt>
                <c:pt idx="212">
                  <c:v>0.18037443102934322</c:v>
                </c:pt>
                <c:pt idx="213">
                  <c:v>0.180036402200865</c:v>
                </c:pt>
                <c:pt idx="214">
                  <c:v>0.17970086918972533</c:v>
                </c:pt>
                <c:pt idx="215">
                  <c:v>0.17936780122220169</c:v>
                </c:pt>
                <c:pt idx="216">
                  <c:v>0.17903716805038003</c:v>
                </c:pt>
                <c:pt idx="217">
                  <c:v>0.17870893994078052</c:v>
                </c:pt>
                <c:pt idx="218">
                  <c:v>0.17838308766327837</c:v>
                </c:pt>
                <c:pt idx="219">
                  <c:v>0.17805958248031289</c:v>
                </c:pt>
                <c:pt idx="220">
                  <c:v>0.1777383961363744</c:v>
                </c:pt>
                <c:pt idx="221">
                  <c:v>0.17741950084776195</c:v>
                </c:pt>
                <c:pt idx="222">
                  <c:v>0.17710286929260316</c:v>
                </c:pt>
                <c:pt idx="223">
                  <c:v>0.17678847460112776</c:v>
                </c:pt>
                <c:pt idx="224">
                  <c:v>0.17647629034618892</c:v>
                </c:pt>
                <c:pt idx="225">
                  <c:v>0.17616629053402327</c:v>
                </c:pt>
                <c:pt idx="226">
                  <c:v>0.17585844959524363</c:v>
                </c:pt>
                <c:pt idx="227">
                  <c:v>0.1755527423760572</c:v>
                </c:pt>
                <c:pt idx="228">
                  <c:v>0.17524914412970322</c:v>
                </c:pt>
                <c:pt idx="229">
                  <c:v>0.17494763050810253</c:v>
                </c:pt>
                <c:pt idx="230">
                  <c:v>0.17464817755371459</c:v>
                </c:pt>
                <c:pt idx="231">
                  <c:v>0.17435076169159369</c:v>
                </c:pt>
                <c:pt idx="232">
                  <c:v>0.17405535972164157</c:v>
                </c:pt>
                <c:pt idx="233">
                  <c:v>0.17376194881104792</c:v>
                </c:pt>
                <c:pt idx="234">
                  <c:v>0.173470506486915</c:v>
                </c:pt>
                <c:pt idx="235">
                  <c:v>0.17318101062906152</c:v>
                </c:pt>
                <c:pt idx="236">
                  <c:v>0.17289343946299918</c:v>
                </c:pt>
                <c:pt idx="237">
                  <c:v>0.17260777155307835</c:v>
                </c:pt>
                <c:pt idx="238">
                  <c:v>0.17232398579579764</c:v>
                </c:pt>
                <c:pt idx="239">
                  <c:v>0.17204206141327241</c:v>
                </c:pt>
                <c:pt idx="240">
                  <c:v>0.1717619779468591</c:v>
                </c:pt>
                <c:pt idx="241">
                  <c:v>0.17148371525092945</c:v>
                </c:pt>
                <c:pt idx="242">
                  <c:v>0.17120725348679094</c:v>
                </c:pt>
                <c:pt idx="243">
                  <c:v>0.17093257311675078</c:v>
                </c:pt>
                <c:pt idx="244">
                  <c:v>0.17065965489831747</c:v>
                </c:pt>
                <c:pt idx="245">
                  <c:v>0.17038847987853742</c:v>
                </c:pt>
                <c:pt idx="246">
                  <c:v>0.17011902938846288</c:v>
                </c:pt>
                <c:pt idx="247">
                  <c:v>0.16985128503774724</c:v>
                </c:pt>
                <c:pt idx="248">
                  <c:v>0.16958522870936446</c:v>
                </c:pt>
                <c:pt idx="249">
                  <c:v>0.16932084255444962</c:v>
                </c:pt>
                <c:pt idx="250">
                  <c:v>0.16905810898725607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06-4F55-A00E-4CE96DDEC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38640"/>
        <c:axId val="897235688"/>
      </c:scatterChart>
      <c:valAx>
        <c:axId val="897238640"/>
        <c:scaling>
          <c:orientation val="minMax"/>
          <c:max val="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5688"/>
        <c:crosses val="autoZero"/>
        <c:crossBetween val="midCat"/>
      </c:valAx>
      <c:valAx>
        <c:axId val="8972356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SPR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864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2799650043744"/>
          <c:y val="4.1666666666666664E-2"/>
          <c:w val="0.84096500437445332"/>
          <c:h val="0.7963888888888889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'Curves and SPRx'!$A$30:$A$280</c:f>
              <c:numCache>
                <c:formatCode>General</c:formatCode>
                <c:ptCount val="251"/>
                <c:pt idx="0">
                  <c:v>1E-4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</c:numCache>
            </c:numRef>
          </c:xVal>
          <c:yVal>
            <c:numRef>
              <c:f>'Curves and SPRx'!$C$30:$C$280</c:f>
              <c:numCache>
                <c:formatCode>General</c:formatCode>
                <c:ptCount val="251"/>
                <c:pt idx="0">
                  <c:v>6.8128969288715636E-4</c:v>
                </c:pt>
                <c:pt idx="1">
                  <c:v>6.43343462730398E-2</c:v>
                </c:pt>
                <c:pt idx="2">
                  <c:v>0.12173192642859101</c:v>
                </c:pt>
                <c:pt idx="3">
                  <c:v>0.17314724253319588</c:v>
                </c:pt>
                <c:pt idx="4">
                  <c:v>0.21937345502736541</c:v>
                </c:pt>
                <c:pt idx="5">
                  <c:v>0.26107472664256853</c:v>
                </c:pt>
                <c:pt idx="6">
                  <c:v>0.29881110713728715</c:v>
                </c:pt>
                <c:pt idx="7">
                  <c:v>0.33305789025881521</c:v>
                </c:pt>
                <c:pt idx="8">
                  <c:v>0.36422082325420319</c:v>
                </c:pt>
                <c:pt idx="9">
                  <c:v>0.39264816896870791</c:v>
                </c:pt>
                <c:pt idx="10">
                  <c:v>0.41864035422401591</c:v>
                </c:pt>
                <c:pt idx="11">
                  <c:v>0.44245774905277546</c:v>
                </c:pt>
                <c:pt idx="12">
                  <c:v>0.46432698537526651</c:v>
                </c:pt>
                <c:pt idx="13">
                  <c:v>0.48444612475875548</c:v>
                </c:pt>
                <c:pt idx="14">
                  <c:v>0.50298891211688024</c:v>
                </c:pt>
                <c:pt idx="15">
                  <c:v>0.52010829811866577</c:v>
                </c:pt>
                <c:pt idx="16">
                  <c:v>0.53593937249685797</c:v>
                </c:pt>
                <c:pt idx="17">
                  <c:v>0.55060181972622135</c:v>
                </c:pt>
                <c:pt idx="18">
                  <c:v>0.56420198509193298</c:v>
                </c:pt>
                <c:pt idx="19">
                  <c:v>0.57683462112432093</c:v>
                </c:pt>
                <c:pt idx="20">
                  <c:v>0.5885843703885929</c:v>
                </c:pt>
                <c:pt idx="21">
                  <c:v>0.59952702969842908</c:v>
                </c:pt>
                <c:pt idx="22">
                  <c:v>0.60973063224063184</c:v>
                </c:pt>
                <c:pt idx="23">
                  <c:v>0.6192563773111408</c:v>
                </c:pt>
                <c:pt idx="24">
                  <c:v>0.62815943196308066</c:v>
                </c:pt>
                <c:pt idx="25">
                  <c:v>0.63648962454709368</c:v>
                </c:pt>
                <c:pt idx="26">
                  <c:v>0.64429204664858242</c:v>
                </c:pt>
                <c:pt idx="27">
                  <c:v>0.65160757711605088</c:v>
                </c:pt>
                <c:pt idx="28">
                  <c:v>0.65847333959100185</c:v>
                </c:pt>
                <c:pt idx="29">
                  <c:v>0.66492310308541891</c:v>
                </c:pt>
                <c:pt idx="30">
                  <c:v>0.67098763362390867</c:v>
                </c:pt>
                <c:pt idx="31">
                  <c:v>0.67669500370839575</c:v>
                </c:pt>
                <c:pt idx="32">
                  <c:v>0.68207086532196659</c:v>
                </c:pt>
                <c:pt idx="33">
                  <c:v>0.68713869132399574</c:v>
                </c:pt>
                <c:pt idx="34">
                  <c:v>0.69191998936830301</c:v>
                </c:pt>
                <c:pt idx="35">
                  <c:v>0.69643449187361295</c:v>
                </c:pt>
                <c:pt idx="36">
                  <c:v>0.70070032506996671</c:v>
                </c:pt>
                <c:pt idx="37">
                  <c:v>0.70473415971899789</c:v>
                </c:pt>
                <c:pt idx="38">
                  <c:v>0.70855134574633194</c:v>
                </c:pt>
                <c:pt idx="39">
                  <c:v>0.71216603271964074</c:v>
                </c:pt>
                <c:pt idx="40">
                  <c:v>0.71559127784690002</c:v>
                </c:pt>
                <c:pt idx="41">
                  <c:v>0.71883914294866724</c:v>
                </c:pt>
                <c:pt idx="42">
                  <c:v>0.72192078166957041</c:v>
                </c:pt>
                <c:pt idx="43">
                  <c:v>0.72484651803252975</c:v>
                </c:pt>
                <c:pt idx="44">
                  <c:v>0.72762591730038206</c:v>
                </c:pt>
                <c:pt idx="45">
                  <c:v>0.73026784998995797</c:v>
                </c:pt>
                <c:pt idx="46">
                  <c:v>0.73278054978041451</c:v>
                </c:pt>
                <c:pt idx="47">
                  <c:v>0.73517166596827765</c:v>
                </c:pt>
                <c:pt idx="48">
                  <c:v>0.73744831104416164</c:v>
                </c:pt>
                <c:pt idx="49">
                  <c:v>0.73961710389878788</c:v>
                </c:pt>
                <c:pt idx="50">
                  <c:v>0.7416842091072724</c:v>
                </c:pt>
                <c:pt idx="51">
                  <c:v>0.74365537268946535</c:v>
                </c:pt>
                <c:pt idx="52">
                  <c:v>0.74553595469935863</c:v>
                </c:pt>
                <c:pt idx="53">
                  <c:v>0.74733095895737112</c:v>
                </c:pt>
                <c:pt idx="54">
                  <c:v>0.74904506020489758</c:v>
                </c:pt>
                <c:pt idx="55">
                  <c:v>0.75068262893023951</c:v>
                </c:pt>
                <c:pt idx="56">
                  <c:v>0.75224775408838829</c:v>
                </c:pt>
                <c:pt idx="57">
                  <c:v>0.75374426391359517</c:v>
                </c:pt>
                <c:pt idx="58">
                  <c:v>0.75517574500289719</c:v>
                </c:pt>
                <c:pt idx="59">
                  <c:v>0.75654555983034633</c:v>
                </c:pt>
                <c:pt idx="60">
                  <c:v>0.75785686283539866</c:v>
                </c:pt>
                <c:pt idx="61">
                  <c:v>0.75911261521442286</c:v>
                </c:pt>
                <c:pt idx="62">
                  <c:v>0.76031559853142527</c:v>
                </c:pt>
                <c:pt idx="63">
                  <c:v>0.76146842725260622</c:v>
                </c:pt>
                <c:pt idx="64">
                  <c:v>0.76257356029915857</c:v>
                </c:pt>
                <c:pt idx="65">
                  <c:v>0.76363331170357773</c:v>
                </c:pt>
                <c:pt idx="66">
                  <c:v>0.76464986044659855</c:v>
                </c:pt>
                <c:pt idx="67">
                  <c:v>0.76562525954456917</c:v>
                </c:pt>
                <c:pt idx="68">
                  <c:v>0.76656144445053254</c:v>
                </c:pt>
                <c:pt idx="69">
                  <c:v>0.76746024082639364</c:v>
                </c:pt>
                <c:pt idx="70">
                  <c:v>0.76832337173830079</c:v>
                </c:pt>
                <c:pt idx="71">
                  <c:v>0.76915246432259821</c:v>
                </c:pt>
                <c:pt idx="72">
                  <c:v>0.76994905596544971</c:v>
                </c:pt>
                <c:pt idx="73">
                  <c:v>0.77071460003537207</c:v>
                </c:pt>
                <c:pt idx="74">
                  <c:v>0.77145047120445109</c:v>
                </c:pt>
                <c:pt idx="75">
                  <c:v>0.77215797039086076</c:v>
                </c:pt>
                <c:pt idx="76">
                  <c:v>0.77283832935248276</c:v>
                </c:pt>
                <c:pt idx="77">
                  <c:v>0.7734927149588372</c:v>
                </c:pt>
                <c:pt idx="78">
                  <c:v>0.77412223316622819</c:v>
                </c:pt>
                <c:pt idx="79">
                  <c:v>0.77472793271887741</c:v>
                </c:pt>
                <c:pt idx="80">
                  <c:v>0.77531080859692181</c:v>
                </c:pt>
                <c:pt idx="81">
                  <c:v>0.77587180523039656</c:v>
                </c:pt>
                <c:pt idx="82">
                  <c:v>0.77641181949675209</c:v>
                </c:pt>
                <c:pt idx="83">
                  <c:v>0.77693170351801288</c:v>
                </c:pt>
                <c:pt idx="84">
                  <c:v>0.7774322672723738</c:v>
                </c:pt>
                <c:pt idx="85">
                  <c:v>0.77791428103382987</c:v>
                </c:pt>
                <c:pt idx="86">
                  <c:v>0.77837847765236123</c:v>
                </c:pt>
                <c:pt idx="87">
                  <c:v>0.77882555468617642</c:v>
                </c:pt>
                <c:pt idx="88">
                  <c:v>0.77925617639663602</c:v>
                </c:pt>
                <c:pt idx="89">
                  <c:v>0.77967097561561727</c:v>
                </c:pt>
                <c:pt idx="90">
                  <c:v>0.78007055549435156</c:v>
                </c:pt>
                <c:pt idx="91">
                  <c:v>0.78045549114204249</c:v>
                </c:pt>
                <c:pt idx="92">
                  <c:v>0.7808263311619531</c:v>
                </c:pt>
                <c:pt idx="93">
                  <c:v>0.78118359909206103</c:v>
                </c:pt>
                <c:pt idx="94">
                  <c:v>0.78152779475683642</c:v>
                </c:pt>
                <c:pt idx="95">
                  <c:v>0.78185939553621842</c:v>
                </c:pt>
                <c:pt idx="96">
                  <c:v>0.7821788575574028</c:v>
                </c:pt>
                <c:pt idx="97">
                  <c:v>0.78248661681464127</c:v>
                </c:pt>
                <c:pt idx="98">
                  <c:v>0.78278309022187265</c:v>
                </c:pt>
                <c:pt idx="99">
                  <c:v>0.78306867660264945</c:v>
                </c:pt>
                <c:pt idx="100">
                  <c:v>0.78334375762150366</c:v>
                </c:pt>
                <c:pt idx="101">
                  <c:v>0.78360869866059335</c:v>
                </c:pt>
                <c:pt idx="102">
                  <c:v>0.78386384964519984</c:v>
                </c:pt>
                <c:pt idx="103">
                  <c:v>0.78410954582138837</c:v>
                </c:pt>
                <c:pt idx="104">
                  <c:v>0.7843461084889104</c:v>
                </c:pt>
                <c:pt idx="105">
                  <c:v>0.78457384569221311</c:v>
                </c:pt>
                <c:pt idx="106">
                  <c:v>0.78479305287221657</c:v>
                </c:pt>
                <c:pt idx="107">
                  <c:v>0.78500401348133952</c:v>
                </c:pt>
                <c:pt idx="108">
                  <c:v>0.78520699956407713</c:v>
                </c:pt>
                <c:pt idx="109">
                  <c:v>0.78540227230528181</c:v>
                </c:pt>
                <c:pt idx="110">
                  <c:v>0.78559008254815044</c:v>
                </c:pt>
                <c:pt idx="111">
                  <c:v>0.78577067128378231</c:v>
                </c:pt>
                <c:pt idx="112">
                  <c:v>0.78594427011404733</c:v>
                </c:pt>
                <c:pt idx="113">
                  <c:v>0.78611110168939635</c:v>
                </c:pt>
                <c:pt idx="114">
                  <c:v>0.78627138012311693</c:v>
                </c:pt>
                <c:pt idx="115">
                  <c:v>0.78642531138346472</c:v>
                </c:pt>
                <c:pt idx="116">
                  <c:v>0.78657309366497985</c:v>
                </c:pt>
                <c:pt idx="117">
                  <c:v>0.78671491774023528</c:v>
                </c:pt>
                <c:pt idx="118">
                  <c:v>0.78685096729316295</c:v>
                </c:pt>
                <c:pt idx="119">
                  <c:v>0.7869814192350475</c:v>
                </c:pt>
                <c:pt idx="120">
                  <c:v>0.78710644400419216</c:v>
                </c:pt>
                <c:pt idx="121">
                  <c:v>0.78722620585020631</c:v>
                </c:pt>
                <c:pt idx="122">
                  <c:v>0.78734086310380158</c:v>
                </c:pt>
                <c:pt idx="123">
                  <c:v>0.7874505684329236</c:v>
                </c:pt>
                <c:pt idx="124">
                  <c:v>0.78755546908600349</c:v>
                </c:pt>
                <c:pt idx="125">
                  <c:v>0.78765570712304978</c:v>
                </c:pt>
                <c:pt idx="126">
                  <c:v>0.78775141963527506</c:v>
                </c:pt>
                <c:pt idx="127">
                  <c:v>0.7878427389538889</c:v>
                </c:pt>
                <c:pt idx="128">
                  <c:v>0.7879297928486676</c:v>
                </c:pt>
                <c:pt idx="129">
                  <c:v>0.78801270471685891</c:v>
                </c:pt>
                <c:pt idx="130">
                  <c:v>0.78809159376296167</c:v>
                </c:pt>
                <c:pt idx="131">
                  <c:v>0.78816657516986643</c:v>
                </c:pt>
                <c:pt idx="132">
                  <c:v>0.78823776026184045</c:v>
                </c:pt>
                <c:pt idx="133">
                  <c:v>0.78830525665978612</c:v>
                </c:pt>
                <c:pt idx="134">
                  <c:v>0.78836916842919158</c:v>
                </c:pt>
                <c:pt idx="135">
                  <c:v>0.78842959622116482</c:v>
                </c:pt>
                <c:pt idx="136">
                  <c:v>0.78848663740691616</c:v>
                </c:pt>
                <c:pt idx="137">
                  <c:v>0.78854038620603628</c:v>
                </c:pt>
                <c:pt idx="138">
                  <c:v>0.78859093380888945</c:v>
                </c:pt>
                <c:pt idx="139">
                  <c:v>0.78863836849343905</c:v>
                </c:pt>
                <c:pt idx="140">
                  <c:v>0.78868277573678158</c:v>
                </c:pt>
                <c:pt idx="141">
                  <c:v>0.78872423832167271</c:v>
                </c:pt>
                <c:pt idx="142">
                  <c:v>0.78876283643829193</c:v>
                </c:pt>
                <c:pt idx="143">
                  <c:v>0.788798647781497</c:v>
                </c:pt>
                <c:pt idx="144">
                  <c:v>0.78883174764378861</c:v>
                </c:pt>
                <c:pt idx="145">
                  <c:v>0.78886220900420689</c:v>
                </c:pt>
                <c:pt idx="146">
                  <c:v>0.78889010261335923</c:v>
                </c:pt>
                <c:pt idx="147">
                  <c:v>0.78891549707477393</c:v>
                </c:pt>
                <c:pt idx="148">
                  <c:v>0.78893845892276049</c:v>
                </c:pt>
                <c:pt idx="149">
                  <c:v>0.78895905269694677</c:v>
                </c:pt>
                <c:pt idx="150">
                  <c:v>0.78897734101365913</c:v>
                </c:pt>
                <c:pt idx="151">
                  <c:v>0.78899338463429225</c:v>
                </c:pt>
                <c:pt idx="152">
                  <c:v>0.78900724253082388</c:v>
                </c:pt>
                <c:pt idx="153">
                  <c:v>0.78901897194859683</c:v>
                </c:pt>
                <c:pt idx="154">
                  <c:v>0.78902862846651822</c:v>
                </c:pt>
                <c:pt idx="155">
                  <c:v>0.78903626605477506</c:v>
                </c:pt>
                <c:pt idx="156">
                  <c:v>0.78904193713020665</c:v>
                </c:pt>
                <c:pt idx="157">
                  <c:v>0.78904569260942403</c:v>
                </c:pt>
                <c:pt idx="158">
                  <c:v>0.7890475819597963</c:v>
                </c:pt>
                <c:pt idx="159">
                  <c:v>0.78904765324838999</c:v>
                </c:pt>
                <c:pt idx="160">
                  <c:v>0.78904595318896831</c:v>
                </c:pt>
                <c:pt idx="161">
                  <c:v>0.78904252718712631</c:v>
                </c:pt>
                <c:pt idx="162">
                  <c:v>0.78903741938365779</c:v>
                </c:pt>
                <c:pt idx="163">
                  <c:v>0.78903067269622773</c:v>
                </c:pt>
                <c:pt idx="164">
                  <c:v>0.78902232885942603</c:v>
                </c:pt>
                <c:pt idx="165">
                  <c:v>0.78901242846328024</c:v>
                </c:pt>
                <c:pt idx="166">
                  <c:v>0.78900101099028941</c:v>
                </c:pt>
                <c:pt idx="167">
                  <c:v>0.78898811485104847</c:v>
                </c:pt>
                <c:pt idx="168">
                  <c:v>0.7889737774185257</c:v>
                </c:pt>
                <c:pt idx="169">
                  <c:v>0.78895803506104578</c:v>
                </c:pt>
                <c:pt idx="170">
                  <c:v>0.78894092317404563</c:v>
                </c:pt>
                <c:pt idx="171">
                  <c:v>0.78892247621064227</c:v>
                </c:pt>
                <c:pt idx="172">
                  <c:v>0.78890272771107861</c:v>
                </c:pt>
                <c:pt idx="173">
                  <c:v>0.7888817103310809</c:v>
                </c:pt>
                <c:pt idx="174">
                  <c:v>0.78885945586918504</c:v>
                </c:pt>
                <c:pt idx="175">
                  <c:v>0.78883599529306825</c:v>
                </c:pt>
                <c:pt idx="176">
                  <c:v>0.78881135876493236</c:v>
                </c:pt>
                <c:pt idx="177">
                  <c:v>0.78878557566597496</c:v>
                </c:pt>
                <c:pt idx="178">
                  <c:v>0.78875867461998772</c:v>
                </c:pt>
                <c:pt idx="179">
                  <c:v>0.78873068351611819</c:v>
                </c:pt>
                <c:pt idx="180">
                  <c:v>0.78870162953082934</c:v>
                </c:pt>
                <c:pt idx="181">
                  <c:v>0.78867153914908716</c:v>
                </c:pt>
                <c:pt idx="182">
                  <c:v>0.78864043818481255</c:v>
                </c:pt>
                <c:pt idx="183">
                  <c:v>0.78860835180062205</c:v>
                </c:pt>
                <c:pt idx="184">
                  <c:v>0.78857530452688818</c:v>
                </c:pt>
                <c:pt idx="185">
                  <c:v>0.78854132028014834</c:v>
                </c:pt>
                <c:pt idx="186">
                  <c:v>0.78850642238088287</c:v>
                </c:pt>
                <c:pt idx="187">
                  <c:v>0.78847063357069458</c:v>
                </c:pt>
                <c:pt idx="188">
                  <c:v>0.78843397602890408</c:v>
                </c:pt>
                <c:pt idx="189">
                  <c:v>0.78839647138859448</c:v>
                </c:pt>
                <c:pt idx="190">
                  <c:v>0.78835814075211508</c:v>
                </c:pt>
                <c:pt idx="191">
                  <c:v>0.78831900470607597</c:v>
                </c:pt>
                <c:pt idx="192">
                  <c:v>0.78827908333584451</c:v>
                </c:pt>
                <c:pt idx="193">
                  <c:v>0.78823839623956682</c:v>
                </c:pt>
                <c:pt idx="194">
                  <c:v>0.78819696254173366</c:v>
                </c:pt>
                <c:pt idx="195">
                  <c:v>0.78815480090630219</c:v>
                </c:pt>
                <c:pt idx="196">
                  <c:v>0.78811192954939779</c:v>
                </c:pt>
                <c:pt idx="197">
                  <c:v>0.78806836625160415</c:v>
                </c:pt>
                <c:pt idx="198">
                  <c:v>0.78802412836986357</c:v>
                </c:pt>
                <c:pt idx="199">
                  <c:v>0.78797923284899629</c:v>
                </c:pt>
                <c:pt idx="200">
                  <c:v>0.7879336962328567</c:v>
                </c:pt>
                <c:pt idx="201">
                  <c:v>0.78788753467513917</c:v>
                </c:pt>
                <c:pt idx="202">
                  <c:v>0.7878407639498427</c:v>
                </c:pt>
                <c:pt idx="203">
                  <c:v>0.78779339946141114</c:v>
                </c:pt>
                <c:pt idx="204">
                  <c:v>0.78774545625456127</c:v>
                </c:pt>
                <c:pt idx="205">
                  <c:v>0.78769694902380227</c:v>
                </c:pt>
                <c:pt idx="206">
                  <c:v>0.78764789212266639</c:v>
                </c:pt>
                <c:pt idx="207">
                  <c:v>0.78759829957265814</c:v>
                </c:pt>
                <c:pt idx="208">
                  <c:v>0.78754818507192936</c:v>
                </c:pt>
                <c:pt idx="209">
                  <c:v>0.78749756200369181</c:v>
                </c:pt>
                <c:pt idx="210">
                  <c:v>0.78744644344437909</c:v>
                </c:pt>
                <c:pt idx="211">
                  <c:v>0.78739484217155842</c:v>
                </c:pt>
                <c:pt idx="212">
                  <c:v>0.78734277067161385</c:v>
                </c:pt>
                <c:pt idx="213">
                  <c:v>0.78729024114719393</c:v>
                </c:pt>
                <c:pt idx="214">
                  <c:v>0.78723726552444329</c:v>
                </c:pt>
                <c:pt idx="215">
                  <c:v>0.78718385546002245</c:v>
                </c:pt>
                <c:pt idx="216">
                  <c:v>0.78713002234791696</c:v>
                </c:pt>
                <c:pt idx="217">
                  <c:v>0.78707577732605394</c:v>
                </c:pt>
                <c:pt idx="218">
                  <c:v>0.78702113128272311</c:v>
                </c:pt>
                <c:pt idx="219">
                  <c:v>0.78696609486281166</c:v>
                </c:pt>
                <c:pt idx="220">
                  <c:v>0.78691067847386331</c:v>
                </c:pt>
                <c:pt idx="221">
                  <c:v>0.78685489229195915</c:v>
                </c:pt>
                <c:pt idx="222">
                  <c:v>0.78679874626743673</c:v>
                </c:pt>
                <c:pt idx="223">
                  <c:v>0.78674225013043819</c:v>
                </c:pt>
                <c:pt idx="224">
                  <c:v>0.78668541339631171</c:v>
                </c:pt>
                <c:pt idx="225">
                  <c:v>0.78662824537085341</c:v>
                </c:pt>
                <c:pt idx="226">
                  <c:v>0.78657075515540464</c:v>
                </c:pt>
                <c:pt idx="227">
                  <c:v>0.78651295165180735</c:v>
                </c:pt>
                <c:pt idx="228">
                  <c:v>0.78645484356722251</c:v>
                </c:pt>
                <c:pt idx="229">
                  <c:v>0.7863964394188121</c:v>
                </c:pt>
                <c:pt idx="230">
                  <c:v>0.78633774753829766</c:v>
                </c:pt>
                <c:pt idx="231">
                  <c:v>0.78627877607638619</c:v>
                </c:pt>
                <c:pt idx="232">
                  <c:v>0.78621953300708092</c:v>
                </c:pt>
                <c:pt idx="233">
                  <c:v>0.78616002613187375</c:v>
                </c:pt>
                <c:pt idx="234">
                  <c:v>0.78610026308382142</c:v>
                </c:pt>
                <c:pt idx="235">
                  <c:v>0.78604025133151478</c:v>
                </c:pt>
                <c:pt idx="236">
                  <c:v>0.78597999818293751</c:v>
                </c:pt>
                <c:pt idx="237">
                  <c:v>0.7859195107892275</c:v>
                </c:pt>
                <c:pt idx="238">
                  <c:v>0.78585879614832999</c:v>
                </c:pt>
                <c:pt idx="239">
                  <c:v>0.78579786110856054</c:v>
                </c:pt>
                <c:pt idx="240">
                  <c:v>0.78573671237206877</c:v>
                </c:pt>
                <c:pt idx="241">
                  <c:v>0.78567535649821485</c:v>
                </c:pt>
                <c:pt idx="242">
                  <c:v>0.78561379990685309</c:v>
                </c:pt>
                <c:pt idx="243">
                  <c:v>0.78555204888153252</c:v>
                </c:pt>
                <c:pt idx="244">
                  <c:v>0.78549010957261378</c:v>
                </c:pt>
                <c:pt idx="245">
                  <c:v>0.785427988000302</c:v>
                </c:pt>
                <c:pt idx="246">
                  <c:v>0.78536569005760648</c:v>
                </c:pt>
                <c:pt idx="247">
                  <c:v>0.78530322151321796</c:v>
                </c:pt>
                <c:pt idx="248">
                  <c:v>0.78524058801431784</c:v>
                </c:pt>
                <c:pt idx="249">
                  <c:v>0.78517779508931074</c:v>
                </c:pt>
                <c:pt idx="250">
                  <c:v>0.78511484815048893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4B-4690-AE07-A44B75FF3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38640"/>
        <c:axId val="897235688"/>
      </c:scatterChart>
      <c:valAx>
        <c:axId val="897238640"/>
        <c:scaling>
          <c:orientation val="minMax"/>
          <c:max val="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5688"/>
        <c:crosses val="autoZero"/>
        <c:crossBetween val="midCat"/>
      </c:valAx>
      <c:valAx>
        <c:axId val="8972356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YPR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864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2799650043744"/>
          <c:y val="4.1666666666666664E-2"/>
          <c:w val="0.84096500437445332"/>
          <c:h val="0.7963888888888889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'SSB at SPRx'!$A$34:$A$284</c:f>
              <c:numCache>
                <c:formatCode>General</c:formatCode>
                <c:ptCount val="251"/>
                <c:pt idx="0">
                  <c:v>1E-4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</c:numCache>
            </c:numRef>
          </c:xVal>
          <c:yVal>
            <c:numRef>
              <c:f>'SSB at SPRx'!$C$34:$C$284</c:f>
              <c:numCache>
                <c:formatCode>General</c:formatCode>
                <c:ptCount val="251"/>
                <c:pt idx="0">
                  <c:v>6.8128969288715636E-4</c:v>
                </c:pt>
                <c:pt idx="1">
                  <c:v>6.43343462730398E-2</c:v>
                </c:pt>
                <c:pt idx="2">
                  <c:v>0.12173192642859101</c:v>
                </c:pt>
                <c:pt idx="3">
                  <c:v>0.17314724253319588</c:v>
                </c:pt>
                <c:pt idx="4">
                  <c:v>0.21937345502736541</c:v>
                </c:pt>
                <c:pt idx="5">
                  <c:v>0.26107472664256853</c:v>
                </c:pt>
                <c:pt idx="6">
                  <c:v>0.29881110713728715</c:v>
                </c:pt>
                <c:pt idx="7">
                  <c:v>0.33305789025881521</c:v>
                </c:pt>
                <c:pt idx="8">
                  <c:v>0.36422082325420319</c:v>
                </c:pt>
                <c:pt idx="9">
                  <c:v>0.39264816896870791</c:v>
                </c:pt>
                <c:pt idx="10">
                  <c:v>0.41864035422401591</c:v>
                </c:pt>
                <c:pt idx="11">
                  <c:v>0.44245774905277546</c:v>
                </c:pt>
                <c:pt idx="12">
                  <c:v>0.46432698537526651</c:v>
                </c:pt>
                <c:pt idx="13">
                  <c:v>0.48444612475875548</c:v>
                </c:pt>
                <c:pt idx="14">
                  <c:v>0.50298891211688024</c:v>
                </c:pt>
                <c:pt idx="15">
                  <c:v>0.52010829811866577</c:v>
                </c:pt>
                <c:pt idx="16">
                  <c:v>0.53593937249685797</c:v>
                </c:pt>
                <c:pt idx="17">
                  <c:v>0.55060181972622135</c:v>
                </c:pt>
                <c:pt idx="18">
                  <c:v>0.56420198509193298</c:v>
                </c:pt>
                <c:pt idx="19">
                  <c:v>0.57683462112432093</c:v>
                </c:pt>
                <c:pt idx="20">
                  <c:v>0.5885843703885929</c:v>
                </c:pt>
                <c:pt idx="21">
                  <c:v>0.59952702969842908</c:v>
                </c:pt>
                <c:pt idx="22">
                  <c:v>0.60973063224063184</c:v>
                </c:pt>
                <c:pt idx="23">
                  <c:v>0.6192563773111408</c:v>
                </c:pt>
                <c:pt idx="24">
                  <c:v>0.62815943196308066</c:v>
                </c:pt>
                <c:pt idx="25">
                  <c:v>0.63648962454709368</c:v>
                </c:pt>
                <c:pt idx="26">
                  <c:v>0.64429204664858242</c:v>
                </c:pt>
                <c:pt idx="27">
                  <c:v>0.65160757711605088</c:v>
                </c:pt>
                <c:pt idx="28">
                  <c:v>0.65847333959100185</c:v>
                </c:pt>
                <c:pt idx="29">
                  <c:v>0.66492310308541891</c:v>
                </c:pt>
                <c:pt idx="30">
                  <c:v>0.67098763362390867</c:v>
                </c:pt>
                <c:pt idx="31">
                  <c:v>0.67669500370839575</c:v>
                </c:pt>
                <c:pt idx="32">
                  <c:v>0.68207086532196659</c:v>
                </c:pt>
                <c:pt idx="33">
                  <c:v>0.68713869132399574</c:v>
                </c:pt>
                <c:pt idx="34">
                  <c:v>0.69191998936830301</c:v>
                </c:pt>
                <c:pt idx="35">
                  <c:v>0.69643449187361295</c:v>
                </c:pt>
                <c:pt idx="36">
                  <c:v>0.70070032506996671</c:v>
                </c:pt>
                <c:pt idx="37">
                  <c:v>0.70473415971899789</c:v>
                </c:pt>
                <c:pt idx="38">
                  <c:v>0.70855134574633194</c:v>
                </c:pt>
                <c:pt idx="39">
                  <c:v>0.71216603271964074</c:v>
                </c:pt>
                <c:pt idx="40">
                  <c:v>0.71559127784690002</c:v>
                </c:pt>
                <c:pt idx="41">
                  <c:v>0.71883914294866724</c:v>
                </c:pt>
                <c:pt idx="42">
                  <c:v>0.72192078166957041</c:v>
                </c:pt>
                <c:pt idx="43">
                  <c:v>0.72484651803252975</c:v>
                </c:pt>
                <c:pt idx="44">
                  <c:v>0.72762591730038206</c:v>
                </c:pt>
                <c:pt idx="45">
                  <c:v>0.73026784998995797</c:v>
                </c:pt>
                <c:pt idx="46">
                  <c:v>0.73278054978041451</c:v>
                </c:pt>
                <c:pt idx="47">
                  <c:v>0.73517166596827765</c:v>
                </c:pt>
                <c:pt idx="48">
                  <c:v>0.73744831104416164</c:v>
                </c:pt>
                <c:pt idx="49">
                  <c:v>0.73961710389878788</c:v>
                </c:pt>
                <c:pt idx="50">
                  <c:v>0.7416842091072724</c:v>
                </c:pt>
                <c:pt idx="51">
                  <c:v>0.74365537268946535</c:v>
                </c:pt>
                <c:pt idx="52">
                  <c:v>0.74553595469935863</c:v>
                </c:pt>
                <c:pt idx="53">
                  <c:v>0.74733095895737112</c:v>
                </c:pt>
                <c:pt idx="54">
                  <c:v>0.74904506020489758</c:v>
                </c:pt>
                <c:pt idx="55">
                  <c:v>0.75068262893023951</c:v>
                </c:pt>
                <c:pt idx="56">
                  <c:v>0.75224775408838829</c:v>
                </c:pt>
                <c:pt idx="57">
                  <c:v>0.75374426391359517</c:v>
                </c:pt>
                <c:pt idx="58">
                  <c:v>0.75517574500289719</c:v>
                </c:pt>
                <c:pt idx="59">
                  <c:v>0.75654555983034633</c:v>
                </c:pt>
                <c:pt idx="60">
                  <c:v>0.75785686283539866</c:v>
                </c:pt>
                <c:pt idx="61">
                  <c:v>0.75911261521442286</c:v>
                </c:pt>
                <c:pt idx="62">
                  <c:v>0.76031559853142527</c:v>
                </c:pt>
                <c:pt idx="63">
                  <c:v>0.76146842725260622</c:v>
                </c:pt>
                <c:pt idx="64">
                  <c:v>0.76257356029915857</c:v>
                </c:pt>
                <c:pt idx="65">
                  <c:v>0.76363331170357773</c:v>
                </c:pt>
                <c:pt idx="66">
                  <c:v>0.76464986044659855</c:v>
                </c:pt>
                <c:pt idx="67">
                  <c:v>0.76562525954456917</c:v>
                </c:pt>
                <c:pt idx="68">
                  <c:v>0.76656144445053254</c:v>
                </c:pt>
                <c:pt idx="69">
                  <c:v>0.76746024082639364</c:v>
                </c:pt>
                <c:pt idx="70">
                  <c:v>0.76832337173830079</c:v>
                </c:pt>
                <c:pt idx="71">
                  <c:v>0.76915246432259821</c:v>
                </c:pt>
                <c:pt idx="72">
                  <c:v>0.76994905596544971</c:v>
                </c:pt>
                <c:pt idx="73">
                  <c:v>0.77071460003537207</c:v>
                </c:pt>
                <c:pt idx="74">
                  <c:v>0.77145047120445109</c:v>
                </c:pt>
                <c:pt idx="75">
                  <c:v>0.77215797039086076</c:v>
                </c:pt>
                <c:pt idx="76">
                  <c:v>0.77283832935248276</c:v>
                </c:pt>
                <c:pt idx="77">
                  <c:v>0.7734927149588372</c:v>
                </c:pt>
                <c:pt idx="78">
                  <c:v>0.77412223316622819</c:v>
                </c:pt>
                <c:pt idx="79">
                  <c:v>0.77472793271887741</c:v>
                </c:pt>
                <c:pt idx="80">
                  <c:v>0.77531080859692181</c:v>
                </c:pt>
                <c:pt idx="81">
                  <c:v>0.77587180523039656</c:v>
                </c:pt>
                <c:pt idx="82">
                  <c:v>0.77641181949675209</c:v>
                </c:pt>
                <c:pt idx="83">
                  <c:v>0.77693170351801288</c:v>
                </c:pt>
                <c:pt idx="84">
                  <c:v>0.7774322672723738</c:v>
                </c:pt>
                <c:pt idx="85">
                  <c:v>0.77791428103382987</c:v>
                </c:pt>
                <c:pt idx="86">
                  <c:v>0.77837847765236123</c:v>
                </c:pt>
                <c:pt idx="87">
                  <c:v>0.77882555468617642</c:v>
                </c:pt>
                <c:pt idx="88">
                  <c:v>0.77925617639663602</c:v>
                </c:pt>
                <c:pt idx="89">
                  <c:v>0.77967097561561727</c:v>
                </c:pt>
                <c:pt idx="90">
                  <c:v>0.78007055549435156</c:v>
                </c:pt>
                <c:pt idx="91">
                  <c:v>0.78045549114204249</c:v>
                </c:pt>
                <c:pt idx="92">
                  <c:v>0.7808263311619531</c:v>
                </c:pt>
                <c:pt idx="93">
                  <c:v>0.78118359909206103</c:v>
                </c:pt>
                <c:pt idx="94">
                  <c:v>0.78152779475683642</c:v>
                </c:pt>
                <c:pt idx="95">
                  <c:v>0.78185939553621842</c:v>
                </c:pt>
                <c:pt idx="96">
                  <c:v>0.7821788575574028</c:v>
                </c:pt>
                <c:pt idx="97">
                  <c:v>0.78248661681464127</c:v>
                </c:pt>
                <c:pt idx="98">
                  <c:v>0.78278309022187265</c:v>
                </c:pt>
                <c:pt idx="99">
                  <c:v>0.78306867660264945</c:v>
                </c:pt>
                <c:pt idx="100">
                  <c:v>0.78334375762150366</c:v>
                </c:pt>
                <c:pt idx="101">
                  <c:v>0.78360869866059335</c:v>
                </c:pt>
                <c:pt idx="102">
                  <c:v>0.78386384964519984</c:v>
                </c:pt>
                <c:pt idx="103">
                  <c:v>0.78410954582138837</c:v>
                </c:pt>
                <c:pt idx="104">
                  <c:v>0.7843461084889104</c:v>
                </c:pt>
                <c:pt idx="105">
                  <c:v>0.78457384569221311</c:v>
                </c:pt>
                <c:pt idx="106">
                  <c:v>0.78479305287221657</c:v>
                </c:pt>
                <c:pt idx="107">
                  <c:v>0.78500401348133952</c:v>
                </c:pt>
                <c:pt idx="108">
                  <c:v>0.78520699956407713</c:v>
                </c:pt>
                <c:pt idx="109">
                  <c:v>0.78540227230528181</c:v>
                </c:pt>
                <c:pt idx="110">
                  <c:v>0.78559008254815044</c:v>
                </c:pt>
                <c:pt idx="111">
                  <c:v>0.78577067128378231</c:v>
                </c:pt>
                <c:pt idx="112">
                  <c:v>0.78594427011404733</c:v>
                </c:pt>
                <c:pt idx="113">
                  <c:v>0.78611110168939635</c:v>
                </c:pt>
                <c:pt idx="114">
                  <c:v>0.78627138012311693</c:v>
                </c:pt>
                <c:pt idx="115">
                  <c:v>0.78642531138346472</c:v>
                </c:pt>
                <c:pt idx="116">
                  <c:v>0.78657309366497985</c:v>
                </c:pt>
                <c:pt idx="117">
                  <c:v>0.78671491774023528</c:v>
                </c:pt>
                <c:pt idx="118">
                  <c:v>0.78685096729316295</c:v>
                </c:pt>
                <c:pt idx="119">
                  <c:v>0.7869814192350475</c:v>
                </c:pt>
                <c:pt idx="120">
                  <c:v>0.78710644400419216</c:v>
                </c:pt>
                <c:pt idx="121">
                  <c:v>0.78722620585020631</c:v>
                </c:pt>
                <c:pt idx="122">
                  <c:v>0.78734086310380158</c:v>
                </c:pt>
                <c:pt idx="123">
                  <c:v>0.7874505684329236</c:v>
                </c:pt>
                <c:pt idx="124">
                  <c:v>0.78755546908600349</c:v>
                </c:pt>
                <c:pt idx="125">
                  <c:v>0.78765570712304978</c:v>
                </c:pt>
                <c:pt idx="126">
                  <c:v>0.78775141963527506</c:v>
                </c:pt>
                <c:pt idx="127">
                  <c:v>0.7878427389538889</c:v>
                </c:pt>
                <c:pt idx="128">
                  <c:v>0.7879297928486676</c:v>
                </c:pt>
                <c:pt idx="129">
                  <c:v>0.78801270471685891</c:v>
                </c:pt>
                <c:pt idx="130">
                  <c:v>0.78809159376296167</c:v>
                </c:pt>
                <c:pt idx="131">
                  <c:v>0.78816657516986643</c:v>
                </c:pt>
                <c:pt idx="132">
                  <c:v>0.78823776026184045</c:v>
                </c:pt>
                <c:pt idx="133">
                  <c:v>0.78830525665978612</c:v>
                </c:pt>
                <c:pt idx="134">
                  <c:v>0.78836916842919158</c:v>
                </c:pt>
                <c:pt idx="135">
                  <c:v>0.78842959622116482</c:v>
                </c:pt>
                <c:pt idx="136">
                  <c:v>0.78848663740691616</c:v>
                </c:pt>
                <c:pt idx="137">
                  <c:v>0.78854038620603628</c:v>
                </c:pt>
                <c:pt idx="138">
                  <c:v>0.78859093380888945</c:v>
                </c:pt>
                <c:pt idx="139">
                  <c:v>0.78863836849343905</c:v>
                </c:pt>
                <c:pt idx="140">
                  <c:v>0.78868277573678158</c:v>
                </c:pt>
                <c:pt idx="141">
                  <c:v>0.78872423832167271</c:v>
                </c:pt>
                <c:pt idx="142">
                  <c:v>0.78876283643829193</c:v>
                </c:pt>
                <c:pt idx="143">
                  <c:v>0.788798647781497</c:v>
                </c:pt>
                <c:pt idx="144">
                  <c:v>0.78883174764378861</c:v>
                </c:pt>
                <c:pt idx="145">
                  <c:v>0.78886220900420689</c:v>
                </c:pt>
                <c:pt idx="146">
                  <c:v>0.78889010261335923</c:v>
                </c:pt>
                <c:pt idx="147">
                  <c:v>0.78891549707477393</c:v>
                </c:pt>
                <c:pt idx="148">
                  <c:v>0.78893845892276049</c:v>
                </c:pt>
                <c:pt idx="149">
                  <c:v>0.78895905269694677</c:v>
                </c:pt>
                <c:pt idx="150">
                  <c:v>0.78897734101365913</c:v>
                </c:pt>
                <c:pt idx="151">
                  <c:v>0.78899338463429225</c:v>
                </c:pt>
                <c:pt idx="152">
                  <c:v>0.78900724253082388</c:v>
                </c:pt>
                <c:pt idx="153">
                  <c:v>0.78901897194859683</c:v>
                </c:pt>
                <c:pt idx="154">
                  <c:v>0.78902862846651822</c:v>
                </c:pt>
                <c:pt idx="155">
                  <c:v>0.78903626605477506</c:v>
                </c:pt>
                <c:pt idx="156">
                  <c:v>0.78904193713020665</c:v>
                </c:pt>
                <c:pt idx="157">
                  <c:v>0.78904569260942403</c:v>
                </c:pt>
                <c:pt idx="158">
                  <c:v>0.7890475819597963</c:v>
                </c:pt>
                <c:pt idx="159">
                  <c:v>0.78904765324838999</c:v>
                </c:pt>
                <c:pt idx="160">
                  <c:v>0.78904595318896831</c:v>
                </c:pt>
                <c:pt idx="161">
                  <c:v>0.78904252718712631</c:v>
                </c:pt>
                <c:pt idx="162">
                  <c:v>0.78903741938365779</c:v>
                </c:pt>
                <c:pt idx="163">
                  <c:v>0.78903067269622773</c:v>
                </c:pt>
                <c:pt idx="164">
                  <c:v>0.78902232885942603</c:v>
                </c:pt>
                <c:pt idx="165">
                  <c:v>0.78901242846328024</c:v>
                </c:pt>
                <c:pt idx="166">
                  <c:v>0.78900101099028941</c:v>
                </c:pt>
                <c:pt idx="167">
                  <c:v>0.78898811485104847</c:v>
                </c:pt>
                <c:pt idx="168">
                  <c:v>0.7889737774185257</c:v>
                </c:pt>
                <c:pt idx="169">
                  <c:v>0.78895803506104578</c:v>
                </c:pt>
                <c:pt idx="170">
                  <c:v>0.78894092317404563</c:v>
                </c:pt>
                <c:pt idx="171">
                  <c:v>0.78892247621064227</c:v>
                </c:pt>
                <c:pt idx="172">
                  <c:v>0.78890272771107861</c:v>
                </c:pt>
                <c:pt idx="173">
                  <c:v>0.7888817103310809</c:v>
                </c:pt>
                <c:pt idx="174">
                  <c:v>0.78885945586918504</c:v>
                </c:pt>
                <c:pt idx="175">
                  <c:v>0.78883599529306825</c:v>
                </c:pt>
                <c:pt idx="176">
                  <c:v>0.78881135876493236</c:v>
                </c:pt>
                <c:pt idx="177">
                  <c:v>0.78878557566597496</c:v>
                </c:pt>
                <c:pt idx="178">
                  <c:v>0.78875867461998772</c:v>
                </c:pt>
                <c:pt idx="179">
                  <c:v>0.78873068351611819</c:v>
                </c:pt>
                <c:pt idx="180">
                  <c:v>0.78870162953082934</c:v>
                </c:pt>
                <c:pt idx="181">
                  <c:v>0.78867153914908716</c:v>
                </c:pt>
                <c:pt idx="182">
                  <c:v>0.78864043818481255</c:v>
                </c:pt>
                <c:pt idx="183">
                  <c:v>0.78860835180062205</c:v>
                </c:pt>
                <c:pt idx="184">
                  <c:v>0.78857530452688818</c:v>
                </c:pt>
                <c:pt idx="185">
                  <c:v>0.78854132028014834</c:v>
                </c:pt>
                <c:pt idx="186">
                  <c:v>0.78850642238088287</c:v>
                </c:pt>
                <c:pt idx="187">
                  <c:v>0.78847063357069458</c:v>
                </c:pt>
                <c:pt idx="188">
                  <c:v>0.78843397602890408</c:v>
                </c:pt>
                <c:pt idx="189">
                  <c:v>0.78839647138859448</c:v>
                </c:pt>
                <c:pt idx="190">
                  <c:v>0.78835814075211508</c:v>
                </c:pt>
                <c:pt idx="191">
                  <c:v>0.78831900470607597</c:v>
                </c:pt>
                <c:pt idx="192">
                  <c:v>0.78827908333584451</c:v>
                </c:pt>
                <c:pt idx="193">
                  <c:v>0.78823839623956682</c:v>
                </c:pt>
                <c:pt idx="194">
                  <c:v>0.78819696254173366</c:v>
                </c:pt>
                <c:pt idx="195">
                  <c:v>0.78815480090630219</c:v>
                </c:pt>
                <c:pt idx="196">
                  <c:v>0.78811192954939779</c:v>
                </c:pt>
                <c:pt idx="197">
                  <c:v>0.78806836625160415</c:v>
                </c:pt>
                <c:pt idx="198">
                  <c:v>0.78802412836986357</c:v>
                </c:pt>
                <c:pt idx="199">
                  <c:v>0.78797923284899629</c:v>
                </c:pt>
                <c:pt idx="200">
                  <c:v>0.7879336962328567</c:v>
                </c:pt>
                <c:pt idx="201">
                  <c:v>0.78788753467513917</c:v>
                </c:pt>
                <c:pt idx="202">
                  <c:v>0.7878407639498427</c:v>
                </c:pt>
                <c:pt idx="203">
                  <c:v>0.78779339946141114</c:v>
                </c:pt>
                <c:pt idx="204">
                  <c:v>0.78774545625456127</c:v>
                </c:pt>
                <c:pt idx="205">
                  <c:v>0.78769694902380227</c:v>
                </c:pt>
                <c:pt idx="206">
                  <c:v>0.78764789212266639</c:v>
                </c:pt>
                <c:pt idx="207">
                  <c:v>0.78759829957265814</c:v>
                </c:pt>
                <c:pt idx="208">
                  <c:v>0.78754818507192936</c:v>
                </c:pt>
                <c:pt idx="209">
                  <c:v>0.78749756200369181</c:v>
                </c:pt>
                <c:pt idx="210">
                  <c:v>0.78744644344437909</c:v>
                </c:pt>
                <c:pt idx="211">
                  <c:v>0.78739484217155842</c:v>
                </c:pt>
                <c:pt idx="212">
                  <c:v>0.78734277067161385</c:v>
                </c:pt>
                <c:pt idx="213">
                  <c:v>0.78729024114719393</c:v>
                </c:pt>
                <c:pt idx="214">
                  <c:v>0.78723726552444329</c:v>
                </c:pt>
                <c:pt idx="215">
                  <c:v>0.78718385546002245</c:v>
                </c:pt>
                <c:pt idx="216">
                  <c:v>0.78713002234791696</c:v>
                </c:pt>
                <c:pt idx="217">
                  <c:v>0.78707577732605394</c:v>
                </c:pt>
                <c:pt idx="218">
                  <c:v>0.78702113128272311</c:v>
                </c:pt>
                <c:pt idx="219">
                  <c:v>0.78696609486281166</c:v>
                </c:pt>
                <c:pt idx="220">
                  <c:v>0.78691067847386331</c:v>
                </c:pt>
                <c:pt idx="221">
                  <c:v>0.78685489229195915</c:v>
                </c:pt>
                <c:pt idx="222">
                  <c:v>0.78679874626743673</c:v>
                </c:pt>
                <c:pt idx="223">
                  <c:v>0.78674225013043819</c:v>
                </c:pt>
                <c:pt idx="224">
                  <c:v>0.78668541339631171</c:v>
                </c:pt>
                <c:pt idx="225">
                  <c:v>0.78662824537085341</c:v>
                </c:pt>
                <c:pt idx="226">
                  <c:v>0.78657075515540464</c:v>
                </c:pt>
                <c:pt idx="227">
                  <c:v>0.78651295165180735</c:v>
                </c:pt>
                <c:pt idx="228">
                  <c:v>0.78645484356722251</c:v>
                </c:pt>
                <c:pt idx="229">
                  <c:v>0.7863964394188121</c:v>
                </c:pt>
                <c:pt idx="230">
                  <c:v>0.78633774753829766</c:v>
                </c:pt>
                <c:pt idx="231">
                  <c:v>0.78627877607638619</c:v>
                </c:pt>
                <c:pt idx="232">
                  <c:v>0.78621953300708092</c:v>
                </c:pt>
                <c:pt idx="233">
                  <c:v>0.78616002613187375</c:v>
                </c:pt>
                <c:pt idx="234">
                  <c:v>0.78610026308382142</c:v>
                </c:pt>
                <c:pt idx="235">
                  <c:v>0.78604025133151478</c:v>
                </c:pt>
                <c:pt idx="236">
                  <c:v>0.78597999818293751</c:v>
                </c:pt>
                <c:pt idx="237">
                  <c:v>0.7859195107892275</c:v>
                </c:pt>
                <c:pt idx="238">
                  <c:v>0.78585879614832999</c:v>
                </c:pt>
                <c:pt idx="239">
                  <c:v>0.78579786110856054</c:v>
                </c:pt>
                <c:pt idx="240">
                  <c:v>0.78573671237206877</c:v>
                </c:pt>
                <c:pt idx="241">
                  <c:v>0.78567535649821485</c:v>
                </c:pt>
                <c:pt idx="242">
                  <c:v>0.78561379990685309</c:v>
                </c:pt>
                <c:pt idx="243">
                  <c:v>0.78555204888153252</c:v>
                </c:pt>
                <c:pt idx="244">
                  <c:v>0.78549010957261378</c:v>
                </c:pt>
                <c:pt idx="245">
                  <c:v>0.785427988000302</c:v>
                </c:pt>
                <c:pt idx="246">
                  <c:v>0.78536569005760648</c:v>
                </c:pt>
                <c:pt idx="247">
                  <c:v>0.78530322151321796</c:v>
                </c:pt>
                <c:pt idx="248">
                  <c:v>0.78524058801431784</c:v>
                </c:pt>
                <c:pt idx="249">
                  <c:v>0.78517779508931074</c:v>
                </c:pt>
                <c:pt idx="250">
                  <c:v>0.78511484815048893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DF-47D8-BEF3-1ACAF3B1E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38640"/>
        <c:axId val="897235688"/>
      </c:scatterChart>
      <c:valAx>
        <c:axId val="897238640"/>
        <c:scaling>
          <c:orientation val="minMax"/>
          <c:max val="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5688"/>
        <c:crosses val="autoZero"/>
        <c:crossBetween val="midCat"/>
      </c:valAx>
      <c:valAx>
        <c:axId val="8972356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YPR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864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2799650043744"/>
          <c:y val="4.1666666666666664E-2"/>
          <c:w val="0.84096500437445332"/>
          <c:h val="0.7963888888888889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'SSB at SPRx'!$A$34:$A$284</c:f>
              <c:numCache>
                <c:formatCode>General</c:formatCode>
                <c:ptCount val="251"/>
                <c:pt idx="0">
                  <c:v>1E-4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</c:numCache>
            </c:numRef>
          </c:xVal>
          <c:yVal>
            <c:numRef>
              <c:f>'SSB at SPRx'!$B$34:$B$284</c:f>
              <c:numCache>
                <c:formatCode>General</c:formatCode>
                <c:ptCount val="251"/>
                <c:pt idx="0">
                  <c:v>0.99952159084272474</c:v>
                </c:pt>
                <c:pt idx="1">
                  <c:v>0.95448419702497456</c:v>
                </c:pt>
                <c:pt idx="2">
                  <c:v>0.91323765685305125</c:v>
                </c:pt>
                <c:pt idx="3">
                  <c:v>0.87569913806345145</c:v>
                </c:pt>
                <c:pt idx="4">
                  <c:v>0.84140098817357856</c:v>
                </c:pt>
                <c:pt idx="5">
                  <c:v>0.80995044719986264</c:v>
                </c:pt>
                <c:pt idx="6">
                  <c:v>0.78101525965315455</c:v>
                </c:pt>
                <c:pt idx="7">
                  <c:v>0.75431247955756053</c:v>
                </c:pt>
                <c:pt idx="8">
                  <c:v>0.72959967133015535</c:v>
                </c:pt>
                <c:pt idx="9">
                  <c:v>0.7066679289726443</c:v>
                </c:pt>
                <c:pt idx="10">
                  <c:v>0.68533628984063166</c:v>
                </c:pt>
                <c:pt idx="11">
                  <c:v>0.66544722847070559</c:v>
                </c:pt>
                <c:pt idx="12">
                  <c:v>0.64686299448063744</c:v>
                </c:pt>
                <c:pt idx="13">
                  <c:v>0.62946261569958595</c:v>
                </c:pt>
                <c:pt idx="14">
                  <c:v>0.6131394297182754</c:v>
                </c:pt>
                <c:pt idx="15">
                  <c:v>0.59779903828564174</c:v>
                </c:pt>
                <c:pt idx="16">
                  <c:v>0.58335760241424339</c:v>
                </c:pt>
                <c:pt idx="17">
                  <c:v>0.56974041379787388</c:v>
                </c:pt>
                <c:pt idx="18">
                  <c:v>0.55688069168838961</c:v>
                </c:pt>
                <c:pt idx="19">
                  <c:v>0.54471856479999958</c:v>
                </c:pt>
                <c:pt idx="20">
                  <c:v>0.53320020588797934</c:v>
                </c:pt>
                <c:pt idx="21">
                  <c:v>0.52227709295577129</c:v>
                </c:pt>
                <c:pt idx="22">
                  <c:v>0.51190537600119057</c:v>
                </c:pt>
                <c:pt idx="23">
                  <c:v>0.50204533213265934</c:v>
                </c:pt>
                <c:pt idx="24">
                  <c:v>0.4926608950054514</c:v>
                </c:pt>
                <c:pt idx="25">
                  <c:v>0.48371924702369723</c:v>
                </c:pt>
                <c:pt idx="26">
                  <c:v>0.47519046476178278</c:v>
                </c:pt>
                <c:pt idx="27">
                  <c:v>0.46704720968245955</c:v>
                </c:pt>
                <c:pt idx="28">
                  <c:v>0.45926445754849993</c:v>
                </c:pt>
                <c:pt idx="29">
                  <c:v>0.45181926100204461</c:v>
                </c:pt>
                <c:pt idx="30">
                  <c:v>0.44469054066934505</c:v>
                </c:pt>
                <c:pt idx="31">
                  <c:v>0.43785890087636159</c:v>
                </c:pt>
                <c:pt idx="32">
                  <c:v>0.43130646666254246</c:v>
                </c:pt>
                <c:pt idx="33">
                  <c:v>0.42501673927986727</c:v>
                </c:pt>
                <c:pt idx="34">
                  <c:v>0.41897446778074526</c:v>
                </c:pt>
                <c:pt idx="35">
                  <c:v>0.41316553464675532</c:v>
                </c:pt>
                <c:pt idx="36">
                  <c:v>0.40757685370266106</c:v>
                </c:pt>
                <c:pt idx="37">
                  <c:v>0.40219627880642972</c:v>
                </c:pt>
                <c:pt idx="38">
                  <c:v>0.39701252201407877</c:v>
                </c:pt>
                <c:pt idx="39">
                  <c:v>0.3920150800945556</c:v>
                </c:pt>
                <c:pt idx="40">
                  <c:v>0.38719416841978377</c:v>
                </c:pt>
                <c:pt idx="41">
                  <c:v>0.3825406613828321</c:v>
                </c:pt>
                <c:pt idx="42">
                  <c:v>0.37804603860644587</c:v>
                </c:pt>
                <c:pt idx="43">
                  <c:v>0.37370233629784722</c:v>
                </c:pt>
                <c:pt idx="44">
                  <c:v>0.36950210318622317</c:v>
                </c:pt>
                <c:pt idx="45">
                  <c:v>0.36543836054868317</c:v>
                </c:pt>
                <c:pt idx="46">
                  <c:v>0.36150456589037933</c:v>
                </c:pt>
                <c:pt idx="47">
                  <c:v>0.35769457989634645</c:v>
                </c:pt>
                <c:pt idx="48">
                  <c:v>0.35400263631762141</c:v>
                </c:pt>
                <c:pt idx="49">
                  <c:v>0.35042331449334041</c:v>
                </c:pt>
                <c:pt idx="50">
                  <c:v>0.34695151424461262</c:v>
                </c:pt>
                <c:pt idx="51">
                  <c:v>0.34358243290575535</c:v>
                </c:pt>
                <c:pt idx="52">
                  <c:v>0.34031154428453309</c:v>
                </c:pt>
                <c:pt idx="53">
                  <c:v>0.33713457936589597</c:v>
                </c:pt>
                <c:pt idx="54">
                  <c:v>0.3340475085937758</c:v>
                </c:pt>
                <c:pt idx="55">
                  <c:v>0.33104652558316783</c:v>
                </c:pt>
                <c:pt idx="56">
                  <c:v>0.32812803213029046</c:v>
                </c:pt>
                <c:pt idx="57">
                  <c:v>0.32528862440236567</c:v>
                </c:pt>
                <c:pt idx="58">
                  <c:v>0.32252508020073262</c:v>
                </c:pt>
                <c:pt idx="59">
                  <c:v>0.31983434720177595</c:v>
                </c:pt>
                <c:pt idx="60">
                  <c:v>0.31721353208972275</c:v>
                </c:pt>
                <c:pt idx="61">
                  <c:v>0.31465989050385901</c:v>
                </c:pt>
                <c:pt idx="62">
                  <c:v>0.31217081773028965</c:v>
                </c:pt>
                <c:pt idx="63">
                  <c:v>0.30974384007510952</c:v>
                </c:pt>
                <c:pt idx="64">
                  <c:v>0.30737660686187879</c:v>
                </c:pt>
                <c:pt idx="65">
                  <c:v>0.30506688300168544</c:v>
                </c:pt>
                <c:pt idx="66">
                  <c:v>0.3028125420888938</c:v>
                </c:pt>
                <c:pt idx="67">
                  <c:v>0.30061155998000555</c:v>
                </c:pt>
                <c:pt idx="68">
                  <c:v>0.29846200881694074</c:v>
                </c:pt>
                <c:pt idx="69">
                  <c:v>0.29636205145952904</c:v>
                </c:pt>
                <c:pt idx="70">
                  <c:v>0.29430993629514718</c:v>
                </c:pt>
                <c:pt idx="71">
                  <c:v>0.29230399239626115</c:v>
                </c:pt>
                <c:pt idx="72">
                  <c:v>0.29034262499918539</c:v>
                </c:pt>
                <c:pt idx="73">
                  <c:v>0.28842431127967433</c:v>
                </c:pt>
                <c:pt idx="74">
                  <c:v>0.28654759640304611</c:v>
                </c:pt>
                <c:pt idx="75">
                  <c:v>0.28471108982842003</c:v>
                </c:pt>
                <c:pt idx="76">
                  <c:v>0.28291346184836469</c:v>
                </c:pt>
                <c:pt idx="77">
                  <c:v>0.28115344034679329</c:v>
                </c:pt>
                <c:pt idx="78">
                  <c:v>0.27942980775936105</c:v>
                </c:pt>
                <c:pt idx="79">
                  <c:v>0.27774139822188915</c:v>
                </c:pt>
                <c:pt idx="80">
                  <c:v>0.27608709489350897</c:v>
                </c:pt>
                <c:pt idx="81">
                  <c:v>0.27446582744227782</c:v>
                </c:pt>
                <c:pt idx="82">
                  <c:v>0.2728765696819842</c:v>
                </c:pt>
                <c:pt idx="83">
                  <c:v>0.27131833734974026</c:v>
                </c:pt>
                <c:pt idx="84">
                  <c:v>0.26979018601476712</c:v>
                </c:pt>
                <c:pt idx="85">
                  <c:v>0.26829120910951293</c:v>
                </c:pt>
                <c:pt idx="86">
                  <c:v>0.26682053607491374</c:v>
                </c:pt>
                <c:pt idx="87">
                  <c:v>0.26537733061222968</c:v>
                </c:pt>
                <c:pt idx="88">
                  <c:v>0.26396078903444975</c:v>
                </c:pt>
                <c:pt idx="89">
                  <c:v>0.2625701387107745</c:v>
                </c:pt>
                <c:pt idx="90">
                  <c:v>0.26120463659816789</c:v>
                </c:pt>
                <c:pt idx="91">
                  <c:v>0.25986356785439996</c:v>
                </c:pt>
                <c:pt idx="92">
                  <c:v>0.25854624452740771</c:v>
                </c:pt>
                <c:pt idx="93">
                  <c:v>0.25725200431616851</c:v>
                </c:pt>
                <c:pt idx="94">
                  <c:v>0.25598020939862121</c:v>
                </c:pt>
                <c:pt idx="95">
                  <c:v>0.25473024532248623</c:v>
                </c:pt>
                <c:pt idx="96">
                  <c:v>0.25350151995511894</c:v>
                </c:pt>
                <c:pt idx="97">
                  <c:v>0.2522934624888033</c:v>
                </c:pt>
                <c:pt idx="98">
                  <c:v>0.25110552249813722</c:v>
                </c:pt>
                <c:pt idx="99">
                  <c:v>0.24993716904638399</c:v>
                </c:pt>
                <c:pt idx="100">
                  <c:v>0.24878788983788414</c:v>
                </c:pt>
                <c:pt idx="101">
                  <c:v>0.24765719041380529</c:v>
                </c:pt>
                <c:pt idx="102">
                  <c:v>0.24654459338869789</c:v>
                </c:pt>
                <c:pt idx="103">
                  <c:v>0.24544963772548459</c:v>
                </c:pt>
                <c:pt idx="104">
                  <c:v>0.24437187804666854</c:v>
                </c:pt>
                <c:pt idx="105">
                  <c:v>0.243310883979691</c:v>
                </c:pt>
                <c:pt idx="106">
                  <c:v>0.24226623953449766</c:v>
                </c:pt>
                <c:pt idx="107">
                  <c:v>0.24123754251150048</c:v>
                </c:pt>
                <c:pt idx="108">
                  <c:v>0.24022440393823571</c:v>
                </c:pt>
                <c:pt idx="109">
                  <c:v>0.23922644753312411</c:v>
                </c:pt>
                <c:pt idx="110">
                  <c:v>0.2382433091948403</c:v>
                </c:pt>
                <c:pt idx="111">
                  <c:v>0.23727463651589242</c:v>
                </c:pt>
                <c:pt idx="112">
                  <c:v>0.23632008831909385</c:v>
                </c:pt>
                <c:pt idx="113">
                  <c:v>0.23537933421569526</c:v>
                </c:pt>
                <c:pt idx="114">
                  <c:v>0.23445205418401688</c:v>
                </c:pt>
                <c:pt idx="115">
                  <c:v>0.23353793816749024</c:v>
                </c:pt>
                <c:pt idx="116">
                  <c:v>0.23263668569108592</c:v>
                </c:pt>
                <c:pt idx="117">
                  <c:v>0.23174800549516245</c:v>
                </c:pt>
                <c:pt idx="118">
                  <c:v>0.23087161518582994</c:v>
                </c:pt>
                <c:pt idx="119">
                  <c:v>0.23000724090097513</c:v>
                </c:pt>
                <c:pt idx="120">
                  <c:v>0.22915461699114162</c:v>
                </c:pt>
                <c:pt idx="121">
                  <c:v>0.22831348571450999</c:v>
                </c:pt>
                <c:pt idx="122">
                  <c:v>0.22748359694526149</c:v>
                </c:pt>
                <c:pt idx="123">
                  <c:v>0.2266647078946521</c:v>
                </c:pt>
                <c:pt idx="124">
                  <c:v>0.22585658284416293</c:v>
                </c:pt>
                <c:pt idx="125">
                  <c:v>0.22505899289012465</c:v>
                </c:pt>
                <c:pt idx="126">
                  <c:v>0.22427171569925192</c:v>
                </c:pt>
                <c:pt idx="127">
                  <c:v>0.22349453527455171</c:v>
                </c:pt>
                <c:pt idx="128">
                  <c:v>0.2227272417311007</c:v>
                </c:pt>
                <c:pt idx="129">
                  <c:v>0.22196963108121426</c:v>
                </c:pt>
                <c:pt idx="130">
                  <c:v>0.22122150502855434</c:v>
                </c:pt>
                <c:pt idx="131">
                  <c:v>0.22048267077075084</c:v>
                </c:pt>
                <c:pt idx="132">
                  <c:v>0.21975294081013066</c:v>
                </c:pt>
                <c:pt idx="133">
                  <c:v>0.2190321327721724</c:v>
                </c:pt>
                <c:pt idx="134">
                  <c:v>0.21832006923132488</c:v>
                </c:pt>
                <c:pt idx="135">
                  <c:v>0.21761657754384495</c:v>
                </c:pt>
                <c:pt idx="136">
                  <c:v>0.21692148968733141</c:v>
                </c:pt>
                <c:pt idx="137">
                  <c:v>0.2162346421066447</c:v>
                </c:pt>
                <c:pt idx="138">
                  <c:v>0.21555587556592173</c:v>
                </c:pt>
                <c:pt idx="139">
                  <c:v>0.21488503500640771</c:v>
                </c:pt>
                <c:pt idx="140">
                  <c:v>0.21422196940984226</c:v>
                </c:pt>
                <c:pt idx="141">
                  <c:v>0.21356653166715087</c:v>
                </c:pt>
                <c:pt idx="142">
                  <c:v>0.21291857845220305</c:v>
                </c:pt>
                <c:pt idx="143">
                  <c:v>0.21227797010041399</c:v>
                </c:pt>
                <c:pt idx="144">
                  <c:v>0.21164457049197488</c:v>
                </c:pt>
                <c:pt idx="145">
                  <c:v>0.21101824693950885</c:v>
                </c:pt>
                <c:pt idx="146">
                  <c:v>0.21039887007995942</c:v>
                </c:pt>
                <c:pt idx="147">
                  <c:v>0.20978631377052842</c:v>
                </c:pt>
                <c:pt idx="148">
                  <c:v>0.20918045498848767</c:v>
                </c:pt>
                <c:pt idx="149">
                  <c:v>0.20858117373469906</c:v>
                </c:pt>
                <c:pt idx="150">
                  <c:v>0.20798835294068493</c:v>
                </c:pt>
                <c:pt idx="151">
                  <c:v>0.20740187837909746</c:v>
                </c:pt>
                <c:pt idx="152">
                  <c:v>0.20682163857744484</c:v>
                </c:pt>
                <c:pt idx="153">
                  <c:v>0.20624752473493652</c:v>
                </c:pt>
                <c:pt idx="154">
                  <c:v>0.20567943064231864</c:v>
                </c:pt>
                <c:pt idx="155">
                  <c:v>0.20511725260457475</c:v>
                </c:pt>
                <c:pt idx="156">
                  <c:v>0.20456088936637412</c:v>
                </c:pt>
                <c:pt idx="157">
                  <c:v>0.20401024204015508</c:v>
                </c:pt>
                <c:pt idx="158">
                  <c:v>0.20346521403673554</c:v>
                </c:pt>
                <c:pt idx="159">
                  <c:v>0.20292571099834836</c:v>
                </c:pt>
                <c:pt idx="160">
                  <c:v>0.20239164073400459</c:v>
                </c:pt>
                <c:pt idx="161">
                  <c:v>0.20186291315708896</c:v>
                </c:pt>
                <c:pt idx="162">
                  <c:v>0.20133944022510139</c:v>
                </c:pt>
                <c:pt idx="163">
                  <c:v>0.20082113588145756</c:v>
                </c:pt>
                <c:pt idx="164">
                  <c:v>0.20030791599926717</c:v>
                </c:pt>
                <c:pt idx="165">
                  <c:v>0.19979969832701328</c:v>
                </c:pt>
                <c:pt idx="166">
                  <c:v>0.1992964024360577</c:v>
                </c:pt>
                <c:pt idx="167">
                  <c:v>0.1987979496699018</c:v>
                </c:pt>
                <c:pt idx="168">
                  <c:v>0.19830426309513469</c:v>
                </c:pt>
                <c:pt idx="169">
                  <c:v>0.19781526745400385</c:v>
                </c:pt>
                <c:pt idx="170">
                  <c:v>0.1973308891185466</c:v>
                </c:pt>
                <c:pt idx="171">
                  <c:v>0.19685105604622252</c:v>
                </c:pt>
                <c:pt idx="172">
                  <c:v>0.19637569773699026</c:v>
                </c:pt>
                <c:pt idx="173">
                  <c:v>0.19590474519177409</c:v>
                </c:pt>
                <c:pt idx="174">
                  <c:v>0.19543813087226836</c:v>
                </c:pt>
                <c:pt idx="175">
                  <c:v>0.19497578866203025</c:v>
                </c:pt>
                <c:pt idx="176">
                  <c:v>0.19451765382881223</c:v>
                </c:pt>
                <c:pt idx="177">
                  <c:v>0.19406366298808897</c:v>
                </c:pt>
                <c:pt idx="178">
                  <c:v>0.19361375406773551</c:v>
                </c:pt>
                <c:pt idx="179">
                  <c:v>0.19316786627381274</c:v>
                </c:pt>
                <c:pt idx="180">
                  <c:v>0.1927259400574225</c:v>
                </c:pt>
                <c:pt idx="181">
                  <c:v>0.19228791708259099</c:v>
                </c:pt>
                <c:pt idx="182">
                  <c:v>0.19185374019514573</c:v>
                </c:pt>
                <c:pt idx="183">
                  <c:v>0.19142335339254885</c:v>
                </c:pt>
                <c:pt idx="184">
                  <c:v>0.19099670179465358</c:v>
                </c:pt>
                <c:pt idx="185">
                  <c:v>0.19057373161535066</c:v>
                </c:pt>
                <c:pt idx="186">
                  <c:v>0.19015439013507379</c:v>
                </c:pt>
                <c:pt idx="187">
                  <c:v>0.18973862567413327</c:v>
                </c:pt>
                <c:pt idx="188">
                  <c:v>0.18932638756684964</c:v>
                </c:pt>
                <c:pt idx="189">
                  <c:v>0.18891762613645882</c:v>
                </c:pt>
                <c:pt idx="190">
                  <c:v>0.18851229267076222</c:v>
                </c:pt>
                <c:pt idx="191">
                  <c:v>0.18811033939849681</c:v>
                </c:pt>
                <c:pt idx="192">
                  <c:v>0.18771171946639917</c:v>
                </c:pt>
                <c:pt idx="193">
                  <c:v>0.18731638691694127</c:v>
                </c:pt>
                <c:pt idx="194">
                  <c:v>0.18692429666671428</c:v>
                </c:pt>
                <c:pt idx="195">
                  <c:v>0.18653540448543784</c:v>
                </c:pt>
                <c:pt idx="196">
                  <c:v>0.18614966697557628</c:v>
                </c:pt>
                <c:pt idx="197">
                  <c:v>0.18576704155253804</c:v>
                </c:pt>
                <c:pt idx="198">
                  <c:v>0.18538748642544212</c:v>
                </c:pt>
                <c:pt idx="199">
                  <c:v>0.18501096057842967</c:v>
                </c:pt>
                <c:pt idx="200">
                  <c:v>0.18463742375250583</c:v>
                </c:pt>
                <c:pt idx="201">
                  <c:v>0.18426683642789146</c:v>
                </c:pt>
                <c:pt idx="202">
                  <c:v>0.18389915980687038</c:v>
                </c:pt>
                <c:pt idx="203">
                  <c:v>0.18353435579711447</c:v>
                </c:pt>
                <c:pt idx="204">
                  <c:v>0.18317238699547211</c:v>
                </c:pt>
                <c:pt idx="205">
                  <c:v>0.18281321667220407</c:v>
                </c:pt>
                <c:pt idx="206">
                  <c:v>0.18245680875565323</c:v>
                </c:pt>
                <c:pt idx="207">
                  <c:v>0.18210312781733473</c:v>
                </c:pt>
                <c:pt idx="208">
                  <c:v>0.18175213905743073</c:v>
                </c:pt>
                <c:pt idx="209">
                  <c:v>0.18140380829068042</c:v>
                </c:pt>
                <c:pt idx="210">
                  <c:v>0.1810581019326501</c:v>
                </c:pt>
                <c:pt idx="211">
                  <c:v>0.18071498698637242</c:v>
                </c:pt>
                <c:pt idx="212">
                  <c:v>0.18037443102934322</c:v>
                </c:pt>
                <c:pt idx="213">
                  <c:v>0.180036402200865</c:v>
                </c:pt>
                <c:pt idx="214">
                  <c:v>0.17970086918972533</c:v>
                </c:pt>
                <c:pt idx="215">
                  <c:v>0.17936780122220169</c:v>
                </c:pt>
                <c:pt idx="216">
                  <c:v>0.17903716805038003</c:v>
                </c:pt>
                <c:pt idx="217">
                  <c:v>0.17870893994078052</c:v>
                </c:pt>
                <c:pt idx="218">
                  <c:v>0.17838308766327837</c:v>
                </c:pt>
                <c:pt idx="219">
                  <c:v>0.17805958248031289</c:v>
                </c:pt>
                <c:pt idx="220">
                  <c:v>0.1777383961363744</c:v>
                </c:pt>
                <c:pt idx="221">
                  <c:v>0.17741950084776195</c:v>
                </c:pt>
                <c:pt idx="222">
                  <c:v>0.17710286929260316</c:v>
                </c:pt>
                <c:pt idx="223">
                  <c:v>0.17678847460112776</c:v>
                </c:pt>
                <c:pt idx="224">
                  <c:v>0.17647629034618892</c:v>
                </c:pt>
                <c:pt idx="225">
                  <c:v>0.17616629053402327</c:v>
                </c:pt>
                <c:pt idx="226">
                  <c:v>0.17585844959524363</c:v>
                </c:pt>
                <c:pt idx="227">
                  <c:v>0.1755527423760572</c:v>
                </c:pt>
                <c:pt idx="228">
                  <c:v>0.17524914412970322</c:v>
                </c:pt>
                <c:pt idx="229">
                  <c:v>0.17494763050810253</c:v>
                </c:pt>
                <c:pt idx="230">
                  <c:v>0.17464817755371459</c:v>
                </c:pt>
                <c:pt idx="231">
                  <c:v>0.17435076169159369</c:v>
                </c:pt>
                <c:pt idx="232">
                  <c:v>0.17405535972164157</c:v>
                </c:pt>
                <c:pt idx="233">
                  <c:v>0.17376194881104792</c:v>
                </c:pt>
                <c:pt idx="234">
                  <c:v>0.173470506486915</c:v>
                </c:pt>
                <c:pt idx="235">
                  <c:v>0.17318101062906152</c:v>
                </c:pt>
                <c:pt idx="236">
                  <c:v>0.17289343946299918</c:v>
                </c:pt>
                <c:pt idx="237">
                  <c:v>0.17260777155307835</c:v>
                </c:pt>
                <c:pt idx="238">
                  <c:v>0.17232398579579764</c:v>
                </c:pt>
                <c:pt idx="239">
                  <c:v>0.17204206141327241</c:v>
                </c:pt>
                <c:pt idx="240">
                  <c:v>0.1717619779468591</c:v>
                </c:pt>
                <c:pt idx="241">
                  <c:v>0.17148371525092945</c:v>
                </c:pt>
                <c:pt idx="242">
                  <c:v>0.17120725348679094</c:v>
                </c:pt>
                <c:pt idx="243">
                  <c:v>0.17093257311675078</c:v>
                </c:pt>
                <c:pt idx="244">
                  <c:v>0.17065965489831747</c:v>
                </c:pt>
                <c:pt idx="245">
                  <c:v>0.17038847987853742</c:v>
                </c:pt>
                <c:pt idx="246">
                  <c:v>0.17011902938846288</c:v>
                </c:pt>
                <c:pt idx="247">
                  <c:v>0.16985128503774724</c:v>
                </c:pt>
                <c:pt idx="248">
                  <c:v>0.16958522870936446</c:v>
                </c:pt>
                <c:pt idx="249">
                  <c:v>0.16932084255444962</c:v>
                </c:pt>
                <c:pt idx="250">
                  <c:v>0.16905810898725607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B3-4134-BE83-B85CEAA19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38640"/>
        <c:axId val="897235688"/>
      </c:scatterChart>
      <c:valAx>
        <c:axId val="897238640"/>
        <c:scaling>
          <c:orientation val="minMax"/>
          <c:max val="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5688"/>
        <c:crosses val="autoZero"/>
        <c:crossBetween val="midCat"/>
      </c:valAx>
      <c:valAx>
        <c:axId val="8972356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SPR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864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2799650043744"/>
          <c:y val="4.1666666666666664E-2"/>
          <c:w val="0.84096500437445332"/>
          <c:h val="0.7963888888888889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'SRR and Yield'!$AC$2:$AC$294</c:f>
              <c:numCache>
                <c:formatCode>General</c:formatCode>
                <c:ptCount val="29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</c:numCache>
            </c:numRef>
          </c:xVal>
          <c:yVal>
            <c:numRef>
              <c:f>'SRR and Yield'!$AB$2:$AB$294</c:f>
              <c:numCache>
                <c:formatCode>General</c:formatCode>
                <c:ptCount val="293"/>
                <c:pt idx="0">
                  <c:v>0.17784628387783805</c:v>
                </c:pt>
                <c:pt idx="1">
                  <c:v>0.76924849475904822</c:v>
                </c:pt>
                <c:pt idx="2">
                  <c:v>1.3164613146021833</c:v>
                </c:pt>
                <c:pt idx="3">
                  <c:v>2.0431797775975853</c:v>
                </c:pt>
                <c:pt idx="4">
                  <c:v>2.503921507212437</c:v>
                </c:pt>
                <c:pt idx="5">
                  <c:v>2.8221186205191118</c:v>
                </c:pt>
                <c:pt idx="6">
                  <c:v>3.0550599281390052</c:v>
                </c:pt>
                <c:pt idx="7">
                  <c:v>3.2329618178416908</c:v>
                </c:pt>
                <c:pt idx="8">
                  <c:v>3.3732703026493445</c:v>
                </c:pt>
                <c:pt idx="9">
                  <c:v>3.4867627659393921</c:v>
                </c:pt>
                <c:pt idx="10">
                  <c:v>3.5804563369475368</c:v>
                </c:pt>
                <c:pt idx="11">
                  <c:v>3.6591162730240945</c:v>
                </c:pt>
                <c:pt idx="12">
                  <c:v>3.7260921835717746</c:v>
                </c:pt>
                <c:pt idx="13">
                  <c:v>3.7838073816815534</c:v>
                </c:pt>
                <c:pt idx="14">
                  <c:v>3.834058374811435</c:v>
                </c:pt>
                <c:pt idx="15">
                  <c:v>3.8782052151224962</c:v>
                </c:pt>
                <c:pt idx="16">
                  <c:v>3.917296454282329</c:v>
                </c:pt>
                <c:pt idx="17">
                  <c:v>3.9521534945293268</c:v>
                </c:pt>
                <c:pt idx="18">
                  <c:v>3.9834289382627417</c:v>
                </c:pt>
                <c:pt idx="19">
                  <c:v>4.011647830100884</c:v>
                </c:pt>
                <c:pt idx="20">
                  <c:v>4.0372373705066602</c:v>
                </c:pt>
                <c:pt idx="21">
                  <c:v>4.0605486932675214</c:v>
                </c:pt>
                <c:pt idx="22">
                  <c:v>4.0818730743619103</c:v>
                </c:pt>
                <c:pt idx="23">
                  <c:v>4.1014541655516092</c:v>
                </c:pt>
                <c:pt idx="24">
                  <c:v>4.1194973454718777</c:v>
                </c:pt>
                <c:pt idx="25">
                  <c:v>4.1361769506556794</c:v>
                </c:pt>
                <c:pt idx="26">
                  <c:v>4.1516419268421378</c:v>
                </c:pt>
                <c:pt idx="27">
                  <c:v>4.1660202890531561</c:v>
                </c:pt>
                <c:pt idx="28">
                  <c:v>4.1794226734436659</c:v>
                </c:pt>
                <c:pt idx="29">
                  <c:v>4.1919451896136302</c:v>
                </c:pt>
                <c:pt idx="30">
                  <c:v>4.203671729010007</c:v>
                </c:pt>
                <c:pt idx="31">
                  <c:v>4.2146758466965295</c:v>
                </c:pt>
                <c:pt idx="32">
                  <c:v>4.2250223057328284</c:v>
                </c:pt>
                <c:pt idx="33">
                  <c:v>4.2347683526894224</c:v>
                </c:pt>
                <c:pt idx="34">
                  <c:v>4.2439647773670925</c:v>
                </c:pt>
                <c:pt idx="35">
                  <c:v>4.2526567981463312</c:v>
                </c:pt>
                <c:pt idx="36">
                  <c:v>4.2608848055467528</c:v>
                </c:pt>
                <c:pt idx="37">
                  <c:v>4.2686849898002599</c:v>
                </c:pt>
                <c:pt idx="38">
                  <c:v>4.2760898730109389</c:v>
                </c:pt>
                <c:pt idx="39">
                  <c:v>4.2831287624073449</c:v>
                </c:pt>
                <c:pt idx="40">
                  <c:v>4.2898281380082697</c:v>
                </c:pt>
                <c:pt idx="41">
                  <c:v>4.2962119855135175</c:v>
                </c:pt>
                <c:pt idx="42">
                  <c:v>4.3023020832412167</c:v>
                </c:pt>
                <c:pt idx="43">
                  <c:v>4.3081182503461131</c:v>
                </c:pt>
                <c:pt idx="44">
                  <c:v>4.3136785622802218</c:v>
                </c:pt>
                <c:pt idx="45">
                  <c:v>4.3189995384308917</c:v>
                </c:pt>
                <c:pt idx="46">
                  <c:v>4.3240963060395021</c:v>
                </c:pt>
                <c:pt idx="47">
                  <c:v>4.3289827438267139</c:v>
                </c:pt>
                <c:pt idx="48">
                  <c:v>4.3336716081961146</c:v>
                </c:pt>
                <c:pt idx="49">
                  <c:v>4.3381746444328328</c:v>
                </c:pt>
                <c:pt idx="50">
                  <c:v>4.3425026849380428</c:v>
                </c:pt>
                <c:pt idx="51">
                  <c:v>4.3466657362290793</c:v>
                </c:pt>
                <c:pt idx="52">
                  <c:v>4.3506730561760527</c:v>
                </c:pt>
                <c:pt idx="53">
                  <c:v>4.3545332227298186</c:v>
                </c:pt>
                <c:pt idx="54">
                  <c:v>4.3582541952151361</c:v>
                </c:pt>
                <c:pt idx="55">
                  <c:v>4.3618433691107388</c:v>
                </c:pt>
                <c:pt idx="56">
                  <c:v>4.3653076251096836</c:v>
                </c:pt>
                <c:pt idx="57">
                  <c:v>4.3686533731448325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80-4B30-AED8-718BCDFBAC72}"/>
            </c:ext>
          </c:extLst>
        </c:ser>
        <c:ser>
          <c:idx val="1"/>
          <c:order val="1"/>
          <c:tx>
            <c:v>hor</c:v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('SRR and Yield'!$F$19,'SRR and Yield'!$E$19)</c:f>
              <c:numCache>
                <c:formatCode>General</c:formatCode>
                <c:ptCount val="2"/>
                <c:pt idx="0">
                  <c:v>0</c:v>
                </c:pt>
                <c:pt idx="1">
                  <c:v>36.967898517909482</c:v>
                </c:pt>
              </c:numCache>
            </c:numRef>
          </c:xVal>
          <c:yVal>
            <c:numRef>
              <c:f>('SRR and Yield'!$E$15,'SRR and Yield'!$E$15)</c:f>
              <c:numCache>
                <c:formatCode>General</c:formatCode>
                <c:ptCount val="2"/>
                <c:pt idx="0">
                  <c:v>4.2758580000000004</c:v>
                </c:pt>
                <c:pt idx="1">
                  <c:v>4.2758580000000004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80-4B30-AED8-718BCDFBAC72}"/>
            </c:ext>
          </c:extLst>
        </c:ser>
        <c:ser>
          <c:idx val="2"/>
          <c:order val="2"/>
          <c:tx>
            <c:v>vert</c:v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('SRR and Yield'!$E$19,'SRR and Yield'!$E$19)</c:f>
              <c:numCache>
                <c:formatCode>General</c:formatCode>
                <c:ptCount val="2"/>
                <c:pt idx="0">
                  <c:v>36.967898517909482</c:v>
                </c:pt>
                <c:pt idx="1">
                  <c:v>36.967898517909482</c:v>
                </c:pt>
              </c:numCache>
            </c:numRef>
          </c:xVal>
          <c:yVal>
            <c:numRef>
              <c:f>('SRR and Yield'!$X$44,'SRR and Yield'!$Y$44)</c:f>
              <c:numCache>
                <c:formatCode>General</c:formatCode>
                <c:ptCount val="2"/>
                <c:pt idx="0">
                  <c:v>0</c:v>
                </c:pt>
                <c:pt idx="1">
                  <c:v>4.2758580000000004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80-4B30-AED8-718BCDFBAC72}"/>
            </c:ext>
          </c:extLst>
        </c:ser>
        <c:ser>
          <c:idx val="3"/>
          <c:order val="3"/>
          <c:tx>
            <c:v>point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'SRR and Yield'!$E$19</c:f>
              <c:numCache>
                <c:formatCode>General</c:formatCode>
                <c:ptCount val="1"/>
                <c:pt idx="0">
                  <c:v>36.967898517909482</c:v>
                </c:pt>
              </c:numCache>
            </c:numRef>
          </c:xVal>
          <c:yVal>
            <c:numRef>
              <c:f>'SRR and Yield'!$E$15</c:f>
              <c:numCache>
                <c:formatCode>General</c:formatCode>
                <c:ptCount val="1"/>
                <c:pt idx="0">
                  <c:v>4.2758580000000004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80-4B30-AED8-718BCDFBAC72}"/>
            </c:ext>
          </c:extLst>
        </c:ser>
        <c:ser>
          <c:idx val="4"/>
          <c:order val="4"/>
          <c:tx>
            <c:v>hor2</c:v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('SRR and Yield'!$X$44,'SRR and Yield'!$W$45)</c:f>
              <c:numCache>
                <c:formatCode>General</c:formatCode>
                <c:ptCount val="2"/>
                <c:pt idx="0">
                  <c:v>0</c:v>
                </c:pt>
                <c:pt idx="1">
                  <c:v>24.559945339839725</c:v>
                </c:pt>
              </c:numCache>
            </c:numRef>
          </c:xVal>
          <c:yVal>
            <c:numRef>
              <c:f>('SRR and Yield'!$W$44,'SRR and Yield'!$W$44)</c:f>
              <c:numCache>
                <c:formatCode>General</c:formatCode>
                <c:ptCount val="2"/>
                <c:pt idx="0">
                  <c:v>4.144977500179249</c:v>
                </c:pt>
                <c:pt idx="1">
                  <c:v>4.144977500179249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980-4B30-AED8-718BCDFBAC72}"/>
            </c:ext>
          </c:extLst>
        </c:ser>
        <c:ser>
          <c:idx val="5"/>
          <c:order val="5"/>
          <c:tx>
            <c:v>vert2</c:v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BCFB-4348-91DE-4EC82D27C4D7}"/>
              </c:ext>
            </c:extLst>
          </c:dPt>
          <c:xVal>
            <c:numRef>
              <c:f>('SRR and Yield'!$W$45,'SRR and Yield'!$W$45)</c:f>
              <c:numCache>
                <c:formatCode>General</c:formatCode>
                <c:ptCount val="2"/>
                <c:pt idx="0">
                  <c:v>24.559945339839725</c:v>
                </c:pt>
                <c:pt idx="1">
                  <c:v>24.559945339839725</c:v>
                </c:pt>
              </c:numCache>
            </c:numRef>
          </c:xVal>
          <c:yVal>
            <c:numRef>
              <c:f>('SRR and Yield'!$X$44,'SRR and Yield'!$W$44)</c:f>
              <c:numCache>
                <c:formatCode>General</c:formatCode>
                <c:ptCount val="2"/>
                <c:pt idx="0">
                  <c:v>0</c:v>
                </c:pt>
                <c:pt idx="1">
                  <c:v>4.144977500179249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980-4B30-AED8-718BCDFBAC72}"/>
            </c:ext>
          </c:extLst>
        </c:ser>
        <c:ser>
          <c:idx val="6"/>
          <c:order val="6"/>
          <c:tx>
            <c:v>point2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('SRR and Yield'!$W$45,'SRR and Yield'!$W$45)</c:f>
              <c:numCache>
                <c:formatCode>General</c:formatCode>
                <c:ptCount val="2"/>
                <c:pt idx="0">
                  <c:v>24.559945339839725</c:v>
                </c:pt>
                <c:pt idx="1">
                  <c:v>24.559945339839725</c:v>
                </c:pt>
              </c:numCache>
            </c:numRef>
          </c:xVal>
          <c:yVal>
            <c:numRef>
              <c:f>('SRR and Yield'!$W$44,'SRR and Yield'!$W$44)</c:f>
              <c:numCache>
                <c:formatCode>General</c:formatCode>
                <c:ptCount val="2"/>
                <c:pt idx="0">
                  <c:v>4.144977500179249</c:v>
                </c:pt>
                <c:pt idx="1">
                  <c:v>4.144977500179249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980-4B30-AED8-718BCDFBA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38640"/>
        <c:axId val="897235688"/>
      </c:scatterChart>
      <c:valAx>
        <c:axId val="897238640"/>
        <c:scaling>
          <c:orientation val="minMax"/>
        </c:scaling>
        <c:delete val="0"/>
        <c:axPos val="b"/>
        <c:title>
          <c:tx>
            <c:strRef>
              <c:f>'SRR and Yield'!$AC$1</c:f>
              <c:strCache>
                <c:ptCount val="1"/>
                <c:pt idx="0">
                  <c:v>SSB (kt)</c:v>
                </c:pt>
              </c:strCache>
            </c:strRef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5688"/>
        <c:crosses val="autoZero"/>
        <c:crossBetween val="midCat"/>
      </c:valAx>
      <c:valAx>
        <c:axId val="897235688"/>
        <c:scaling>
          <c:orientation val="minMax"/>
          <c:max val="5"/>
        </c:scaling>
        <c:delete val="0"/>
        <c:axPos val="l"/>
        <c:title>
          <c:tx>
            <c:strRef>
              <c:f>'SRR and Yield'!$AB$1</c:f>
              <c:strCache>
                <c:ptCount val="1"/>
                <c:pt idx="0">
                  <c:v>Recruitment (10^9)</c:v>
                </c:pt>
              </c:strCache>
            </c:strRef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864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2799650043744"/>
          <c:y val="4.1666666666666664E-2"/>
          <c:w val="0.84096500437445332"/>
          <c:h val="0.7963888888888889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MSY!$A$44:$A$294</c:f>
              <c:numCache>
                <c:formatCode>General</c:formatCode>
                <c:ptCount val="251"/>
                <c:pt idx="0">
                  <c:v>1E-4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0.630000000000001</c:v>
                </c:pt>
                <c:pt idx="64">
                  <c:v>0.64000000000000101</c:v>
                </c:pt>
                <c:pt idx="65">
                  <c:v>0.65000000000000102</c:v>
                </c:pt>
                <c:pt idx="66">
                  <c:v>0.66000000000000103</c:v>
                </c:pt>
                <c:pt idx="67">
                  <c:v>0.67000000000000104</c:v>
                </c:pt>
                <c:pt idx="68">
                  <c:v>0.68000000000000105</c:v>
                </c:pt>
                <c:pt idx="69">
                  <c:v>0.69000000000000095</c:v>
                </c:pt>
                <c:pt idx="70">
                  <c:v>0.70000000000000095</c:v>
                </c:pt>
                <c:pt idx="71">
                  <c:v>0.71000000000000096</c:v>
                </c:pt>
                <c:pt idx="72">
                  <c:v>0.72000000000000097</c:v>
                </c:pt>
                <c:pt idx="73">
                  <c:v>0.73000000000000098</c:v>
                </c:pt>
                <c:pt idx="74">
                  <c:v>0.74000000000000099</c:v>
                </c:pt>
                <c:pt idx="75">
                  <c:v>0.750000000000001</c:v>
                </c:pt>
                <c:pt idx="76">
                  <c:v>0.76000000000000101</c:v>
                </c:pt>
                <c:pt idx="77">
                  <c:v>0.77000000000000102</c:v>
                </c:pt>
                <c:pt idx="78">
                  <c:v>0.78000000000000103</c:v>
                </c:pt>
                <c:pt idx="79">
                  <c:v>0.79000000000000103</c:v>
                </c:pt>
                <c:pt idx="80">
                  <c:v>0.80000000000000104</c:v>
                </c:pt>
                <c:pt idx="81">
                  <c:v>0.81000000000000105</c:v>
                </c:pt>
                <c:pt idx="82">
                  <c:v>0.82000000000000095</c:v>
                </c:pt>
                <c:pt idx="83">
                  <c:v>0.83000000000000096</c:v>
                </c:pt>
                <c:pt idx="84">
                  <c:v>0.84000000000000097</c:v>
                </c:pt>
                <c:pt idx="85">
                  <c:v>0.85000000000000098</c:v>
                </c:pt>
                <c:pt idx="86">
                  <c:v>0.86000000000000099</c:v>
                </c:pt>
                <c:pt idx="87">
                  <c:v>0.87000000000000099</c:v>
                </c:pt>
                <c:pt idx="88">
                  <c:v>0.880000000000001</c:v>
                </c:pt>
                <c:pt idx="89">
                  <c:v>0.89000000000000101</c:v>
                </c:pt>
                <c:pt idx="90">
                  <c:v>0.90000000000000102</c:v>
                </c:pt>
                <c:pt idx="91">
                  <c:v>0.91000000000000103</c:v>
                </c:pt>
                <c:pt idx="92">
                  <c:v>0.92000000000000104</c:v>
                </c:pt>
                <c:pt idx="93">
                  <c:v>0.93000000000000105</c:v>
                </c:pt>
                <c:pt idx="94">
                  <c:v>0.94000000000000095</c:v>
                </c:pt>
                <c:pt idx="95">
                  <c:v>0.95000000000000095</c:v>
                </c:pt>
                <c:pt idx="96">
                  <c:v>0.96000000000000096</c:v>
                </c:pt>
                <c:pt idx="97">
                  <c:v>0.97000000000000097</c:v>
                </c:pt>
                <c:pt idx="98">
                  <c:v>0.98000000000000098</c:v>
                </c:pt>
                <c:pt idx="99">
                  <c:v>0.99000000000000099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</c:numCache>
            </c:numRef>
          </c:xVal>
          <c:yVal>
            <c:numRef>
              <c:f>MSY!$C$44:$C$294</c:f>
              <c:numCache>
                <c:formatCode>General</c:formatCode>
                <c:ptCount val="251"/>
                <c:pt idx="0">
                  <c:v>6.8128969288715636E-4</c:v>
                </c:pt>
                <c:pt idx="1">
                  <c:v>6.43343462730398E-2</c:v>
                </c:pt>
                <c:pt idx="2">
                  <c:v>0.12173192642859101</c:v>
                </c:pt>
                <c:pt idx="3">
                  <c:v>0.17314724253319588</c:v>
                </c:pt>
                <c:pt idx="4">
                  <c:v>0.21937345502736541</c:v>
                </c:pt>
                <c:pt idx="5">
                  <c:v>0.26107472664256853</c:v>
                </c:pt>
                <c:pt idx="6">
                  <c:v>0.29881110713728715</c:v>
                </c:pt>
                <c:pt idx="7">
                  <c:v>0.33305789025881521</c:v>
                </c:pt>
                <c:pt idx="8">
                  <c:v>0.36422082325420319</c:v>
                </c:pt>
                <c:pt idx="9">
                  <c:v>0.39264816896870791</c:v>
                </c:pt>
                <c:pt idx="10">
                  <c:v>0.41864035422401591</c:v>
                </c:pt>
                <c:pt idx="11">
                  <c:v>0.44245774905277546</c:v>
                </c:pt>
                <c:pt idx="12">
                  <c:v>0.46432698537526651</c:v>
                </c:pt>
                <c:pt idx="13">
                  <c:v>0.48444612475875548</c:v>
                </c:pt>
                <c:pt idx="14">
                  <c:v>0.50298891211688024</c:v>
                </c:pt>
                <c:pt idx="15">
                  <c:v>0.52010829811866577</c:v>
                </c:pt>
                <c:pt idx="16">
                  <c:v>0.53593937249685797</c:v>
                </c:pt>
                <c:pt idx="17">
                  <c:v>0.55060181972622135</c:v>
                </c:pt>
                <c:pt idx="18">
                  <c:v>0.56420198509193298</c:v>
                </c:pt>
                <c:pt idx="19">
                  <c:v>0.57683462112432093</c:v>
                </c:pt>
                <c:pt idx="20">
                  <c:v>0.5885843703885929</c:v>
                </c:pt>
                <c:pt idx="21">
                  <c:v>0.59952702969842908</c:v>
                </c:pt>
                <c:pt idx="22">
                  <c:v>0.60973063224063184</c:v>
                </c:pt>
                <c:pt idx="23">
                  <c:v>0.6192563773111408</c:v>
                </c:pt>
                <c:pt idx="24">
                  <c:v>0.62815943196308066</c:v>
                </c:pt>
                <c:pt idx="25">
                  <c:v>0.63648962454709368</c:v>
                </c:pt>
                <c:pt idx="26">
                  <c:v>0.64429204664858242</c:v>
                </c:pt>
                <c:pt idx="27">
                  <c:v>0.65160757711605088</c:v>
                </c:pt>
                <c:pt idx="28">
                  <c:v>0.65847333959100185</c:v>
                </c:pt>
                <c:pt idx="29">
                  <c:v>0.66492310308541891</c:v>
                </c:pt>
                <c:pt idx="30">
                  <c:v>0.67098763362390867</c:v>
                </c:pt>
                <c:pt idx="31">
                  <c:v>0.67669500370839575</c:v>
                </c:pt>
                <c:pt idx="32">
                  <c:v>0.68207086532196659</c:v>
                </c:pt>
                <c:pt idx="33">
                  <c:v>0.68713869132399574</c:v>
                </c:pt>
                <c:pt idx="34">
                  <c:v>0.69191998936830301</c:v>
                </c:pt>
                <c:pt idx="35">
                  <c:v>0.69643449187361295</c:v>
                </c:pt>
                <c:pt idx="36">
                  <c:v>0.70070032506996671</c:v>
                </c:pt>
                <c:pt idx="37">
                  <c:v>0.70473415971899789</c:v>
                </c:pt>
                <c:pt idx="38">
                  <c:v>0.70855134574633194</c:v>
                </c:pt>
                <c:pt idx="39">
                  <c:v>0.71216603271964074</c:v>
                </c:pt>
                <c:pt idx="40">
                  <c:v>0.71559127784690002</c:v>
                </c:pt>
                <c:pt idx="41">
                  <c:v>0.71883914294866724</c:v>
                </c:pt>
                <c:pt idx="42">
                  <c:v>0.72192078166957041</c:v>
                </c:pt>
                <c:pt idx="43">
                  <c:v>0.72484651803252975</c:v>
                </c:pt>
                <c:pt idx="44">
                  <c:v>0.72762591730038206</c:v>
                </c:pt>
                <c:pt idx="45">
                  <c:v>0.73026784998995797</c:v>
                </c:pt>
                <c:pt idx="46">
                  <c:v>0.73278054978041451</c:v>
                </c:pt>
                <c:pt idx="47">
                  <c:v>0.73517166596827765</c:v>
                </c:pt>
                <c:pt idx="48">
                  <c:v>0.73744831104416164</c:v>
                </c:pt>
                <c:pt idx="49">
                  <c:v>0.73961710389878788</c:v>
                </c:pt>
                <c:pt idx="50">
                  <c:v>0.7416842091072724</c:v>
                </c:pt>
                <c:pt idx="51">
                  <c:v>0.74365537268946535</c:v>
                </c:pt>
                <c:pt idx="52">
                  <c:v>0.74553595469935863</c:v>
                </c:pt>
                <c:pt idx="53">
                  <c:v>0.74733095895737112</c:v>
                </c:pt>
                <c:pt idx="54">
                  <c:v>0.74904506020489758</c:v>
                </c:pt>
                <c:pt idx="55">
                  <c:v>0.75068262893023951</c:v>
                </c:pt>
                <c:pt idx="56">
                  <c:v>0.75224775408838829</c:v>
                </c:pt>
                <c:pt idx="57">
                  <c:v>0.75374426391359517</c:v>
                </c:pt>
                <c:pt idx="58">
                  <c:v>0.75517574500289719</c:v>
                </c:pt>
                <c:pt idx="59">
                  <c:v>0.75654555983034633</c:v>
                </c:pt>
                <c:pt idx="60">
                  <c:v>0.75785686283539866</c:v>
                </c:pt>
                <c:pt idx="61">
                  <c:v>0.75911261521442286</c:v>
                </c:pt>
                <c:pt idx="62">
                  <c:v>0.76031559853142527</c:v>
                </c:pt>
                <c:pt idx="63">
                  <c:v>0.76146842725260622</c:v>
                </c:pt>
                <c:pt idx="64">
                  <c:v>0.76257356029915868</c:v>
                </c:pt>
                <c:pt idx="65">
                  <c:v>0.76363331170357784</c:v>
                </c:pt>
                <c:pt idx="66">
                  <c:v>0.76464986044659866</c:v>
                </c:pt>
                <c:pt idx="67">
                  <c:v>0.76562525954456939</c:v>
                </c:pt>
                <c:pt idx="68">
                  <c:v>0.76656144445053243</c:v>
                </c:pt>
                <c:pt idx="69">
                  <c:v>0.76746024082639375</c:v>
                </c:pt>
                <c:pt idx="70">
                  <c:v>0.76832337173830079</c:v>
                </c:pt>
                <c:pt idx="71">
                  <c:v>0.76915246432259832</c:v>
                </c:pt>
                <c:pt idx="72">
                  <c:v>0.7699490559654496</c:v>
                </c:pt>
                <c:pt idx="73">
                  <c:v>0.77071460003537218</c:v>
                </c:pt>
                <c:pt idx="74">
                  <c:v>0.77145047120445087</c:v>
                </c:pt>
                <c:pt idx="75">
                  <c:v>0.77215797039086109</c:v>
                </c:pt>
                <c:pt idx="76">
                  <c:v>0.77283832935248309</c:v>
                </c:pt>
                <c:pt idx="77">
                  <c:v>0.77349271495883754</c:v>
                </c:pt>
                <c:pt idx="78">
                  <c:v>0.77412223316622819</c:v>
                </c:pt>
                <c:pt idx="79">
                  <c:v>0.77472793271887752</c:v>
                </c:pt>
                <c:pt idx="80">
                  <c:v>0.77531080859692192</c:v>
                </c:pt>
                <c:pt idx="81">
                  <c:v>0.77587180523039667</c:v>
                </c:pt>
                <c:pt idx="82">
                  <c:v>0.77641181949675198</c:v>
                </c:pt>
                <c:pt idx="83">
                  <c:v>0.77693170351801299</c:v>
                </c:pt>
                <c:pt idx="84">
                  <c:v>0.77743226727237369</c:v>
                </c:pt>
                <c:pt idx="85">
                  <c:v>0.77791428103383009</c:v>
                </c:pt>
                <c:pt idx="86">
                  <c:v>0.77837847765236101</c:v>
                </c:pt>
                <c:pt idx="87">
                  <c:v>0.77882555468617654</c:v>
                </c:pt>
                <c:pt idx="88">
                  <c:v>0.77925617639663614</c:v>
                </c:pt>
                <c:pt idx="89">
                  <c:v>0.7796709756156176</c:v>
                </c:pt>
                <c:pt idx="90">
                  <c:v>0.78007055549435178</c:v>
                </c:pt>
                <c:pt idx="91">
                  <c:v>0.78045549114204249</c:v>
                </c:pt>
                <c:pt idx="92">
                  <c:v>0.78082633116195332</c:v>
                </c:pt>
                <c:pt idx="93">
                  <c:v>0.78118359909206092</c:v>
                </c:pt>
                <c:pt idx="94">
                  <c:v>0.78152779475683642</c:v>
                </c:pt>
                <c:pt idx="95">
                  <c:v>0.78185939553621864</c:v>
                </c:pt>
                <c:pt idx="96">
                  <c:v>0.7821788575574028</c:v>
                </c:pt>
                <c:pt idx="97">
                  <c:v>0.78248661681464149</c:v>
                </c:pt>
                <c:pt idx="98">
                  <c:v>0.78278309022187265</c:v>
                </c:pt>
                <c:pt idx="99">
                  <c:v>0.78306867660264989</c:v>
                </c:pt>
                <c:pt idx="100">
                  <c:v>0.78334375762150366</c:v>
                </c:pt>
                <c:pt idx="101">
                  <c:v>0.78360869866059335</c:v>
                </c:pt>
                <c:pt idx="102">
                  <c:v>0.78386384964519984</c:v>
                </c:pt>
                <c:pt idx="103">
                  <c:v>0.78410954582138837</c:v>
                </c:pt>
                <c:pt idx="104">
                  <c:v>0.7843461084889104</c:v>
                </c:pt>
                <c:pt idx="105">
                  <c:v>0.78457384569221311</c:v>
                </c:pt>
                <c:pt idx="106">
                  <c:v>0.78479305287221657</c:v>
                </c:pt>
                <c:pt idx="107">
                  <c:v>0.78500401348133952</c:v>
                </c:pt>
                <c:pt idx="108">
                  <c:v>0.78520699956407713</c:v>
                </c:pt>
                <c:pt idx="109">
                  <c:v>0.78540227230528181</c:v>
                </c:pt>
                <c:pt idx="110">
                  <c:v>0.78559008254815044</c:v>
                </c:pt>
                <c:pt idx="111">
                  <c:v>0.78577067128378231</c:v>
                </c:pt>
                <c:pt idx="112">
                  <c:v>0.78594427011404733</c:v>
                </c:pt>
                <c:pt idx="113">
                  <c:v>0.78611110168939635</c:v>
                </c:pt>
                <c:pt idx="114">
                  <c:v>0.78627138012311693</c:v>
                </c:pt>
                <c:pt idx="115">
                  <c:v>0.78642531138346472</c:v>
                </c:pt>
                <c:pt idx="116">
                  <c:v>0.78657309366497985</c:v>
                </c:pt>
                <c:pt idx="117">
                  <c:v>0.78671491774023528</c:v>
                </c:pt>
                <c:pt idx="118">
                  <c:v>0.78685096729316295</c:v>
                </c:pt>
                <c:pt idx="119">
                  <c:v>0.7869814192350475</c:v>
                </c:pt>
                <c:pt idx="120">
                  <c:v>0.78710644400419216</c:v>
                </c:pt>
                <c:pt idx="121">
                  <c:v>0.78722620585020631</c:v>
                </c:pt>
                <c:pt idx="122">
                  <c:v>0.78734086310380158</c:v>
                </c:pt>
                <c:pt idx="123">
                  <c:v>0.7874505684329236</c:v>
                </c:pt>
                <c:pt idx="124">
                  <c:v>0.78755546908600349</c:v>
                </c:pt>
                <c:pt idx="125">
                  <c:v>0.78765570712304978</c:v>
                </c:pt>
                <c:pt idx="126">
                  <c:v>0.78775141963527506</c:v>
                </c:pt>
                <c:pt idx="127">
                  <c:v>0.7878427389538889</c:v>
                </c:pt>
                <c:pt idx="128">
                  <c:v>0.7879297928486676</c:v>
                </c:pt>
                <c:pt idx="129">
                  <c:v>0.78801270471685891</c:v>
                </c:pt>
                <c:pt idx="130">
                  <c:v>0.78809159376296167</c:v>
                </c:pt>
                <c:pt idx="131">
                  <c:v>0.78816657516986643</c:v>
                </c:pt>
                <c:pt idx="132">
                  <c:v>0.78823776026184045</c:v>
                </c:pt>
                <c:pt idx="133">
                  <c:v>0.78830525665978612</c:v>
                </c:pt>
                <c:pt idx="134">
                  <c:v>0.78836916842919158</c:v>
                </c:pt>
                <c:pt idx="135">
                  <c:v>0.78842959622116482</c:v>
                </c:pt>
                <c:pt idx="136">
                  <c:v>0.78848663740691616</c:v>
                </c:pt>
                <c:pt idx="137">
                  <c:v>0.78854038620603628</c:v>
                </c:pt>
                <c:pt idx="138">
                  <c:v>0.78859093380888945</c:v>
                </c:pt>
                <c:pt idx="139">
                  <c:v>0.78863836849343905</c:v>
                </c:pt>
                <c:pt idx="140">
                  <c:v>0.78868277573678158</c:v>
                </c:pt>
                <c:pt idx="141">
                  <c:v>0.78872423832167271</c:v>
                </c:pt>
                <c:pt idx="142">
                  <c:v>0.78876283643829193</c:v>
                </c:pt>
                <c:pt idx="143">
                  <c:v>0.788798647781497</c:v>
                </c:pt>
                <c:pt idx="144">
                  <c:v>0.78883174764378861</c:v>
                </c:pt>
                <c:pt idx="145">
                  <c:v>0.78886220900420689</c:v>
                </c:pt>
                <c:pt idx="146">
                  <c:v>0.78889010261335923</c:v>
                </c:pt>
                <c:pt idx="147">
                  <c:v>0.78891549707477393</c:v>
                </c:pt>
                <c:pt idx="148">
                  <c:v>0.78893845892276049</c:v>
                </c:pt>
                <c:pt idx="149">
                  <c:v>0.78895905269694677</c:v>
                </c:pt>
                <c:pt idx="150">
                  <c:v>0.78897734101365913</c:v>
                </c:pt>
                <c:pt idx="151">
                  <c:v>0.78899338463429225</c:v>
                </c:pt>
                <c:pt idx="152">
                  <c:v>0.78900724253082388</c:v>
                </c:pt>
                <c:pt idx="153">
                  <c:v>0.78901897194859683</c:v>
                </c:pt>
                <c:pt idx="154">
                  <c:v>0.78902862846651822</c:v>
                </c:pt>
                <c:pt idx="155">
                  <c:v>0.78903626605477506</c:v>
                </c:pt>
                <c:pt idx="156">
                  <c:v>0.78904193713020665</c:v>
                </c:pt>
                <c:pt idx="157">
                  <c:v>0.78904569260942403</c:v>
                </c:pt>
                <c:pt idx="158">
                  <c:v>0.7890475819597963</c:v>
                </c:pt>
                <c:pt idx="159">
                  <c:v>0.78904765324838999</c:v>
                </c:pt>
                <c:pt idx="160">
                  <c:v>0.78904595318896831</c:v>
                </c:pt>
                <c:pt idx="161">
                  <c:v>0.78904252718712631</c:v>
                </c:pt>
                <c:pt idx="162">
                  <c:v>0.78903741938365779</c:v>
                </c:pt>
                <c:pt idx="163">
                  <c:v>0.78903067269622773</c:v>
                </c:pt>
                <c:pt idx="164">
                  <c:v>0.78902232885942603</c:v>
                </c:pt>
                <c:pt idx="165">
                  <c:v>0.78901242846328024</c:v>
                </c:pt>
                <c:pt idx="166">
                  <c:v>0.78900101099028941</c:v>
                </c:pt>
                <c:pt idx="167">
                  <c:v>0.78898811485104847</c:v>
                </c:pt>
                <c:pt idx="168">
                  <c:v>0.7889737774185257</c:v>
                </c:pt>
                <c:pt idx="169">
                  <c:v>0.78895803506104578</c:v>
                </c:pt>
                <c:pt idx="170">
                  <c:v>0.78894092317404563</c:v>
                </c:pt>
                <c:pt idx="171">
                  <c:v>0.78892247621064227</c:v>
                </c:pt>
                <c:pt idx="172">
                  <c:v>0.78890272771107861</c:v>
                </c:pt>
                <c:pt idx="173">
                  <c:v>0.7888817103310809</c:v>
                </c:pt>
                <c:pt idx="174">
                  <c:v>0.78885945586918504</c:v>
                </c:pt>
                <c:pt idx="175">
                  <c:v>0.78883599529306825</c:v>
                </c:pt>
                <c:pt idx="176">
                  <c:v>0.78881135876493236</c:v>
                </c:pt>
                <c:pt idx="177">
                  <c:v>0.78878557566597496</c:v>
                </c:pt>
                <c:pt idx="178">
                  <c:v>0.78875867461998772</c:v>
                </c:pt>
                <c:pt idx="179">
                  <c:v>0.78873068351611819</c:v>
                </c:pt>
                <c:pt idx="180">
                  <c:v>0.78870162953082934</c:v>
                </c:pt>
                <c:pt idx="181">
                  <c:v>0.78867153914908716</c:v>
                </c:pt>
                <c:pt idx="182">
                  <c:v>0.78864043818481255</c:v>
                </c:pt>
                <c:pt idx="183">
                  <c:v>0.78860835180062205</c:v>
                </c:pt>
                <c:pt idx="184">
                  <c:v>0.78857530452688818</c:v>
                </c:pt>
                <c:pt idx="185">
                  <c:v>0.78854132028014834</c:v>
                </c:pt>
                <c:pt idx="186">
                  <c:v>0.78850642238088287</c:v>
                </c:pt>
                <c:pt idx="187">
                  <c:v>0.78847063357069458</c:v>
                </c:pt>
                <c:pt idx="188">
                  <c:v>0.78843397602890408</c:v>
                </c:pt>
                <c:pt idx="189">
                  <c:v>0.78839647138859448</c:v>
                </c:pt>
                <c:pt idx="190">
                  <c:v>0.78835814075211508</c:v>
                </c:pt>
                <c:pt idx="191">
                  <c:v>0.78831900470607597</c:v>
                </c:pt>
                <c:pt idx="192">
                  <c:v>0.78827908333584451</c:v>
                </c:pt>
                <c:pt idx="193">
                  <c:v>0.78823839623956682</c:v>
                </c:pt>
                <c:pt idx="194">
                  <c:v>0.78819696254173366</c:v>
                </c:pt>
                <c:pt idx="195">
                  <c:v>0.78815480090630219</c:v>
                </c:pt>
                <c:pt idx="196">
                  <c:v>0.78811192954939779</c:v>
                </c:pt>
                <c:pt idx="197">
                  <c:v>0.78806836625160415</c:v>
                </c:pt>
                <c:pt idx="198">
                  <c:v>0.78802412836986357</c:v>
                </c:pt>
                <c:pt idx="199">
                  <c:v>0.78797923284899629</c:v>
                </c:pt>
                <c:pt idx="200">
                  <c:v>0.7879336962328567</c:v>
                </c:pt>
                <c:pt idx="201">
                  <c:v>0.78788753467513917</c:v>
                </c:pt>
                <c:pt idx="202">
                  <c:v>0.7878407639498427</c:v>
                </c:pt>
                <c:pt idx="203">
                  <c:v>0.78779339946141114</c:v>
                </c:pt>
                <c:pt idx="204">
                  <c:v>0.78774545625456127</c:v>
                </c:pt>
                <c:pt idx="205">
                  <c:v>0.78769694902380227</c:v>
                </c:pt>
                <c:pt idx="206">
                  <c:v>0.78764789212266639</c:v>
                </c:pt>
                <c:pt idx="207">
                  <c:v>0.78759829957265814</c:v>
                </c:pt>
                <c:pt idx="208">
                  <c:v>0.78754818507192936</c:v>
                </c:pt>
                <c:pt idx="209">
                  <c:v>0.78749756200369181</c:v>
                </c:pt>
                <c:pt idx="210">
                  <c:v>0.78744644344437909</c:v>
                </c:pt>
                <c:pt idx="211">
                  <c:v>0.78739484217155842</c:v>
                </c:pt>
                <c:pt idx="212">
                  <c:v>0.78734277067161385</c:v>
                </c:pt>
                <c:pt idx="213">
                  <c:v>0.78729024114719393</c:v>
                </c:pt>
                <c:pt idx="214">
                  <c:v>0.78723726552444329</c:v>
                </c:pt>
                <c:pt idx="215">
                  <c:v>0.78718385546002245</c:v>
                </c:pt>
                <c:pt idx="216">
                  <c:v>0.78713002234791696</c:v>
                </c:pt>
                <c:pt idx="217">
                  <c:v>0.78707577732605394</c:v>
                </c:pt>
                <c:pt idx="218">
                  <c:v>0.78702113128272311</c:v>
                </c:pt>
                <c:pt idx="219">
                  <c:v>0.78696609486281166</c:v>
                </c:pt>
                <c:pt idx="220">
                  <c:v>0.78691067847386331</c:v>
                </c:pt>
                <c:pt idx="221">
                  <c:v>0.78685489229195915</c:v>
                </c:pt>
                <c:pt idx="222">
                  <c:v>0.78679874626743673</c:v>
                </c:pt>
                <c:pt idx="223">
                  <c:v>0.78674225013043819</c:v>
                </c:pt>
                <c:pt idx="224">
                  <c:v>0.78668541339631171</c:v>
                </c:pt>
                <c:pt idx="225">
                  <c:v>0.78662824537085341</c:v>
                </c:pt>
                <c:pt idx="226">
                  <c:v>0.78657075515540464</c:v>
                </c:pt>
                <c:pt idx="227">
                  <c:v>0.78651295165180735</c:v>
                </c:pt>
                <c:pt idx="228">
                  <c:v>0.78645484356722251</c:v>
                </c:pt>
                <c:pt idx="229">
                  <c:v>0.7863964394188121</c:v>
                </c:pt>
                <c:pt idx="230">
                  <c:v>0.78633774753829766</c:v>
                </c:pt>
                <c:pt idx="231">
                  <c:v>0.78627877607638619</c:v>
                </c:pt>
                <c:pt idx="232">
                  <c:v>0.78621953300708092</c:v>
                </c:pt>
                <c:pt idx="233">
                  <c:v>0.78616002613187375</c:v>
                </c:pt>
                <c:pt idx="234">
                  <c:v>0.78610026308382142</c:v>
                </c:pt>
                <c:pt idx="235">
                  <c:v>0.78604025133151478</c:v>
                </c:pt>
                <c:pt idx="236">
                  <c:v>0.78597999818293751</c:v>
                </c:pt>
                <c:pt idx="237">
                  <c:v>0.7859195107892275</c:v>
                </c:pt>
                <c:pt idx="238">
                  <c:v>0.78585879614832999</c:v>
                </c:pt>
                <c:pt idx="239">
                  <c:v>0.78579786110856054</c:v>
                </c:pt>
                <c:pt idx="240">
                  <c:v>0.78573671237206877</c:v>
                </c:pt>
                <c:pt idx="241">
                  <c:v>0.78567535649821485</c:v>
                </c:pt>
                <c:pt idx="242">
                  <c:v>0.78561379990685309</c:v>
                </c:pt>
                <c:pt idx="243">
                  <c:v>0.78555204888153252</c:v>
                </c:pt>
                <c:pt idx="244">
                  <c:v>0.78549010957261378</c:v>
                </c:pt>
                <c:pt idx="245">
                  <c:v>0.785427988000302</c:v>
                </c:pt>
                <c:pt idx="246">
                  <c:v>0.78536569005760648</c:v>
                </c:pt>
                <c:pt idx="247">
                  <c:v>0.78530322151321796</c:v>
                </c:pt>
                <c:pt idx="248">
                  <c:v>0.78524058801431784</c:v>
                </c:pt>
                <c:pt idx="249">
                  <c:v>0.78517779508931074</c:v>
                </c:pt>
                <c:pt idx="250">
                  <c:v>0.78511484815048893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D0-4EF5-B30C-F902C163C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38640"/>
        <c:axId val="897235688"/>
      </c:scatterChart>
      <c:valAx>
        <c:axId val="897238640"/>
        <c:scaling>
          <c:orientation val="minMax"/>
          <c:max val="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5688"/>
        <c:crosses val="autoZero"/>
        <c:crossBetween val="midCat"/>
      </c:valAx>
      <c:valAx>
        <c:axId val="8972356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YPR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864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2799650043744"/>
          <c:y val="4.1666666666666664E-2"/>
          <c:w val="0.84096500437445332"/>
          <c:h val="0.7963888888888889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MSY!$AC$2:$AC$294</c:f>
              <c:numCache>
                <c:formatCode>General</c:formatCode>
                <c:ptCount val="29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</c:numCache>
            </c:numRef>
          </c:xVal>
          <c:yVal>
            <c:numRef>
              <c:f>MSY!$AB$2:$AB$294</c:f>
              <c:numCache>
                <c:formatCode>General</c:formatCode>
                <c:ptCount val="293"/>
                <c:pt idx="0">
                  <c:v>0.17784628387783805</c:v>
                </c:pt>
                <c:pt idx="1">
                  <c:v>0.76924849475904822</c:v>
                </c:pt>
                <c:pt idx="2">
                  <c:v>1.3164613146021833</c:v>
                </c:pt>
                <c:pt idx="3">
                  <c:v>2.0431797775975853</c:v>
                </c:pt>
                <c:pt idx="4">
                  <c:v>2.503921507212437</c:v>
                </c:pt>
                <c:pt idx="5">
                  <c:v>2.8221186205191118</c:v>
                </c:pt>
                <c:pt idx="6">
                  <c:v>3.0550599281390052</c:v>
                </c:pt>
                <c:pt idx="7">
                  <c:v>3.2329618178416908</c:v>
                </c:pt>
                <c:pt idx="8">
                  <c:v>3.3732703026493445</c:v>
                </c:pt>
                <c:pt idx="9">
                  <c:v>3.4867627659393921</c:v>
                </c:pt>
                <c:pt idx="10">
                  <c:v>3.5804563369475368</c:v>
                </c:pt>
                <c:pt idx="11">
                  <c:v>3.6591162730240945</c:v>
                </c:pt>
                <c:pt idx="12">
                  <c:v>3.7260921835717746</c:v>
                </c:pt>
                <c:pt idx="13">
                  <c:v>3.7838073816815534</c:v>
                </c:pt>
                <c:pt idx="14">
                  <c:v>3.834058374811435</c:v>
                </c:pt>
                <c:pt idx="15">
                  <c:v>3.8782052151224962</c:v>
                </c:pt>
                <c:pt idx="16">
                  <c:v>3.917296454282329</c:v>
                </c:pt>
                <c:pt idx="17">
                  <c:v>3.9521534945293268</c:v>
                </c:pt>
                <c:pt idx="18">
                  <c:v>3.9834289382627417</c:v>
                </c:pt>
                <c:pt idx="19">
                  <c:v>4.011647830100884</c:v>
                </c:pt>
                <c:pt idx="20">
                  <c:v>4.0372373705066602</c:v>
                </c:pt>
                <c:pt idx="21">
                  <c:v>4.0605486932675214</c:v>
                </c:pt>
                <c:pt idx="22">
                  <c:v>4.0818730743619103</c:v>
                </c:pt>
                <c:pt idx="23">
                  <c:v>4.1014541655516092</c:v>
                </c:pt>
                <c:pt idx="24">
                  <c:v>4.1194973454718777</c:v>
                </c:pt>
                <c:pt idx="25">
                  <c:v>4.1361769506556794</c:v>
                </c:pt>
                <c:pt idx="26">
                  <c:v>4.1516419268421378</c:v>
                </c:pt>
                <c:pt idx="27">
                  <c:v>4.1660202890531561</c:v>
                </c:pt>
                <c:pt idx="28">
                  <c:v>4.1794226734436659</c:v>
                </c:pt>
                <c:pt idx="29">
                  <c:v>4.1919451896136302</c:v>
                </c:pt>
                <c:pt idx="30">
                  <c:v>4.203671729010007</c:v>
                </c:pt>
                <c:pt idx="31">
                  <c:v>4.2146758466965295</c:v>
                </c:pt>
                <c:pt idx="32">
                  <c:v>4.2250223057328284</c:v>
                </c:pt>
                <c:pt idx="33">
                  <c:v>4.2347683526894224</c:v>
                </c:pt>
                <c:pt idx="34">
                  <c:v>4.2439647773670925</c:v>
                </c:pt>
                <c:pt idx="35">
                  <c:v>4.2526567981463312</c:v>
                </c:pt>
                <c:pt idx="36">
                  <c:v>4.2608848055467528</c:v>
                </c:pt>
                <c:pt idx="37">
                  <c:v>4.2686849898002599</c:v>
                </c:pt>
                <c:pt idx="38">
                  <c:v>4.2760898730109389</c:v>
                </c:pt>
                <c:pt idx="39">
                  <c:v>4.2831287624073449</c:v>
                </c:pt>
                <c:pt idx="40">
                  <c:v>4.2898281380082697</c:v>
                </c:pt>
                <c:pt idx="41">
                  <c:v>4.2962119855135175</c:v>
                </c:pt>
                <c:pt idx="42">
                  <c:v>4.3023020832412167</c:v>
                </c:pt>
                <c:pt idx="43">
                  <c:v>4.3081182503461131</c:v>
                </c:pt>
                <c:pt idx="44">
                  <c:v>4.3136785622802218</c:v>
                </c:pt>
                <c:pt idx="45">
                  <c:v>4.3189995384308917</c:v>
                </c:pt>
                <c:pt idx="46">
                  <c:v>4.3240963060395021</c:v>
                </c:pt>
                <c:pt idx="47">
                  <c:v>4.3289827438267139</c:v>
                </c:pt>
                <c:pt idx="48">
                  <c:v>4.3336716081961146</c:v>
                </c:pt>
                <c:pt idx="49">
                  <c:v>4.3381746444328328</c:v>
                </c:pt>
                <c:pt idx="50">
                  <c:v>4.3425026849380428</c:v>
                </c:pt>
                <c:pt idx="51">
                  <c:v>4.3466657362290793</c:v>
                </c:pt>
                <c:pt idx="52">
                  <c:v>4.3506730561760527</c:v>
                </c:pt>
                <c:pt idx="53">
                  <c:v>4.3545332227298186</c:v>
                </c:pt>
                <c:pt idx="54">
                  <c:v>4.3582541952151361</c:v>
                </c:pt>
                <c:pt idx="55">
                  <c:v>4.3618433691107388</c:v>
                </c:pt>
                <c:pt idx="56">
                  <c:v>4.3653076251096836</c:v>
                </c:pt>
                <c:pt idx="57">
                  <c:v>4.3686533731448325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AD-456B-BA4F-77DAE66FFB1A}"/>
            </c:ext>
          </c:extLst>
        </c:ser>
        <c:ser>
          <c:idx val="1"/>
          <c:order val="1"/>
          <c:tx>
            <c:v>hor</c:v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(MSY!$F$19,MSY!$E$19)</c:f>
              <c:numCache>
                <c:formatCode>General</c:formatCode>
                <c:ptCount val="2"/>
                <c:pt idx="0">
                  <c:v>0</c:v>
                </c:pt>
                <c:pt idx="1">
                  <c:v>36.967898517909482</c:v>
                </c:pt>
              </c:numCache>
            </c:numRef>
          </c:xVal>
          <c:yVal>
            <c:numRef>
              <c:f>(MSY!$E$15,MSY!$E$15)</c:f>
              <c:numCache>
                <c:formatCode>General</c:formatCode>
                <c:ptCount val="2"/>
                <c:pt idx="0">
                  <c:v>4.2758580000000004</c:v>
                </c:pt>
                <c:pt idx="1">
                  <c:v>4.2758580000000004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AD-456B-BA4F-77DAE66FFB1A}"/>
            </c:ext>
          </c:extLst>
        </c:ser>
        <c:ser>
          <c:idx val="2"/>
          <c:order val="2"/>
          <c:tx>
            <c:v>vert</c:v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(MSY!$E$19,MSY!$E$19)</c:f>
              <c:numCache>
                <c:formatCode>General</c:formatCode>
                <c:ptCount val="2"/>
                <c:pt idx="0">
                  <c:v>36.967898517909482</c:v>
                </c:pt>
                <c:pt idx="1">
                  <c:v>36.967898517909482</c:v>
                </c:pt>
              </c:numCache>
            </c:numRef>
          </c:xVal>
          <c:yVal>
            <c:numRef>
              <c:f>MSY!$X$44:$Y$44</c:f>
              <c:numCache>
                <c:formatCode>General</c:formatCode>
                <c:ptCount val="2"/>
                <c:pt idx="0">
                  <c:v>0</c:v>
                </c:pt>
                <c:pt idx="1">
                  <c:v>4.2758580000000004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AD-456B-BA4F-77DAE66FFB1A}"/>
            </c:ext>
          </c:extLst>
        </c:ser>
        <c:ser>
          <c:idx val="3"/>
          <c:order val="3"/>
          <c:tx>
            <c:v>point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MSY!$E$19</c:f>
              <c:numCache>
                <c:formatCode>General</c:formatCode>
                <c:ptCount val="1"/>
                <c:pt idx="0">
                  <c:v>36.967898517909482</c:v>
                </c:pt>
              </c:numCache>
            </c:numRef>
          </c:xVal>
          <c:yVal>
            <c:numRef>
              <c:f>MSY!$E$15</c:f>
              <c:numCache>
                <c:formatCode>General</c:formatCode>
                <c:ptCount val="1"/>
                <c:pt idx="0">
                  <c:v>4.2758580000000004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AD-456B-BA4F-77DAE66FFB1A}"/>
            </c:ext>
          </c:extLst>
        </c:ser>
        <c:ser>
          <c:idx val="4"/>
          <c:order val="4"/>
          <c:tx>
            <c:v>hor2</c:v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(MSY!$X$44,MSY!$W$45)</c:f>
              <c:numCache>
                <c:formatCode>General</c:formatCode>
                <c:ptCount val="2"/>
                <c:pt idx="0">
                  <c:v>0</c:v>
                </c:pt>
                <c:pt idx="1">
                  <c:v>10.474357477658216</c:v>
                </c:pt>
              </c:numCache>
            </c:numRef>
          </c:xVal>
          <c:yVal>
            <c:numRef>
              <c:f>(MSY!$W$44,MSY!$W$44)</c:f>
              <c:numCache>
                <c:formatCode>General</c:formatCode>
                <c:ptCount val="2"/>
                <c:pt idx="0">
                  <c:v>3.6921774754315249</c:v>
                </c:pt>
                <c:pt idx="1">
                  <c:v>3.6921774754315249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AD-456B-BA4F-77DAE66FFB1A}"/>
            </c:ext>
          </c:extLst>
        </c:ser>
        <c:ser>
          <c:idx val="5"/>
          <c:order val="5"/>
          <c:tx>
            <c:v>vert2</c:v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31AD-456B-BA4F-77DAE66FFB1A}"/>
              </c:ext>
            </c:extLst>
          </c:dPt>
          <c:xVal>
            <c:numRef>
              <c:f>(MSY!$W$45,MSY!$W$45)</c:f>
              <c:numCache>
                <c:formatCode>General</c:formatCode>
                <c:ptCount val="2"/>
                <c:pt idx="0">
                  <c:v>10.474357477658216</c:v>
                </c:pt>
                <c:pt idx="1">
                  <c:v>10.474357477658216</c:v>
                </c:pt>
              </c:numCache>
            </c:numRef>
          </c:xVal>
          <c:yVal>
            <c:numRef>
              <c:f>(MSY!$X$44,MSY!$W$44)</c:f>
              <c:numCache>
                <c:formatCode>General</c:formatCode>
                <c:ptCount val="2"/>
                <c:pt idx="0">
                  <c:v>0</c:v>
                </c:pt>
                <c:pt idx="1">
                  <c:v>3.6921774754315249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1AD-456B-BA4F-77DAE66FFB1A}"/>
            </c:ext>
          </c:extLst>
        </c:ser>
        <c:ser>
          <c:idx val="6"/>
          <c:order val="6"/>
          <c:tx>
            <c:v>point2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(MSY!$W$45,MSY!$W$45)</c:f>
              <c:numCache>
                <c:formatCode>General</c:formatCode>
                <c:ptCount val="2"/>
                <c:pt idx="0">
                  <c:v>10.474357477658216</c:v>
                </c:pt>
                <c:pt idx="1">
                  <c:v>10.474357477658216</c:v>
                </c:pt>
              </c:numCache>
            </c:numRef>
          </c:xVal>
          <c:yVal>
            <c:numRef>
              <c:f>(MSY!$W$44,MSY!$W$44)</c:f>
              <c:numCache>
                <c:formatCode>General</c:formatCode>
                <c:ptCount val="2"/>
                <c:pt idx="0">
                  <c:v>3.6921774754315249</c:v>
                </c:pt>
                <c:pt idx="1">
                  <c:v>3.6921774754315249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1AD-456B-BA4F-77DAE66FF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38640"/>
        <c:axId val="897235688"/>
      </c:scatterChart>
      <c:valAx>
        <c:axId val="897238640"/>
        <c:scaling>
          <c:orientation val="minMax"/>
        </c:scaling>
        <c:delete val="0"/>
        <c:axPos val="b"/>
        <c:title>
          <c:tx>
            <c:strRef>
              <c:f>'SRR and Yield'!$AC$1</c:f>
              <c:strCache>
                <c:ptCount val="1"/>
                <c:pt idx="0">
                  <c:v>SSB (kt)</c:v>
                </c:pt>
              </c:strCache>
            </c:strRef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5688"/>
        <c:crosses val="autoZero"/>
        <c:crossBetween val="midCat"/>
      </c:valAx>
      <c:valAx>
        <c:axId val="897235688"/>
        <c:scaling>
          <c:orientation val="minMax"/>
          <c:max val="5"/>
        </c:scaling>
        <c:delete val="0"/>
        <c:axPos val="l"/>
        <c:title>
          <c:tx>
            <c:strRef>
              <c:f>'SRR and Yield'!$AB$1</c:f>
              <c:strCache>
                <c:ptCount val="1"/>
                <c:pt idx="0">
                  <c:v>Recruitment (10^9)</c:v>
                </c:pt>
              </c:strCache>
            </c:strRef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864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2799650043744"/>
          <c:y val="4.1666666666666664E-2"/>
          <c:w val="0.84096500437445332"/>
          <c:h val="0.7963888888888889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MSY!$A$44:$A$294</c:f>
              <c:numCache>
                <c:formatCode>General</c:formatCode>
                <c:ptCount val="251"/>
                <c:pt idx="0">
                  <c:v>1E-4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0.630000000000001</c:v>
                </c:pt>
                <c:pt idx="64">
                  <c:v>0.64000000000000101</c:v>
                </c:pt>
                <c:pt idx="65">
                  <c:v>0.65000000000000102</c:v>
                </c:pt>
                <c:pt idx="66">
                  <c:v>0.66000000000000103</c:v>
                </c:pt>
                <c:pt idx="67">
                  <c:v>0.67000000000000104</c:v>
                </c:pt>
                <c:pt idx="68">
                  <c:v>0.68000000000000105</c:v>
                </c:pt>
                <c:pt idx="69">
                  <c:v>0.69000000000000095</c:v>
                </c:pt>
                <c:pt idx="70">
                  <c:v>0.70000000000000095</c:v>
                </c:pt>
                <c:pt idx="71">
                  <c:v>0.71000000000000096</c:v>
                </c:pt>
                <c:pt idx="72">
                  <c:v>0.72000000000000097</c:v>
                </c:pt>
                <c:pt idx="73">
                  <c:v>0.73000000000000098</c:v>
                </c:pt>
                <c:pt idx="74">
                  <c:v>0.74000000000000099</c:v>
                </c:pt>
                <c:pt idx="75">
                  <c:v>0.750000000000001</c:v>
                </c:pt>
                <c:pt idx="76">
                  <c:v>0.76000000000000101</c:v>
                </c:pt>
                <c:pt idx="77">
                  <c:v>0.77000000000000102</c:v>
                </c:pt>
                <c:pt idx="78">
                  <c:v>0.78000000000000103</c:v>
                </c:pt>
                <c:pt idx="79">
                  <c:v>0.79000000000000103</c:v>
                </c:pt>
                <c:pt idx="80">
                  <c:v>0.80000000000000104</c:v>
                </c:pt>
                <c:pt idx="81">
                  <c:v>0.81000000000000105</c:v>
                </c:pt>
                <c:pt idx="82">
                  <c:v>0.82000000000000095</c:v>
                </c:pt>
                <c:pt idx="83">
                  <c:v>0.83000000000000096</c:v>
                </c:pt>
                <c:pt idx="84">
                  <c:v>0.84000000000000097</c:v>
                </c:pt>
                <c:pt idx="85">
                  <c:v>0.85000000000000098</c:v>
                </c:pt>
                <c:pt idx="86">
                  <c:v>0.86000000000000099</c:v>
                </c:pt>
                <c:pt idx="87">
                  <c:v>0.87000000000000099</c:v>
                </c:pt>
                <c:pt idx="88">
                  <c:v>0.880000000000001</c:v>
                </c:pt>
                <c:pt idx="89">
                  <c:v>0.89000000000000101</c:v>
                </c:pt>
                <c:pt idx="90">
                  <c:v>0.90000000000000102</c:v>
                </c:pt>
                <c:pt idx="91">
                  <c:v>0.91000000000000103</c:v>
                </c:pt>
                <c:pt idx="92">
                  <c:v>0.92000000000000104</c:v>
                </c:pt>
                <c:pt idx="93">
                  <c:v>0.93000000000000105</c:v>
                </c:pt>
                <c:pt idx="94">
                  <c:v>0.94000000000000095</c:v>
                </c:pt>
                <c:pt idx="95">
                  <c:v>0.95000000000000095</c:v>
                </c:pt>
                <c:pt idx="96">
                  <c:v>0.96000000000000096</c:v>
                </c:pt>
                <c:pt idx="97">
                  <c:v>0.97000000000000097</c:v>
                </c:pt>
                <c:pt idx="98">
                  <c:v>0.98000000000000098</c:v>
                </c:pt>
                <c:pt idx="99">
                  <c:v>0.99000000000000099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</c:numCache>
            </c:numRef>
          </c:xVal>
          <c:yVal>
            <c:numRef>
              <c:f>MSY!$B$44:$B$294</c:f>
              <c:numCache>
                <c:formatCode>General</c:formatCode>
                <c:ptCount val="251"/>
                <c:pt idx="0">
                  <c:v>0.99952159084272474</c:v>
                </c:pt>
                <c:pt idx="1">
                  <c:v>0.95448419702497456</c:v>
                </c:pt>
                <c:pt idx="2">
                  <c:v>0.91323765685305125</c:v>
                </c:pt>
                <c:pt idx="3">
                  <c:v>0.87569913806345145</c:v>
                </c:pt>
                <c:pt idx="4">
                  <c:v>0.84140098817357856</c:v>
                </c:pt>
                <c:pt idx="5">
                  <c:v>0.80995044719986264</c:v>
                </c:pt>
                <c:pt idx="6">
                  <c:v>0.78101525965315455</c:v>
                </c:pt>
                <c:pt idx="7">
                  <c:v>0.75431247955756053</c:v>
                </c:pt>
                <c:pt idx="8">
                  <c:v>0.72959967133015535</c:v>
                </c:pt>
                <c:pt idx="9">
                  <c:v>0.7066679289726443</c:v>
                </c:pt>
                <c:pt idx="10">
                  <c:v>0.68533628984063166</c:v>
                </c:pt>
                <c:pt idx="11">
                  <c:v>0.66544722847070559</c:v>
                </c:pt>
                <c:pt idx="12">
                  <c:v>0.64686299448063744</c:v>
                </c:pt>
                <c:pt idx="13">
                  <c:v>0.62946261569958595</c:v>
                </c:pt>
                <c:pt idx="14">
                  <c:v>0.6131394297182754</c:v>
                </c:pt>
                <c:pt idx="15">
                  <c:v>0.59779903828564174</c:v>
                </c:pt>
                <c:pt idx="16">
                  <c:v>0.58335760241424339</c:v>
                </c:pt>
                <c:pt idx="17">
                  <c:v>0.56974041379787388</c:v>
                </c:pt>
                <c:pt idx="18">
                  <c:v>0.55688069168838961</c:v>
                </c:pt>
                <c:pt idx="19">
                  <c:v>0.54471856479999958</c:v>
                </c:pt>
                <c:pt idx="20">
                  <c:v>0.53320020588797934</c:v>
                </c:pt>
                <c:pt idx="21">
                  <c:v>0.52227709295577129</c:v>
                </c:pt>
                <c:pt idx="22">
                  <c:v>0.51190537600119057</c:v>
                </c:pt>
                <c:pt idx="23">
                  <c:v>0.50204533213265934</c:v>
                </c:pt>
                <c:pt idx="24">
                  <c:v>0.4926608950054514</c:v>
                </c:pt>
                <c:pt idx="25">
                  <c:v>0.48371924702369723</c:v>
                </c:pt>
                <c:pt idx="26">
                  <c:v>0.47519046476178278</c:v>
                </c:pt>
                <c:pt idx="27">
                  <c:v>0.46704720968245955</c:v>
                </c:pt>
                <c:pt idx="28">
                  <c:v>0.45926445754849993</c:v>
                </c:pt>
                <c:pt idx="29">
                  <c:v>0.45181926100204461</c:v>
                </c:pt>
                <c:pt idx="30">
                  <c:v>0.44469054066934505</c:v>
                </c:pt>
                <c:pt idx="31">
                  <c:v>0.43785890087636159</c:v>
                </c:pt>
                <c:pt idx="32">
                  <c:v>0.43130646666254246</c:v>
                </c:pt>
                <c:pt idx="33">
                  <c:v>0.42501673927986727</c:v>
                </c:pt>
                <c:pt idx="34">
                  <c:v>0.41897446778074526</c:v>
                </c:pt>
                <c:pt idx="35">
                  <c:v>0.41316553464675532</c:v>
                </c:pt>
                <c:pt idx="36">
                  <c:v>0.40757685370266106</c:v>
                </c:pt>
                <c:pt idx="37">
                  <c:v>0.40219627880642972</c:v>
                </c:pt>
                <c:pt idx="38">
                  <c:v>0.39701252201407877</c:v>
                </c:pt>
                <c:pt idx="39">
                  <c:v>0.3920150800945556</c:v>
                </c:pt>
                <c:pt idx="40">
                  <c:v>0.38719416841978377</c:v>
                </c:pt>
                <c:pt idx="41">
                  <c:v>0.3825406613828321</c:v>
                </c:pt>
                <c:pt idx="42">
                  <c:v>0.37804603860644587</c:v>
                </c:pt>
                <c:pt idx="43">
                  <c:v>0.37370233629784722</c:v>
                </c:pt>
                <c:pt idx="44">
                  <c:v>0.36950210318622317</c:v>
                </c:pt>
                <c:pt idx="45">
                  <c:v>0.36543836054868317</c:v>
                </c:pt>
                <c:pt idx="46">
                  <c:v>0.36150456589037933</c:v>
                </c:pt>
                <c:pt idx="47">
                  <c:v>0.35769457989634645</c:v>
                </c:pt>
                <c:pt idx="48">
                  <c:v>0.35400263631762141</c:v>
                </c:pt>
                <c:pt idx="49">
                  <c:v>0.35042331449334041</c:v>
                </c:pt>
                <c:pt idx="50">
                  <c:v>0.34695151424461262</c:v>
                </c:pt>
                <c:pt idx="51">
                  <c:v>0.34358243290575535</c:v>
                </c:pt>
                <c:pt idx="52">
                  <c:v>0.34031154428453309</c:v>
                </c:pt>
                <c:pt idx="53">
                  <c:v>0.33713457936589597</c:v>
                </c:pt>
                <c:pt idx="54">
                  <c:v>0.3340475085937758</c:v>
                </c:pt>
                <c:pt idx="55">
                  <c:v>0.33104652558316783</c:v>
                </c:pt>
                <c:pt idx="56">
                  <c:v>0.32812803213029046</c:v>
                </c:pt>
                <c:pt idx="57">
                  <c:v>0.32528862440236567</c:v>
                </c:pt>
                <c:pt idx="58">
                  <c:v>0.32252508020073262</c:v>
                </c:pt>
                <c:pt idx="59">
                  <c:v>0.31983434720177595</c:v>
                </c:pt>
                <c:pt idx="60">
                  <c:v>0.31721353208972275</c:v>
                </c:pt>
                <c:pt idx="61">
                  <c:v>0.31465989050385901</c:v>
                </c:pt>
                <c:pt idx="62">
                  <c:v>0.31217081773028965</c:v>
                </c:pt>
                <c:pt idx="63">
                  <c:v>0.30974384007510924</c:v>
                </c:pt>
                <c:pt idx="64">
                  <c:v>0.30737660686187851</c:v>
                </c:pt>
                <c:pt idx="65">
                  <c:v>0.30506688300168533</c:v>
                </c:pt>
                <c:pt idx="66">
                  <c:v>0.30281254208889358</c:v>
                </c:pt>
                <c:pt idx="67">
                  <c:v>0.30061155998000538</c:v>
                </c:pt>
                <c:pt idx="68">
                  <c:v>0.29846200881694057</c:v>
                </c:pt>
                <c:pt idx="69">
                  <c:v>0.29636205145952887</c:v>
                </c:pt>
                <c:pt idx="70">
                  <c:v>0.2943099362951469</c:v>
                </c:pt>
                <c:pt idx="71">
                  <c:v>0.29230399239626098</c:v>
                </c:pt>
                <c:pt idx="72">
                  <c:v>0.29034262499918528</c:v>
                </c:pt>
                <c:pt idx="73">
                  <c:v>0.28842431127967422</c:v>
                </c:pt>
                <c:pt idx="74">
                  <c:v>0.28654759640304583</c:v>
                </c:pt>
                <c:pt idx="75">
                  <c:v>0.28471108982841986</c:v>
                </c:pt>
                <c:pt idx="76">
                  <c:v>0.28291346184836447</c:v>
                </c:pt>
                <c:pt idx="77">
                  <c:v>0.28115344034679318</c:v>
                </c:pt>
                <c:pt idx="78">
                  <c:v>0.27942980775936099</c:v>
                </c:pt>
                <c:pt idx="79">
                  <c:v>0.27774139822188904</c:v>
                </c:pt>
                <c:pt idx="80">
                  <c:v>0.27608709489350874</c:v>
                </c:pt>
                <c:pt idx="81">
                  <c:v>0.27446582744227777</c:v>
                </c:pt>
                <c:pt idx="82">
                  <c:v>0.27287656968198415</c:v>
                </c:pt>
                <c:pt idx="83">
                  <c:v>0.27131833734974009</c:v>
                </c:pt>
                <c:pt idx="84">
                  <c:v>0.26979018601476701</c:v>
                </c:pt>
                <c:pt idx="85">
                  <c:v>0.26829120910951282</c:v>
                </c:pt>
                <c:pt idx="86">
                  <c:v>0.26682053607491346</c:v>
                </c:pt>
                <c:pt idx="87">
                  <c:v>0.26537733061222946</c:v>
                </c:pt>
                <c:pt idx="88">
                  <c:v>0.26396078903444964</c:v>
                </c:pt>
                <c:pt idx="89">
                  <c:v>0.2625701387107745</c:v>
                </c:pt>
                <c:pt idx="90">
                  <c:v>0.26120463659816773</c:v>
                </c:pt>
                <c:pt idx="91">
                  <c:v>0.25986356785439985</c:v>
                </c:pt>
                <c:pt idx="92">
                  <c:v>0.25854624452740771</c:v>
                </c:pt>
                <c:pt idx="93">
                  <c:v>0.25725200431616829</c:v>
                </c:pt>
                <c:pt idx="94">
                  <c:v>0.25598020939862115</c:v>
                </c:pt>
                <c:pt idx="95">
                  <c:v>0.25473024532248617</c:v>
                </c:pt>
                <c:pt idx="96">
                  <c:v>0.25350151995511871</c:v>
                </c:pt>
                <c:pt idx="97">
                  <c:v>0.25229346248880324</c:v>
                </c:pt>
                <c:pt idx="98">
                  <c:v>0.25110552249813711</c:v>
                </c:pt>
                <c:pt idx="99">
                  <c:v>0.24993716904638388</c:v>
                </c:pt>
                <c:pt idx="100">
                  <c:v>0.24878788983788414</c:v>
                </c:pt>
                <c:pt idx="101">
                  <c:v>0.24765719041380529</c:v>
                </c:pt>
                <c:pt idx="102">
                  <c:v>0.24654459338869789</c:v>
                </c:pt>
                <c:pt idx="103">
                  <c:v>0.24544963772548459</c:v>
                </c:pt>
                <c:pt idx="104">
                  <c:v>0.24437187804666854</c:v>
                </c:pt>
                <c:pt idx="105">
                  <c:v>0.243310883979691</c:v>
                </c:pt>
                <c:pt idx="106">
                  <c:v>0.24226623953449766</c:v>
                </c:pt>
                <c:pt idx="107">
                  <c:v>0.24123754251150048</c:v>
                </c:pt>
                <c:pt idx="108">
                  <c:v>0.24022440393823571</c:v>
                </c:pt>
                <c:pt idx="109">
                  <c:v>0.23922644753312411</c:v>
                </c:pt>
                <c:pt idx="110">
                  <c:v>0.2382433091948403</c:v>
                </c:pt>
                <c:pt idx="111">
                  <c:v>0.23727463651589242</c:v>
                </c:pt>
                <c:pt idx="112">
                  <c:v>0.23632008831909385</c:v>
                </c:pt>
                <c:pt idx="113">
                  <c:v>0.23537933421569526</c:v>
                </c:pt>
                <c:pt idx="114">
                  <c:v>0.23445205418401688</c:v>
                </c:pt>
                <c:pt idx="115">
                  <c:v>0.23353793816749024</c:v>
                </c:pt>
                <c:pt idx="116">
                  <c:v>0.23263668569108592</c:v>
                </c:pt>
                <c:pt idx="117">
                  <c:v>0.23174800549516245</c:v>
                </c:pt>
                <c:pt idx="118">
                  <c:v>0.23087161518582994</c:v>
                </c:pt>
                <c:pt idx="119">
                  <c:v>0.23000724090097513</c:v>
                </c:pt>
                <c:pt idx="120">
                  <c:v>0.22915461699114162</c:v>
                </c:pt>
                <c:pt idx="121">
                  <c:v>0.22831348571450999</c:v>
                </c:pt>
                <c:pt idx="122">
                  <c:v>0.22748359694526149</c:v>
                </c:pt>
                <c:pt idx="123">
                  <c:v>0.2266647078946521</c:v>
                </c:pt>
                <c:pt idx="124">
                  <c:v>0.22585658284416293</c:v>
                </c:pt>
                <c:pt idx="125">
                  <c:v>0.22505899289012465</c:v>
                </c:pt>
                <c:pt idx="126">
                  <c:v>0.22427171569925192</c:v>
                </c:pt>
                <c:pt idx="127">
                  <c:v>0.22349453527455171</c:v>
                </c:pt>
                <c:pt idx="128">
                  <c:v>0.2227272417311007</c:v>
                </c:pt>
                <c:pt idx="129">
                  <c:v>0.22196963108121426</c:v>
                </c:pt>
                <c:pt idx="130">
                  <c:v>0.22122150502855434</c:v>
                </c:pt>
                <c:pt idx="131">
                  <c:v>0.22048267077075084</c:v>
                </c:pt>
                <c:pt idx="132">
                  <c:v>0.21975294081013066</c:v>
                </c:pt>
                <c:pt idx="133">
                  <c:v>0.2190321327721724</c:v>
                </c:pt>
                <c:pt idx="134">
                  <c:v>0.21832006923132488</c:v>
                </c:pt>
                <c:pt idx="135">
                  <c:v>0.21761657754384495</c:v>
                </c:pt>
                <c:pt idx="136">
                  <c:v>0.21692148968733141</c:v>
                </c:pt>
                <c:pt idx="137">
                  <c:v>0.2162346421066447</c:v>
                </c:pt>
                <c:pt idx="138">
                  <c:v>0.21555587556592173</c:v>
                </c:pt>
                <c:pt idx="139">
                  <c:v>0.21488503500640771</c:v>
                </c:pt>
                <c:pt idx="140">
                  <c:v>0.21422196940984226</c:v>
                </c:pt>
                <c:pt idx="141">
                  <c:v>0.21356653166715087</c:v>
                </c:pt>
                <c:pt idx="142">
                  <c:v>0.21291857845220305</c:v>
                </c:pt>
                <c:pt idx="143">
                  <c:v>0.21227797010041399</c:v>
                </c:pt>
                <c:pt idx="144">
                  <c:v>0.21164457049197488</c:v>
                </c:pt>
                <c:pt idx="145">
                  <c:v>0.21101824693950885</c:v>
                </c:pt>
                <c:pt idx="146">
                  <c:v>0.21039887007995942</c:v>
                </c:pt>
                <c:pt idx="147">
                  <c:v>0.20978631377052842</c:v>
                </c:pt>
                <c:pt idx="148">
                  <c:v>0.20918045498848767</c:v>
                </c:pt>
                <c:pt idx="149">
                  <c:v>0.20858117373469906</c:v>
                </c:pt>
                <c:pt idx="150">
                  <c:v>0.20798835294068493</c:v>
                </c:pt>
                <c:pt idx="151">
                  <c:v>0.20740187837909746</c:v>
                </c:pt>
                <c:pt idx="152">
                  <c:v>0.20682163857744484</c:v>
                </c:pt>
                <c:pt idx="153">
                  <c:v>0.20624752473493652</c:v>
                </c:pt>
                <c:pt idx="154">
                  <c:v>0.20567943064231864</c:v>
                </c:pt>
                <c:pt idx="155">
                  <c:v>0.20511725260457475</c:v>
                </c:pt>
                <c:pt idx="156">
                  <c:v>0.20456088936637412</c:v>
                </c:pt>
                <c:pt idx="157">
                  <c:v>0.20401024204015508</c:v>
                </c:pt>
                <c:pt idx="158">
                  <c:v>0.20346521403673554</c:v>
                </c:pt>
                <c:pt idx="159">
                  <c:v>0.20292571099834836</c:v>
                </c:pt>
                <c:pt idx="160">
                  <c:v>0.20239164073400459</c:v>
                </c:pt>
                <c:pt idx="161">
                  <c:v>0.20186291315708896</c:v>
                </c:pt>
                <c:pt idx="162">
                  <c:v>0.20133944022510139</c:v>
                </c:pt>
                <c:pt idx="163">
                  <c:v>0.20082113588145756</c:v>
                </c:pt>
                <c:pt idx="164">
                  <c:v>0.20030791599926717</c:v>
                </c:pt>
                <c:pt idx="165">
                  <c:v>0.19979969832701328</c:v>
                </c:pt>
                <c:pt idx="166">
                  <c:v>0.1992964024360577</c:v>
                </c:pt>
                <c:pt idx="167">
                  <c:v>0.1987979496699018</c:v>
                </c:pt>
                <c:pt idx="168">
                  <c:v>0.19830426309513469</c:v>
                </c:pt>
                <c:pt idx="169">
                  <c:v>0.19781526745400385</c:v>
                </c:pt>
                <c:pt idx="170">
                  <c:v>0.1973308891185466</c:v>
                </c:pt>
                <c:pt idx="171">
                  <c:v>0.19685105604622252</c:v>
                </c:pt>
                <c:pt idx="172">
                  <c:v>0.19637569773699026</c:v>
                </c:pt>
                <c:pt idx="173">
                  <c:v>0.19590474519177409</c:v>
                </c:pt>
                <c:pt idx="174">
                  <c:v>0.19543813087226836</c:v>
                </c:pt>
                <c:pt idx="175">
                  <c:v>0.19497578866203025</c:v>
                </c:pt>
                <c:pt idx="176">
                  <c:v>0.19451765382881223</c:v>
                </c:pt>
                <c:pt idx="177">
                  <c:v>0.19406366298808897</c:v>
                </c:pt>
                <c:pt idx="178">
                  <c:v>0.19361375406773551</c:v>
                </c:pt>
                <c:pt idx="179">
                  <c:v>0.19316786627381274</c:v>
                </c:pt>
                <c:pt idx="180">
                  <c:v>0.1927259400574225</c:v>
                </c:pt>
                <c:pt idx="181">
                  <c:v>0.19228791708259099</c:v>
                </c:pt>
                <c:pt idx="182">
                  <c:v>0.19185374019514573</c:v>
                </c:pt>
                <c:pt idx="183">
                  <c:v>0.19142335339254885</c:v>
                </c:pt>
                <c:pt idx="184">
                  <c:v>0.19099670179465358</c:v>
                </c:pt>
                <c:pt idx="185">
                  <c:v>0.19057373161535066</c:v>
                </c:pt>
                <c:pt idx="186">
                  <c:v>0.19015439013507379</c:v>
                </c:pt>
                <c:pt idx="187">
                  <c:v>0.18973862567413327</c:v>
                </c:pt>
                <c:pt idx="188">
                  <c:v>0.18932638756684964</c:v>
                </c:pt>
                <c:pt idx="189">
                  <c:v>0.18891762613645882</c:v>
                </c:pt>
                <c:pt idx="190">
                  <c:v>0.18851229267076222</c:v>
                </c:pt>
                <c:pt idx="191">
                  <c:v>0.18811033939849681</c:v>
                </c:pt>
                <c:pt idx="192">
                  <c:v>0.18771171946639917</c:v>
                </c:pt>
                <c:pt idx="193">
                  <c:v>0.18731638691694127</c:v>
                </c:pt>
                <c:pt idx="194">
                  <c:v>0.18692429666671428</c:v>
                </c:pt>
                <c:pt idx="195">
                  <c:v>0.18653540448543784</c:v>
                </c:pt>
                <c:pt idx="196">
                  <c:v>0.18614966697557628</c:v>
                </c:pt>
                <c:pt idx="197">
                  <c:v>0.18576704155253804</c:v>
                </c:pt>
                <c:pt idx="198">
                  <c:v>0.18538748642544212</c:v>
                </c:pt>
                <c:pt idx="199">
                  <c:v>0.18501096057842967</c:v>
                </c:pt>
                <c:pt idx="200">
                  <c:v>0.18463742375250583</c:v>
                </c:pt>
                <c:pt idx="201">
                  <c:v>0.18426683642789146</c:v>
                </c:pt>
                <c:pt idx="202">
                  <c:v>0.18389915980687038</c:v>
                </c:pt>
                <c:pt idx="203">
                  <c:v>0.18353435579711447</c:v>
                </c:pt>
                <c:pt idx="204">
                  <c:v>0.18317238699547211</c:v>
                </c:pt>
                <c:pt idx="205">
                  <c:v>0.18281321667220407</c:v>
                </c:pt>
                <c:pt idx="206">
                  <c:v>0.18245680875565323</c:v>
                </c:pt>
                <c:pt idx="207">
                  <c:v>0.18210312781733473</c:v>
                </c:pt>
                <c:pt idx="208">
                  <c:v>0.18175213905743073</c:v>
                </c:pt>
                <c:pt idx="209">
                  <c:v>0.18140380829068042</c:v>
                </c:pt>
                <c:pt idx="210">
                  <c:v>0.1810581019326501</c:v>
                </c:pt>
                <c:pt idx="211">
                  <c:v>0.18071498698637242</c:v>
                </c:pt>
                <c:pt idx="212">
                  <c:v>0.18037443102934322</c:v>
                </c:pt>
                <c:pt idx="213">
                  <c:v>0.180036402200865</c:v>
                </c:pt>
                <c:pt idx="214">
                  <c:v>0.17970086918972533</c:v>
                </c:pt>
                <c:pt idx="215">
                  <c:v>0.17936780122220169</c:v>
                </c:pt>
                <c:pt idx="216">
                  <c:v>0.17903716805038003</c:v>
                </c:pt>
                <c:pt idx="217">
                  <c:v>0.17870893994078052</c:v>
                </c:pt>
                <c:pt idx="218">
                  <c:v>0.17838308766327837</c:v>
                </c:pt>
                <c:pt idx="219">
                  <c:v>0.17805958248031289</c:v>
                </c:pt>
                <c:pt idx="220">
                  <c:v>0.1777383961363744</c:v>
                </c:pt>
                <c:pt idx="221">
                  <c:v>0.17741950084776195</c:v>
                </c:pt>
                <c:pt idx="222">
                  <c:v>0.17710286929260316</c:v>
                </c:pt>
                <c:pt idx="223">
                  <c:v>0.17678847460112776</c:v>
                </c:pt>
                <c:pt idx="224">
                  <c:v>0.17647629034618892</c:v>
                </c:pt>
                <c:pt idx="225">
                  <c:v>0.17616629053402327</c:v>
                </c:pt>
                <c:pt idx="226">
                  <c:v>0.17585844959524363</c:v>
                </c:pt>
                <c:pt idx="227">
                  <c:v>0.1755527423760572</c:v>
                </c:pt>
                <c:pt idx="228">
                  <c:v>0.17524914412970322</c:v>
                </c:pt>
                <c:pt idx="229">
                  <c:v>0.17494763050810253</c:v>
                </c:pt>
                <c:pt idx="230">
                  <c:v>0.17464817755371459</c:v>
                </c:pt>
                <c:pt idx="231">
                  <c:v>0.17435076169159369</c:v>
                </c:pt>
                <c:pt idx="232">
                  <c:v>0.17405535972164157</c:v>
                </c:pt>
                <c:pt idx="233">
                  <c:v>0.17376194881104792</c:v>
                </c:pt>
                <c:pt idx="234">
                  <c:v>0.173470506486915</c:v>
                </c:pt>
                <c:pt idx="235">
                  <c:v>0.17318101062906152</c:v>
                </c:pt>
                <c:pt idx="236">
                  <c:v>0.17289343946299918</c:v>
                </c:pt>
                <c:pt idx="237">
                  <c:v>0.17260777155307835</c:v>
                </c:pt>
                <c:pt idx="238">
                  <c:v>0.17232398579579764</c:v>
                </c:pt>
                <c:pt idx="239">
                  <c:v>0.17204206141327241</c:v>
                </c:pt>
                <c:pt idx="240">
                  <c:v>0.1717619779468591</c:v>
                </c:pt>
                <c:pt idx="241">
                  <c:v>0.17148371525092945</c:v>
                </c:pt>
                <c:pt idx="242">
                  <c:v>0.17120725348679094</c:v>
                </c:pt>
                <c:pt idx="243">
                  <c:v>0.17093257311675078</c:v>
                </c:pt>
                <c:pt idx="244">
                  <c:v>0.17065965489831747</c:v>
                </c:pt>
                <c:pt idx="245">
                  <c:v>0.17038847987853742</c:v>
                </c:pt>
                <c:pt idx="246">
                  <c:v>0.17011902938846288</c:v>
                </c:pt>
                <c:pt idx="247">
                  <c:v>0.16985128503774724</c:v>
                </c:pt>
                <c:pt idx="248">
                  <c:v>0.16958522870936446</c:v>
                </c:pt>
                <c:pt idx="249">
                  <c:v>0.16932084255444962</c:v>
                </c:pt>
                <c:pt idx="250">
                  <c:v>0.16905810898725607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3D-482B-A79A-7717DB7E1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38640"/>
        <c:axId val="897235688"/>
      </c:scatterChart>
      <c:valAx>
        <c:axId val="897238640"/>
        <c:scaling>
          <c:orientation val="minMax"/>
          <c:max val="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5688"/>
        <c:crosses val="autoZero"/>
        <c:crossBetween val="midCat"/>
      </c:valAx>
      <c:valAx>
        <c:axId val="8972356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SPR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864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2799650043744"/>
          <c:y val="4.1666666666666664E-2"/>
          <c:w val="0.84096500437445332"/>
          <c:h val="0.7963888888888889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MSY!$F$44:$F$531</c:f>
              <c:numCache>
                <c:formatCode>General</c:formatCode>
                <c:ptCount val="488"/>
                <c:pt idx="0">
                  <c:v>36.949033684654829</c:v>
                </c:pt>
                <c:pt idx="1">
                  <c:v>35.173100026878096</c:v>
                </c:pt>
                <c:pt idx="2">
                  <c:v>33.546648921501578</c:v>
                </c:pt>
                <c:pt idx="3">
                  <c:v>32.066414091499936</c:v>
                </c:pt>
                <c:pt idx="4">
                  <c:v>30.713954865386903</c:v>
                </c:pt>
                <c:pt idx="5">
                  <c:v>29.473783764533952</c:v>
                </c:pt>
                <c:pt idx="6">
                  <c:v>28.332799149255699</c:v>
                </c:pt>
                <c:pt idx="7">
                  <c:v>27.279843773554404</c:v>
                </c:pt>
                <c:pt idx="8">
                  <c:v>26.305357814468234</c:v>
                </c:pt>
                <c:pt idx="9">
                  <c:v>25.401103601869465</c:v>
                </c:pt>
                <c:pt idx="10">
                  <c:v>24.559945339839725</c:v>
                </c:pt>
                <c:pt idx="11">
                  <c:v>23.775671417343794</c:v>
                </c:pt>
                <c:pt idx="12">
                  <c:v>23.042850002754033</c:v>
                </c:pt>
                <c:pt idx="13">
                  <c:v>22.356710870006197</c:v>
                </c:pt>
                <c:pt idx="14">
                  <c:v>21.713048061637071</c:v>
                </c:pt>
                <c:pt idx="15">
                  <c:v>21.108139225683363</c:v>
                </c:pt>
                <c:pt idx="16">
                  <c:v>20.538678387553471</c:v>
                </c:pt>
                <c:pt idx="17">
                  <c:v>20.001719617559715</c:v>
                </c:pt>
                <c:pt idx="18">
                  <c:v>19.494629588853638</c:v>
                </c:pt>
                <c:pt idx="19">
                  <c:v>19.015047431443559</c:v>
                </c:pt>
                <c:pt idx="20">
                  <c:v>18.560850606534334</c:v>
                </c:pt>
                <c:pt idx="21">
                  <c:v>18.13012577413161</c:v>
                </c:pt>
                <c:pt idx="22">
                  <c:v>17.721143822309291</c:v>
                </c:pt>
                <c:pt idx="23">
                  <c:v>17.33233838112103</c:v>
                </c:pt>
                <c:pt idx="24">
                  <c:v>16.962287267130289</c:v>
                </c:pt>
                <c:pt idx="25">
                  <c:v>16.609696402946462</c:v>
                </c:pt>
                <c:pt idx="26">
                  <c:v>16.273385835330643</c:v>
                </c:pt>
                <c:pt idx="27">
                  <c:v>15.952277539460924</c:v>
                </c:pt>
                <c:pt idx="28">
                  <c:v>15.645384748977447</c:v>
                </c:pt>
                <c:pt idx="29">
                  <c:v>15.351802593910511</c:v>
                </c:pt>
                <c:pt idx="30">
                  <c:v>15.070699863433939</c:v>
                </c:pt>
                <c:pt idx="31">
                  <c:v>14.801311739084149</c:v>
                </c:pt>
                <c:pt idx="32">
                  <c:v>14.542933367818293</c:v>
                </c:pt>
                <c:pt idx="33">
                  <c:v>14.294914163991031</c:v>
                </c:pt>
                <c:pt idx="34">
                  <c:v>14.056652745754027</c:v>
                </c:pt>
                <c:pt idx="35">
                  <c:v>13.827592425119704</c:v>
                </c:pt>
                <c:pt idx="36">
                  <c:v>13.607217182463446</c:v>
                </c:pt>
                <c:pt idx="37">
                  <c:v>13.395048065949414</c:v>
                </c:pt>
                <c:pt idx="38">
                  <c:v>13.190639964572203</c:v>
                </c:pt>
                <c:pt idx="39">
                  <c:v>12.993578710460097</c:v>
                </c:pt>
                <c:pt idx="40">
                  <c:v>12.803478471999549</c:v>
                </c:pt>
                <c:pt idx="41">
                  <c:v>12.619979404378848</c:v>
                </c:pt>
                <c:pt idx="42">
                  <c:v>12.442745528460206</c:v>
                </c:pt>
                <c:pt idx="43">
                  <c:v>12.271462812581509</c:v>
                </c:pt>
                <c:pt idx="44">
                  <c:v>12.105837435064617</c:v>
                </c:pt>
                <c:pt idx="45">
                  <c:v>11.945594207941969</c:v>
                </c:pt>
                <c:pt idx="46">
                  <c:v>11.790475144775602</c:v>
                </c:pt>
                <c:pt idx="47">
                  <c:v>11.640238157488072</c:v>
                </c:pt>
                <c:pt idx="48">
                  <c:v>11.494655868899097</c:v>
                </c:pt>
                <c:pt idx="49">
                  <c:v>11.353514529205286</c:v>
                </c:pt>
                <c:pt idx="50">
                  <c:v>11.216613025984572</c:v>
                </c:pt>
                <c:pt idx="51">
                  <c:v>11.083761978482205</c:v>
                </c:pt>
                <c:pt idx="52">
                  <c:v>10.95478290796196</c:v>
                </c:pt>
                <c:pt idx="53">
                  <c:v>10.82950747680769</c:v>
                </c:pt>
                <c:pt idx="54">
                  <c:v>10.707776789851588</c:v>
                </c:pt>
                <c:pt idx="55">
                  <c:v>10.589440752102126</c:v>
                </c:pt>
                <c:pt idx="56">
                  <c:v>10.474357477658216</c:v>
                </c:pt>
                <c:pt idx="57">
                  <c:v>10.362392745138875</c:v>
                </c:pt>
                <c:pt idx="58">
                  <c:v>10.253419495436759</c:v>
                </c:pt>
                <c:pt idx="59">
                  <c:v>10.147317368029599</c:v>
                </c:pt>
                <c:pt idx="60">
                  <c:v>10.043972272459895</c:v>
                </c:pt>
                <c:pt idx="61">
                  <c:v>9.9432759919294238</c:v>
                </c:pt>
                <c:pt idx="62">
                  <c:v>9.845125816252617</c:v>
                </c:pt>
                <c:pt idx="63">
                  <c:v>9.7494242016798847</c:v>
                </c:pt>
                <c:pt idx="64">
                  <c:v>9.6560784553386085</c:v>
                </c:pt>
                <c:pt idx="65">
                  <c:v>9.5650004422527211</c:v>
                </c:pt>
                <c:pt idx="66">
                  <c:v>9.4761063130912806</c:v>
                </c:pt>
                <c:pt idx="67">
                  <c:v>9.3893162509674273</c:v>
                </c:pt>
                <c:pt idx="68">
                  <c:v>9.3045542357618434</c:v>
                </c:pt>
                <c:pt idx="69">
                  <c:v>9.2217478245823905</c:v>
                </c:pt>
                <c:pt idx="70">
                  <c:v>9.1408279470955325</c:v>
                </c:pt>
                <c:pt idx="71">
                  <c:v>9.0617287145764518</c:v>
                </c:pt>
                <c:pt idx="72">
                  <c:v>8.984387241625587</c:v>
                </c:pt>
                <c:pt idx="73">
                  <c:v>8.9087434795899654</c:v>
                </c:pt>
                <c:pt idx="74">
                  <c:v>8.8347400608099722</c:v>
                </c:pt>
                <c:pt idx="75">
                  <c:v>8.762322152886501</c:v>
                </c:pt>
                <c:pt idx="76">
                  <c:v>8.6914373222308861</c:v>
                </c:pt>
                <c:pt idx="77">
                  <c:v>8.6220354062208369</c:v>
                </c:pt>
                <c:pt idx="78">
                  <c:v>8.5540683933415202</c:v>
                </c:pt>
                <c:pt idx="79">
                  <c:v>8.4874903107410571</c:v>
                </c:pt>
                <c:pt idx="80">
                  <c:v>8.4222571186755566</c:v>
                </c:pt>
                <c:pt idx="81">
                  <c:v>8.3583266113609049</c:v>
                </c:pt>
                <c:pt idx="82">
                  <c:v>8.2956583237861459</c:v>
                </c:pt>
                <c:pt idx="83">
                  <c:v>8.2342134440786978</c:v>
                </c:pt>
                <c:pt idx="84">
                  <c:v>8.1739547310426541</c:v>
                </c:pt>
                <c:pt idx="85">
                  <c:v>8.1148464365209207</c:v>
                </c:pt>
                <c:pt idx="86">
                  <c:v>8.0568542322584253</c:v>
                </c:pt>
                <c:pt idx="87">
                  <c:v>7.9999451409677578</c:v>
                </c:pt>
                <c:pt idx="88">
                  <c:v>7.944087471321077</c:v>
                </c:pt>
                <c:pt idx="89">
                  <c:v>7.8892507566122605</c:v>
                </c:pt>
                <c:pt idx="90">
                  <c:v>7.8354056968524333</c:v>
                </c:pt>
                <c:pt idx="91">
                  <c:v>7.7825241040789361</c:v>
                </c:pt>
                <c:pt idx="92">
                  <c:v>7.7305788506735791</c:v>
                </c:pt>
                <c:pt idx="93">
                  <c:v>7.6795438205008892</c:v>
                </c:pt>
                <c:pt idx="94">
                  <c:v>7.6293938626902511</c:v>
                </c:pt>
                <c:pt idx="95">
                  <c:v>7.5801047478981491</c:v>
                </c:pt>
                <c:pt idx="96">
                  <c:v>7.5316531268984495</c:v>
                </c:pt>
                <c:pt idx="97">
                  <c:v>7.48401649135866</c:v>
                </c:pt>
                <c:pt idx="98">
                  <c:v>7.4371731366703262</c:v>
                </c:pt>
                <c:pt idx="99">
                  <c:v>7.3911021267103632</c:v>
                </c:pt>
                <c:pt idx="100">
                  <c:v>7.3457832604185702</c:v>
                </c:pt>
                <c:pt idx="101">
                  <c:v>7.3011970400840527</c:v>
                </c:pt>
                <c:pt idx="102">
                  <c:v>7.2573246412408556</c:v>
                </c:pt>
                <c:pt idx="103">
                  <c:v>7.2141478840789617</c:v>
                </c:pt>
                <c:pt idx="104">
                  <c:v>7.1716492062835773</c:v>
                </c:pt>
                <c:pt idx="105">
                  <c:v>7.1298116372210441</c:v>
                </c:pt>
                <c:pt idx="106">
                  <c:v>7.0886187733946917</c:v>
                </c:pt>
                <c:pt idx="107">
                  <c:v>7.0480547550994013</c:v>
                </c:pt>
                <c:pt idx="108">
                  <c:v>7.0081042442076331</c:v>
                </c:pt>
                <c:pt idx="109">
                  <c:v>6.9687524030242045</c:v>
                </c:pt>
                <c:pt idx="110">
                  <c:v>6.929984874150878</c:v>
                </c:pt>
                <c:pt idx="111">
                  <c:v>6.8917877613056362</c:v>
                </c:pt>
                <c:pt idx="112">
                  <c:v>6.8541476110446187</c:v>
                </c:pt>
                <c:pt idx="113">
                  <c:v>6.8170513953382246</c:v>
                </c:pt>
                <c:pt idx="114">
                  <c:v>6.7804864949555324</c:v>
                </c:pt>
                <c:pt idx="115">
                  <c:v>6.7444406836141475</c:v>
                </c:pt>
                <c:pt idx="116">
                  <c:v>6.7089021128549664</c:v>
                </c:pt>
                <c:pt idx="117">
                  <c:v>6.673859297604003</c:v>
                </c:pt>
                <c:pt idx="118">
                  <c:v>6.6393011023853559</c:v>
                </c:pt>
                <c:pt idx="119">
                  <c:v>6.6052167281517526</c:v>
                </c:pt>
                <c:pt idx="120">
                  <c:v>6.5715956997009091</c:v>
                </c:pt>
                <c:pt idx="121">
                  <c:v>6.5384278536478329</c:v>
                </c:pt>
                <c:pt idx="122">
                  <c:v>6.5057033269249187</c:v>
                </c:pt>
                <c:pt idx="123">
                  <c:v>6.4734125457832068</c:v>
                </c:pt>
                <c:pt idx="124">
                  <c:v>6.4415462152698595</c:v>
                </c:pt>
                <c:pt idx="125">
                  <c:v>6.4100953091580806</c:v>
                </c:pt>
                <c:pt idx="126">
                  <c:v>6.3790510603072565</c:v>
                </c:pt>
                <c:pt idx="127">
                  <c:v>6.348404951432137</c:v>
                </c:pt>
                <c:pt idx="128">
                  <c:v>6.3181487062612165</c:v>
                </c:pt>
                <c:pt idx="129">
                  <c:v>6.2882742810653802</c:v>
                </c:pt>
                <c:pt idx="130">
                  <c:v>6.2587738565391566</c:v>
                </c:pt>
                <c:pt idx="131">
                  <c:v>6.2296398300175211</c:v>
                </c:pt>
                <c:pt idx="132">
                  <c:v>6.200864808012521</c:v>
                </c:pt>
                <c:pt idx="133">
                  <c:v>6.1724415990545118</c:v>
                </c:pt>
                <c:pt idx="134">
                  <c:v>6.1443632068237362</c:v>
                </c:pt>
                <c:pt idx="135">
                  <c:v>6.1166228235587221</c:v>
                </c:pt>
                <c:pt idx="136">
                  <c:v>6.089213823728719</c:v>
                </c:pt>
                <c:pt idx="137">
                  <c:v>6.0621297579579485</c:v>
                </c:pt>
                <c:pt idx="138">
                  <c:v>6.0353643471901659</c:v>
                </c:pt>
                <c:pt idx="139">
                  <c:v>6.008911477082636</c:v>
                </c:pt>
                <c:pt idx="140">
                  <c:v>5.9827651926191141</c:v>
                </c:pt>
                <c:pt idx="141">
                  <c:v>5.9569196929320505</c:v>
                </c:pt>
                <c:pt idx="142">
                  <c:v>5.931369326324532</c:v>
                </c:pt>
                <c:pt idx="143">
                  <c:v>5.9061085854832971</c:v>
                </c:pt>
                <c:pt idx="144">
                  <c:v>5.8811321028741634</c:v>
                </c:pt>
                <c:pt idx="145">
                  <c:v>5.8564346463120938</c:v>
                </c:pt>
                <c:pt idx="146">
                  <c:v>5.8320111146980524</c:v>
                </c:pt>
                <c:pt idx="147">
                  <c:v>5.807856533915599</c:v>
                </c:pt>
                <c:pt idx="148">
                  <c:v>5.7839660528802206</c:v>
                </c:pt>
                <c:pt idx="149">
                  <c:v>5.7603349397348929</c:v>
                </c:pt>
                <c:pt idx="150">
                  <c:v>5.7369585781856465</c:v>
                </c:pt>
                <c:pt idx="151">
                  <c:v>5.713832463971138</c:v>
                </c:pt>
                <c:pt idx="152">
                  <c:v>5.6909522014606857</c:v>
                </c:pt>
                <c:pt idx="153">
                  <c:v>5.6683135003752749</c:v>
                </c:pt>
                <c:pt idx="154">
                  <c:v>5.6459121726264518</c:v>
                </c:pt>
                <c:pt idx="155">
                  <c:v>5.6237441292682524</c:v>
                </c:pt>
                <c:pt idx="156">
                  <c:v>5.6018053775574312</c:v>
                </c:pt>
                <c:pt idx="157">
                  <c:v>5.5800920181176172</c:v>
                </c:pt>
                <c:pt idx="158">
                  <c:v>5.5586002422031271</c:v>
                </c:pt>
                <c:pt idx="159">
                  <c:v>5.5373263290583798</c:v>
                </c:pt>
                <c:pt idx="160">
                  <c:v>5.5162666433691072</c:v>
                </c:pt>
                <c:pt idx="161">
                  <c:v>5.4954176328015993</c:v>
                </c:pt>
                <c:pt idx="162">
                  <c:v>5.4747758256265708</c:v>
                </c:pt>
                <c:pt idx="163">
                  <c:v>5.4543378284242081</c:v>
                </c:pt>
                <c:pt idx="164">
                  <c:v>5.4341003238672068</c:v>
                </c:pt>
                <c:pt idx="165">
                  <c:v>5.4140600685787907</c:v>
                </c:pt>
                <c:pt idx="166">
                  <c:v>5.3942138910627087</c:v>
                </c:pt>
                <c:pt idx="167">
                  <c:v>5.3745586897024751</c:v>
                </c:pt>
                <c:pt idx="168">
                  <c:v>5.3550914308271151</c:v>
                </c:pt>
                <c:pt idx="169">
                  <c:v>5.3358091468409592</c:v>
                </c:pt>
                <c:pt idx="170">
                  <c:v>5.3167089344148692</c:v>
                </c:pt>
                <c:pt idx="171">
                  <c:v>5.2977879527367753</c:v>
                </c:pt>
                <c:pt idx="172">
                  <c:v>5.2790434218190736</c:v>
                </c:pt>
                <c:pt idx="173">
                  <c:v>5.2604726208608845</c:v>
                </c:pt>
                <c:pt idx="174">
                  <c:v>5.2420728866630286</c:v>
                </c:pt>
                <c:pt idx="175">
                  <c:v>5.2238416120938229</c:v>
                </c:pt>
                <c:pt idx="176">
                  <c:v>5.2057762446037739</c:v>
                </c:pt>
                <c:pt idx="177">
                  <c:v>5.1878742847873314</c:v>
                </c:pt>
                <c:pt idx="178">
                  <c:v>5.1701332849900696</c:v>
                </c:pt>
                <c:pt idx="179">
                  <c:v>5.152550847959553</c:v>
                </c:pt>
                <c:pt idx="180">
                  <c:v>5.1351246255383076</c:v>
                </c:pt>
                <c:pt idx="181">
                  <c:v>5.1178523173974195</c:v>
                </c:pt>
                <c:pt idx="182">
                  <c:v>5.1007316698092566</c:v>
                </c:pt>
                <c:pt idx="183">
                  <c:v>5.0837604744579519</c:v>
                </c:pt>
                <c:pt idx="184">
                  <c:v>5.0669365672862243</c:v>
                </c:pt>
                <c:pt idx="185">
                  <c:v>5.0502578273773437</c:v>
                </c:pt>
                <c:pt idx="186">
                  <c:v>5.0337221758709738</c:v>
                </c:pt>
                <c:pt idx="187">
                  <c:v>5.0173275749116124</c:v>
                </c:pt>
                <c:pt idx="188">
                  <c:v>5.0010720266286484</c:v>
                </c:pt>
                <c:pt idx="189">
                  <c:v>4.9849535721468117</c:v>
                </c:pt>
                <c:pt idx="190">
                  <c:v>4.9689702906259727</c:v>
                </c:pt>
                <c:pt idx="191">
                  <c:v>4.9531202983293854</c:v>
                </c:pt>
                <c:pt idx="192">
                  <c:v>4.9374017477192549</c:v>
                </c:pt>
                <c:pt idx="193">
                  <c:v>4.9218128265787868</c:v>
                </c:pt>
                <c:pt idx="194">
                  <c:v>4.9063517571598494</c:v>
                </c:pt>
                <c:pt idx="195">
                  <c:v>4.8910167953552284</c:v>
                </c:pt>
                <c:pt idx="196">
                  <c:v>4.875806229894839</c:v>
                </c:pt>
                <c:pt idx="197">
                  <c:v>4.8607183815649728</c:v>
                </c:pt>
                <c:pt idx="198">
                  <c:v>4.8457516024498428</c:v>
                </c:pt>
                <c:pt idx="199">
                  <c:v>4.8309042751946683</c:v>
                </c:pt>
                <c:pt idx="200">
                  <c:v>4.8161748122896517</c:v>
                </c:pt>
                <c:pt idx="201">
                  <c:v>4.8015616553740559</c:v>
                </c:pt>
                <c:pt idx="202">
                  <c:v>4.7870632745598529</c:v>
                </c:pt>
                <c:pt idx="203">
                  <c:v>4.7726781677741643</c:v>
                </c:pt>
                <c:pt idx="204">
                  <c:v>4.7584048601200148</c:v>
                </c:pt>
                <c:pt idx="205">
                  <c:v>4.7442419032547214</c:v>
                </c:pt>
                <c:pt idx="206">
                  <c:v>4.7301878747853552</c:v>
                </c:pt>
                <c:pt idx="207">
                  <c:v>4.7162413776808414</c:v>
                </c:pt>
                <c:pt idx="208">
                  <c:v>4.7024010396999802</c:v>
                </c:pt>
                <c:pt idx="209">
                  <c:v>4.6886655128350307</c:v>
                </c:pt>
                <c:pt idx="210">
                  <c:v>4.6750334727703269</c:v>
                </c:pt>
                <c:pt idx="211">
                  <c:v>4.6615036183554244</c:v>
                </c:pt>
                <c:pt idx="212">
                  <c:v>4.6480746710923553</c:v>
                </c:pt>
                <c:pt idx="213">
                  <c:v>4.6347453746365579</c:v>
                </c:pt>
                <c:pt idx="214">
                  <c:v>4.6215144943109907</c:v>
                </c:pt>
                <c:pt idx="215">
                  <c:v>4.6083808166331446</c:v>
                </c:pt>
                <c:pt idx="216">
                  <c:v>4.5953431488544156</c:v>
                </c:pt>
                <c:pt idx="217">
                  <c:v>4.5824003185115911</c:v>
                </c:pt>
                <c:pt idx="218">
                  <c:v>4.5695511729899581</c:v>
                </c:pt>
                <c:pt idx="219">
                  <c:v>4.5567945790978159</c:v>
                </c:pt>
                <c:pt idx="220">
                  <c:v>4.5441294226518893</c:v>
                </c:pt>
                <c:pt idx="221">
                  <c:v>4.5315546080734697</c:v>
                </c:pt>
                <c:pt idx="222">
                  <c:v>4.5190690579948827</c:v>
                </c:pt>
                <c:pt idx="223">
                  <c:v>4.5066717128759155</c:v>
                </c:pt>
                <c:pt idx="224">
                  <c:v>4.4943615306300826</c:v>
                </c:pt>
                <c:pt idx="225">
                  <c:v>4.4821374862602585</c:v>
                </c:pt>
                <c:pt idx="226">
                  <c:v>4.4699985715034973</c:v>
                </c:pt>
                <c:pt idx="227">
                  <c:v>4.4579437944847493</c:v>
                </c:pt>
                <c:pt idx="228">
                  <c:v>4.445972179379222</c:v>
                </c:pt>
                <c:pt idx="229">
                  <c:v>4.4340827660831152</c:v>
                </c:pt>
                <c:pt idx="230">
                  <c:v>4.4222746098925008</c:v>
                </c:pt>
                <c:pt idx="231">
                  <c:v>4.4105467811900994</c:v>
                </c:pt>
                <c:pt idx="232">
                  <c:v>4.3988983651397726</c:v>
                </c:pt>
                <c:pt idx="233">
                  <c:v>4.3873284613884396</c:v>
                </c:pt>
                <c:pt idx="234">
                  <c:v>4.3758361837752471</c:v>
                </c:pt>
                <c:pt idx="235">
                  <c:v>4.3644206600477977</c:v>
                </c:pt>
                <c:pt idx="236">
                  <c:v>4.3530810315852166</c:v>
                </c:pt>
                <c:pt idx="237">
                  <c:v>4.3418164531278558</c:v>
                </c:pt>
                <c:pt idx="238">
                  <c:v>4.3306260925134747</c:v>
                </c:pt>
                <c:pt idx="239">
                  <c:v>4.3195091304196982</c:v>
                </c:pt>
                <c:pt idx="240">
                  <c:v>4.3084647601125923</c:v>
                </c:pt>
                <c:pt idx="241">
                  <c:v>4.2974921872011809</c:v>
                </c:pt>
                <c:pt idx="242">
                  <c:v>4.2865906293977103</c:v>
                </c:pt>
                <c:pt idx="243">
                  <c:v>4.2757593162835708</c:v>
                </c:pt>
                <c:pt idx="244">
                  <c:v>4.2649974890806561</c:v>
                </c:pt>
                <c:pt idx="245">
                  <c:v>4.2543044004280475</c:v>
                </c:pt>
                <c:pt idx="246">
                  <c:v>4.2436793141638605</c:v>
                </c:pt>
                <c:pt idx="247">
                  <c:v>4.2331215051121251</c:v>
                </c:pt>
                <c:pt idx="248">
                  <c:v>4.2226302588745774</c:v>
                </c:pt>
                <c:pt idx="249">
                  <c:v>4.2122048716271845</c:v>
                </c:pt>
                <c:pt idx="250">
                  <c:v>4.2018446499213056</c:v>
                </c:pt>
                <c:pt idx="251">
                  <c:v>4.1915489104894341</c:v>
                </c:pt>
                <c:pt idx="252">
                  <c:v>4.181316980055203</c:v>
                </c:pt>
                <c:pt idx="253">
                  <c:v>4.171148195147822</c:v>
                </c:pt>
                <c:pt idx="254">
                  <c:v>4.16104190192054</c:v>
                </c:pt>
                <c:pt idx="255">
                  <c:v>4.1509974559732461</c:v>
                </c:pt>
                <c:pt idx="256">
                  <c:v>4.1410142221789989</c:v>
                </c:pt>
                <c:pt idx="257">
                  <c:v>4.1310915745144063</c:v>
                </c:pt>
                <c:pt idx="258">
                  <c:v>4.1212288958937187</c:v>
                </c:pt>
                <c:pt idx="259">
                  <c:v>4.1114255780066227</c:v>
                </c:pt>
                <c:pt idx="260">
                  <c:v>4.1016810211595489</c:v>
                </c:pt>
                <c:pt idx="261">
                  <c:v>4.0919946341204847</c:v>
                </c:pt>
                <c:pt idx="262">
                  <c:v>4.0823658339671196</c:v>
                </c:pt>
                <c:pt idx="263">
                  <c:v>4.0727940459383216</c:v>
                </c:pt>
                <c:pt idx="264">
                  <c:v>4.0632787032887698</c:v>
                </c:pt>
                <c:pt idx="265">
                  <c:v>4.0538192471467802</c:v>
                </c:pt>
                <c:pt idx="266">
                  <c:v>4.0444151263751191</c:v>
                </c:pt>
                <c:pt idx="267">
                  <c:v>4.0350657974348234</c:v>
                </c:pt>
                <c:pt idx="268">
                  <c:v>4.0257707242518883</c:v>
                </c:pt>
                <c:pt idx="269">
                  <c:v>4.0165293780868208</c:v>
                </c:pt>
                <c:pt idx="270">
                  <c:v>4.0073412374069051</c:v>
                </c:pt>
                <c:pt idx="271">
                  <c:v>3.9982057877611781</c:v>
                </c:pt>
                <c:pt idx="272">
                  <c:v>3.9891225216580093</c:v>
                </c:pt>
                <c:pt idx="273">
                  <c:v>3.9800909384452776</c:v>
                </c:pt>
                <c:pt idx="274">
                  <c:v>3.9711105441929675</c:v>
                </c:pt>
                <c:pt idx="275">
                  <c:v>3.962180851578287</c:v>
                </c:pt>
                <c:pt idx="276">
                  <c:v>3.9533013797730798</c:v>
                </c:pt>
                <c:pt idx="277">
                  <c:v>3.9444716543336007</c:v>
                </c:pt>
                <c:pt idx="278">
                  <c:v>3.9356912070925416</c:v>
                </c:pt>
                <c:pt idx="279">
                  <c:v>3.9269595760532554</c:v>
                </c:pt>
                <c:pt idx="280">
                  <c:v>3.9182763052861516</c:v>
                </c:pt>
                <c:pt idx="281">
                  <c:v>3.9096409448271618</c:v>
                </c:pt>
                <c:pt idx="282">
                  <c:v>3.9010530505782905</c:v>
                </c:pt>
                <c:pt idx="283">
                  <c:v>3.8925121842101591</c:v>
                </c:pt>
                <c:pt idx="284">
                  <c:v>3.884017913066494</c:v>
                </c:pt>
                <c:pt idx="285">
                  <c:v>3.8755698100705382</c:v>
                </c:pt>
                <c:pt idx="286">
                  <c:v>3.8671674536333329</c:v>
                </c:pt>
                <c:pt idx="287">
                  <c:v>3.8588104275637916</c:v>
                </c:pt>
                <c:pt idx="288">
                  <c:v>3.8504983209806074</c:v>
                </c:pt>
                <c:pt idx="289">
                  <c:v>3.842230728225835</c:v>
                </c:pt>
                <c:pt idx="290">
                  <c:v>3.8340072487802224</c:v>
                </c:pt>
                <c:pt idx="291">
                  <c:v>3.8258274871801721</c:v>
                </c:pt>
                <c:pt idx="292">
                  <c:v>3.8176910529363464</c:v>
                </c:pt>
                <c:pt idx="293">
                  <c:v>3.8095975604538213</c:v>
                </c:pt>
                <c:pt idx="294">
                  <c:v>3.8015466289538287</c:v>
                </c:pt>
                <c:pt idx="295">
                  <c:v>3.7935378823969872</c:v>
                </c:pt>
                <c:pt idx="296">
                  <c:v>3.7855709494080214</c:v>
                </c:pt>
                <c:pt idx="297">
                  <c:v>3.7776454632019116</c:v>
                </c:pt>
                <c:pt idx="298">
                  <c:v>3.7697610615114647</c:v>
                </c:pt>
                <c:pt idx="299">
                  <c:v>3.7619173865162909</c:v>
                </c:pt>
                <c:pt idx="300">
                  <c:v>3.754114084773077</c:v>
                </c:pt>
                <c:pt idx="301">
                  <c:v>3.7463508071472269</c:v>
                </c:pt>
                <c:pt idx="302">
                  <c:v>3.738627208745775</c:v>
                </c:pt>
                <c:pt idx="303">
                  <c:v>3.730942948851566</c:v>
                </c:pt>
                <c:pt idx="304">
                  <c:v>3.723297690858645</c:v>
                </c:pt>
                <c:pt idx="305">
                  <c:v>3.7156911022088992</c:v>
                </c:pt>
                <c:pt idx="306">
                  <c:v>3.7081228543298357</c:v>
                </c:pt>
                <c:pt idx="307">
                  <c:v>3.700592622573557</c:v>
                </c:pt>
                <c:pt idx="308">
                  <c:v>3.6931000861568304</c:v>
                </c:pt>
                <c:pt idx="309">
                  <c:v>3.6856449281022692</c:v>
                </c:pt>
                <c:pt idx="310">
                  <c:v>3.678226835180626</c:v>
                </c:pt>
                <c:pt idx="311">
                  <c:v>3.6708454978540885</c:v>
                </c:pt>
                <c:pt idx="312">
                  <c:v>3.6635006102206753</c:v>
                </c:pt>
                <c:pt idx="313">
                  <c:v>3.6561918699595903</c:v>
                </c:pt>
                <c:pt idx="314">
                  <c:v>3.6489189782776053</c:v>
                </c:pt>
                <c:pt idx="315">
                  <c:v>3.6416816398563796</c:v>
                </c:pt>
                <c:pt idx="316">
                  <c:v>3.6344795628007738</c:v>
                </c:pt>
                <c:pt idx="317">
                  <c:v>3.6273124585880452</c:v>
                </c:pt>
                <c:pt idx="318">
                  <c:v>3.6201800420179855</c:v>
                </c:pt>
                <c:pt idx="319">
                  <c:v>3.6130820311639478</c:v>
                </c:pt>
                <c:pt idx="320">
                  <c:v>3.6060181473247219</c:v>
                </c:pt>
                <c:pt idx="321">
                  <c:v>3.5989881149772947</c:v>
                </c:pt>
                <c:pt idx="322">
                  <c:v>3.5919916617304288</c:v>
                </c:pt>
                <c:pt idx="323">
                  <c:v>3.5850285182790551</c:v>
                </c:pt>
                <c:pt idx="324">
                  <c:v>3.5780984183594944</c:v>
                </c:pt>
                <c:pt idx="325">
                  <c:v>3.5712010987054335</c:v>
                </c:pt>
                <c:pt idx="326">
                  <c:v>3.5643362990046827</c:v>
                </c:pt>
                <c:pt idx="327">
                  <c:v>3.5575037618566991</c:v>
                </c:pt>
                <c:pt idx="328">
                  <c:v>3.5507032327308252</c:v>
                </c:pt>
                <c:pt idx="329">
                  <c:v>3.5439344599252802</c:v>
                </c:pt>
                <c:pt idx="330">
                  <c:v>3.5371971945268132</c:v>
                </c:pt>
                <c:pt idx="331">
                  <c:v>3.5304911903711154</c:v>
                </c:pt>
                <c:pt idx="332">
                  <c:v>3.5238162040038494</c:v>
                </c:pt>
                <c:pt idx="333">
                  <c:v>3.5171719946423852</c:v>
                </c:pt>
                <c:pt idx="334">
                  <c:v>3.5105583241381781</c:v>
                </c:pt>
                <c:pt idx="335">
                  <c:v>3.5039749569397749</c:v>
                </c:pt>
                <c:pt idx="336">
                  <c:v>3.4974216600564745</c:v>
                </c:pt>
                <c:pt idx="337">
                  <c:v>3.4908982030225677</c:v>
                </c:pt>
                <c:pt idx="338">
                  <c:v>3.4844043578622137</c:v>
                </c:pt>
                <c:pt idx="339">
                  <c:v>3.4779398990548875</c:v>
                </c:pt>
                <c:pt idx="340">
                  <c:v>3.4715046035014057</c:v>
                </c:pt>
                <c:pt idx="341">
                  <c:v>3.465098250490533</c:v>
                </c:pt>
                <c:pt idx="342">
                  <c:v>3.4587206216661408</c:v>
                </c:pt>
                <c:pt idx="343">
                  <c:v>3.4523715009948992</c:v>
                </c:pt>
                <c:pt idx="344">
                  <c:v>3.4460506747345092</c:v>
                </c:pt>
                <c:pt idx="345">
                  <c:v>3.4397579314024949</c:v>
                </c:pt>
                <c:pt idx="346">
                  <c:v>3.4334930617454349</c:v>
                </c:pt>
                <c:pt idx="347">
                  <c:v>3.427255858708778</c:v>
                </c:pt>
                <c:pt idx="348">
                  <c:v>3.4210461174071014</c:v>
                </c:pt>
                <c:pt idx="349">
                  <c:v>3.4148636350948767</c:v>
                </c:pt>
                <c:pt idx="350">
                  <c:v>3.4087082111377116</c:v>
                </c:pt>
                <c:pt idx="351">
                  <c:v>3.4025796469840399</c:v>
                </c:pt>
                <c:pt idx="352">
                  <c:v>3.3964777461373008</c:v>
                </c:pt>
                <c:pt idx="353">
                  <c:v>3.3904023141285413</c:v>
                </c:pt>
                <c:pt idx="354">
                  <c:v>3.3843531584894717</c:v>
                </c:pt>
                <c:pt idx="355">
                  <c:v>3.3783300887259409</c:v>
                </c:pt>
                <c:pt idx="356">
                  <c:v>3.3723329162918705</c:v>
                </c:pt>
                <c:pt idx="357">
                  <c:v>3.3663614545635556</c:v>
                </c:pt>
                <c:pt idx="358">
                  <c:v>3.3604155188144142</c:v>
                </c:pt>
                <c:pt idx="359">
                  <c:v>3.3544949261901222</c:v>
                </c:pt>
                <c:pt idx="360">
                  <c:v>3.348599495684137</c:v>
                </c:pt>
                <c:pt idx="361">
                  <c:v>3.3427290481136316</c:v>
                </c:pt>
                <c:pt idx="362">
                  <c:v>3.3368834060957631</c:v>
                </c:pt>
                <c:pt idx="363">
                  <c:v>3.3310623940243631</c:v>
                </c:pt>
                <c:pt idx="364">
                  <c:v>3.3252658380469646</c:v>
                </c:pt>
                <c:pt idx="365">
                  <c:v>3.3194935660421909</c:v>
                </c:pt>
                <c:pt idx="366">
                  <c:v>3.3137454075975104</c:v>
                </c:pt>
                <c:pt idx="367">
                  <c:v>3.3080211939873077</c:v>
                </c:pt>
                <c:pt idx="368">
                  <c:v>3.3023207581513341</c:v>
                </c:pt>
                <c:pt idx="369">
                  <c:v>3.2966439346734564</c:v>
                </c:pt>
                <c:pt idx="370">
                  <c:v>3.2909905597607532</c:v>
                </c:pt>
                <c:pt idx="371">
                  <c:v>3.285360471222929</c:v>
                </c:pt>
                <c:pt idx="372">
                  <c:v>3.2797535084520288</c:v>
                </c:pt>
                <c:pt idx="373">
                  <c:v>3.2741695124024957</c:v>
                </c:pt>
                <c:pt idx="374">
                  <c:v>3.2686083255714924</c:v>
                </c:pt>
                <c:pt idx="375">
                  <c:v>3.263069791979555</c:v>
                </c:pt>
                <c:pt idx="376">
                  <c:v>3.2575537571515114</c:v>
                </c:pt>
                <c:pt idx="377">
                  <c:v>3.2520600680977343</c:v>
                </c:pt>
                <c:pt idx="378">
                  <c:v>3.2465885732956012</c:v>
                </c:pt>
                <c:pt idx="379">
                  <c:v>3.2411391226713278</c:v>
                </c:pt>
                <c:pt idx="380">
                  <c:v>3.2357115675819892</c:v>
                </c:pt>
                <c:pt idx="381">
                  <c:v>3.2303057607978647</c:v>
                </c:pt>
                <c:pt idx="382">
                  <c:v>3.2249215564850142</c:v>
                </c:pt>
                <c:pt idx="383">
                  <c:v>3.2195588101881434</c:v>
                </c:pt>
                <c:pt idx="384">
                  <c:v>3.2142173788136938</c:v>
                </c:pt>
                <c:pt idx="385">
                  <c:v>3.2088971206132118</c:v>
                </c:pt>
                <c:pt idx="386">
                  <c:v>3.2035978951669297</c:v>
                </c:pt>
                <c:pt idx="387">
                  <c:v>3.1983195633676269</c:v>
                </c:pt>
                <c:pt idx="388">
                  <c:v>3.1930619874046973</c:v>
                </c:pt>
                <c:pt idx="389">
                  <c:v>3.1878250307484741</c:v>
                </c:pt>
                <c:pt idx="390">
                  <c:v>3.182608558134759</c:v>
                </c:pt>
                <c:pt idx="391">
                  <c:v>3.1774124355495963</c:v>
                </c:pt>
                <c:pt idx="392">
                  <c:v>3.1722365302142763</c:v>
                </c:pt>
                <c:pt idx="393">
                  <c:v>3.1670807105705165</c:v>
                </c:pt>
                <c:pt idx="394">
                  <c:v>3.161944846265913</c:v>
                </c:pt>
                <c:pt idx="395">
                  <c:v>3.156828808139553</c:v>
                </c:pt>
                <c:pt idx="396">
                  <c:v>3.1517324682078645</c:v>
                </c:pt>
                <c:pt idx="397">
                  <c:v>3.1466556996506521</c:v>
                </c:pt>
                <c:pt idx="398">
                  <c:v>3.1415983767973641</c:v>
                </c:pt>
                <c:pt idx="399">
                  <c:v>3.136560375113489</c:v>
                </c:pt>
                <c:pt idx="400">
                  <c:v>3.1315415711872494</c:v>
                </c:pt>
                <c:pt idx="401">
                  <c:v>3.1265418427163709</c:v>
                </c:pt>
                <c:pt idx="402">
                  <c:v>3.1215610684951276</c:v>
                </c:pt>
                <c:pt idx="403">
                  <c:v>3.1165991284015204</c:v>
                </c:pt>
                <c:pt idx="404">
                  <c:v>3.1116559033846771</c:v>
                </c:pt>
                <c:pt idx="405">
                  <c:v>3.1067312754523764</c:v>
                </c:pt>
                <c:pt idx="406">
                  <c:v>3.1018251276588042</c:v>
                </c:pt>
                <c:pt idx="407">
                  <c:v>3.0969373440924386</c:v>
                </c:pt>
                <c:pt idx="408">
                  <c:v>3.0920678098641412</c:v>
                </c:pt>
                <c:pt idx="409">
                  <c:v>3.0872164110953562</c:v>
                </c:pt>
                <c:pt idx="410">
                  <c:v>3.0823830349065737</c:v>
                </c:pt>
                <c:pt idx="411">
                  <c:v>3.0775675694058333</c:v>
                </c:pt>
                <c:pt idx="412">
                  <c:v>3.0727699036774783</c:v>
                </c:pt>
                <c:pt idx="413">
                  <c:v>3.0679899277710327</c:v>
                </c:pt>
                <c:pt idx="414">
                  <c:v>3.0632275326902194</c:v>
                </c:pt>
                <c:pt idx="415">
                  <c:v>3.0584826103821565</c:v>
                </c:pt>
                <c:pt idx="416">
                  <c:v>3.0537550537266802</c:v>
                </c:pt>
                <c:pt idx="417">
                  <c:v>3.0490447565258276</c:v>
                </c:pt>
                <c:pt idx="418">
                  <c:v>3.044351613493451</c:v>
                </c:pt>
                <c:pt idx="419">
                  <c:v>3.0396755202449923</c:v>
                </c:pt>
                <c:pt idx="420">
                  <c:v>3.0350163732873749</c:v>
                </c:pt>
                <c:pt idx="421">
                  <c:v>3.0303740700090493</c:v>
                </c:pt>
                <c:pt idx="422">
                  <c:v>3.0257485086701665</c:v>
                </c:pt>
                <c:pt idx="423">
                  <c:v>3.0211395883928822</c:v>
                </c:pt>
                <c:pt idx="424">
                  <c:v>3.0165472091518062</c:v>
                </c:pt>
                <c:pt idx="425">
                  <c:v>3.0119712717645521</c:v>
                </c:pt>
                <c:pt idx="426">
                  <c:v>3.0074116778824487</c:v>
                </c:pt>
                <c:pt idx="427">
                  <c:v>3.0028683299813435</c:v>
                </c:pt>
                <c:pt idx="428">
                  <c:v>2.9983411313525568</c:v>
                </c:pt>
                <c:pt idx="429">
                  <c:v>2.9938299860939308</c:v>
                </c:pt>
                <c:pt idx="430">
                  <c:v>2.9893347991010253</c:v>
                </c:pt>
                <c:pt idx="431">
                  <c:v>2.9848554760583963</c:v>
                </c:pt>
                <c:pt idx="432">
                  <c:v>2.9803919234310339</c:v>
                </c:pt>
                <c:pt idx="433">
                  <c:v>2.9759440484558737</c:v>
                </c:pt>
                <c:pt idx="434">
                  <c:v>2.9715117591334281</c:v>
                </c:pt>
                <c:pt idx="435">
                  <c:v>2.9670949642195494</c:v>
                </c:pt>
                <c:pt idx="436">
                  <c:v>2.9626935732172983</c:v>
                </c:pt>
                <c:pt idx="437">
                  <c:v>2.9583074963688638</c:v>
                </c:pt>
                <c:pt idx="438">
                  <c:v>2.9539366446476878</c:v>
                </c:pt>
                <c:pt idx="439">
                  <c:v>2.9495809297505944</c:v>
                </c:pt>
                <c:pt idx="440">
                  <c:v>2.9452402640900828</c:v>
                </c:pt>
                <c:pt idx="441">
                  <c:v>2.9409145607867075</c:v>
                </c:pt>
                <c:pt idx="442">
                  <c:v>2.9366037336615318</c:v>
                </c:pt>
                <c:pt idx="443">
                  <c:v>2.932307697228723</c:v>
                </c:pt>
                <c:pt idx="444">
                  <c:v>2.9280263666881963</c:v>
                </c:pt>
                <c:pt idx="445">
                  <c:v>2.9237596579183971</c:v>
                </c:pt>
                <c:pt idx="446">
                  <c:v>2.9195074874691387</c:v>
                </c:pt>
                <c:pt idx="447">
                  <c:v>2.9152697725545575</c:v>
                </c:pt>
                <c:pt idx="448">
                  <c:v>2.9110464310461475</c:v>
                </c:pt>
                <c:pt idx="449">
                  <c:v>2.9068373814658837</c:v>
                </c:pt>
                <c:pt idx="450">
                  <c:v>2.9026425429794411</c:v>
                </c:pt>
                <c:pt idx="451">
                  <c:v>2.8984618353894827</c:v>
                </c:pt>
                <c:pt idx="452">
                  <c:v>2.8942951791290565</c:v>
                </c:pt>
                <c:pt idx="453">
                  <c:v>2.8901424952550481</c:v>
                </c:pt>
                <c:pt idx="454">
                  <c:v>2.8860037054417518</c:v>
                </c:pt>
                <c:pt idx="455">
                  <c:v>2.8818787319744854</c:v>
                </c:pt>
                <c:pt idx="456">
                  <c:v>2.877767497743307</c:v>
                </c:pt>
                <c:pt idx="457">
                  <c:v>2.8736699262368082</c:v>
                </c:pt>
                <c:pt idx="458">
                  <c:v>2.8695859415359894</c:v>
                </c:pt>
                <c:pt idx="459">
                  <c:v>2.8655154683081863</c:v>
                </c:pt>
                <c:pt idx="460">
                  <c:v>2.8614584318011089</c:v>
                </c:pt>
                <c:pt idx="461">
                  <c:v>2.8574147578369296</c:v>
                </c:pt>
                <c:pt idx="462">
                  <c:v>2.8533843728064556</c:v>
                </c:pt>
                <c:pt idx="463">
                  <c:v>2.8493672036633675</c:v>
                </c:pt>
                <c:pt idx="464">
                  <c:v>2.8453631779185335</c:v>
                </c:pt>
                <c:pt idx="465">
                  <c:v>2.8413722236343859</c:v>
                </c:pt>
                <c:pt idx="466">
                  <c:v>2.8373942694193848</c:v>
                </c:pt>
                <c:pt idx="467">
                  <c:v>2.8334292444225309</c:v>
                </c:pt>
                <c:pt idx="468">
                  <c:v>2.8294770783279604</c:v>
                </c:pt>
                <c:pt idx="469">
                  <c:v>2.8255377013495808</c:v>
                </c:pt>
                <c:pt idx="470">
                  <c:v>2.8216110442258144</c:v>
                </c:pt>
                <c:pt idx="471">
                  <c:v>2.8176970382143662</c:v>
                </c:pt>
                <c:pt idx="472">
                  <c:v>2.8137956150870789</c:v>
                </c:pt>
                <c:pt idx="473">
                  <c:v>2.8099067071248371</c:v>
                </c:pt>
                <c:pt idx="474">
                  <c:v>2.8060302471125405</c:v>
                </c:pt>
                <c:pt idx="475">
                  <c:v>2.8021661683341472</c:v>
                </c:pt>
                <c:pt idx="476">
                  <c:v>2.7983144045677459</c:v>
                </c:pt>
                <c:pt idx="477">
                  <c:v>2.7944748900807301</c:v>
                </c:pt>
                <c:pt idx="478">
                  <c:v>2.7906475596249907</c:v>
                </c:pt>
                <c:pt idx="479">
                  <c:v>2.7868323484321906</c:v>
                </c:pt>
                <c:pt idx="480">
                  <c:v>2.7830291922090962</c:v>
                </c:pt>
                <c:pt idx="481">
                  <c:v>2.7792380271329411</c:v>
                </c:pt>
                <c:pt idx="482">
                  <c:v>2.7754587898468857</c:v>
                </c:pt>
                <c:pt idx="483">
                  <c:v>2.7716914174554823</c:v>
                </c:pt>
                <c:pt idx="484">
                  <c:v>2.7679358475202318</c:v>
                </c:pt>
                <c:pt idx="485">
                  <c:v>2.7641920180551818</c:v>
                </c:pt>
                <c:pt idx="486">
                  <c:v>2.7604598675225747</c:v>
                </c:pt>
                <c:pt idx="487">
                  <c:v>2.7567393348285334</c:v>
                </c:pt>
              </c:numCache>
            </c:numRef>
          </c:xVal>
          <c:yVal>
            <c:numRef>
              <c:f>MSY!$G$44:$G$531</c:f>
              <c:numCache>
                <c:formatCode>General</c:formatCode>
                <c:ptCount val="488"/>
                <c:pt idx="0">
                  <c:v>2.913005028995305E-3</c:v>
                </c:pt>
                <c:pt idx="1">
                  <c:v>0.27421001194999095</c:v>
                </c:pt>
                <c:pt idx="2">
                  <c:v>0.51721169699029923</c:v>
                </c:pt>
                <c:pt idx="3">
                  <c:v>0.73334707573036895</c:v>
                </c:pt>
                <c:pt idx="4">
                  <c:v>0.92622246403932762</c:v>
                </c:pt>
                <c:pt idx="5">
                  <c:v>1.0988560055474641</c:v>
                </c:pt>
                <c:pt idx="6">
                  <c:v>1.2537911815502132</c:v>
                </c:pt>
                <c:pt idx="7">
                  <c:v>1.3931851074160864</c:v>
                </c:pt>
                <c:pt idx="8">
                  <c:v>1.5188779111555804</c:v>
                </c:pt>
                <c:pt idx="9">
                  <c:v>1.6324477553588428</c:v>
                </c:pt>
                <c:pt idx="10">
                  <c:v>1.7352548489256168</c:v>
                </c:pt>
                <c:pt idx="11">
                  <c:v>1.8284769324670402</c:v>
                </c:pt>
                <c:pt idx="12">
                  <c:v>1.9131381010130972</c:v>
                </c:pt>
                <c:pt idx="13">
                  <c:v>1.9901323763742387</c:v>
                </c:pt>
                <c:pt idx="14">
                  <c:v>2.0602431095431233</c:v>
                </c:pt>
                <c:pt idx="15">
                  <c:v>2.1241590468279341</c:v>
                </c:pt>
                <c:pt idx="16">
                  <c:v>2.1824877083221685</c:v>
                </c:pt>
                <c:pt idx="17">
                  <c:v>2.2357665872037358</c:v>
                </c:pt>
                <c:pt idx="18">
                  <c:v>2.2844725713952014</c:v>
                </c:pt>
                <c:pt idx="19">
                  <c:v>2.3290299068153071</c:v>
                </c:pt>
                <c:pt idx="20">
                  <c:v>2.3698169576505226</c:v>
                </c:pt>
                <c:pt idx="21">
                  <c:v>2.4071719692663187</c:v>
                </c:pt>
                <c:pt idx="22">
                  <c:v>2.4413980002327236</c:v>
                </c:pt>
                <c:pt idx="23">
                  <c:v>2.4727671589796767</c:v>
                </c:pt>
                <c:pt idx="24">
                  <c:v>2.5015242559659843</c:v>
                </c:pt>
                <c:pt idx="25">
                  <c:v>2.5278899625363636</c:v>
                </c:pt>
                <c:pt idx="26">
                  <c:v>2.5520635517850327</c:v>
                </c:pt>
                <c:pt idx="27">
                  <c:v>2.574225283922313</c:v>
                </c:pt>
                <c:pt idx="28">
                  <c:v>2.5945384882212448</c:v>
                </c:pt>
                <c:pt idx="29">
                  <c:v>2.6131513851143549</c:v>
                </c:pt>
                <c:pt idx="30">
                  <c:v>2.6301986850341335</c:v>
                </c:pt>
                <c:pt idx="31">
                  <c:v>2.6458029948448454</c:v>
                </c:pt>
                <c:pt idx="32">
                  <c:v>2.660076057961303</c:v>
                </c:pt>
                <c:pt idx="33">
                  <c:v>2.6731198503049756</c:v>
                </c:pt>
                <c:pt idx="34">
                  <c:v>2.68502755095987</c:v>
                </c:pt>
                <c:pt idx="35">
                  <c:v>2.6958844036406253</c:v>
                </c:pt>
                <c:pt idx="36">
                  <c:v>2.7057684827772142</c:v>
                </c:pt>
                <c:pt idx="37">
                  <c:v>2.7147513760770652</c:v>
                </c:pt>
                <c:pt idx="38">
                  <c:v>2.7228987937834592</c:v>
                </c:pt>
                <c:pt idx="39">
                  <c:v>2.7302711134576918</c:v>
                </c:pt>
                <c:pt idx="40">
                  <c:v>2.7369238679299541</c:v>
                </c:pt>
                <c:pt idx="41">
                  <c:v>2.7429081830558926</c:v>
                </c:pt>
                <c:pt idx="42">
                  <c:v>2.7482711710544128</c:v>
                </c:pt>
                <c:pt idx="43">
                  <c:v>2.753056284463911</c:v>
                </c:pt>
                <c:pt idx="44">
                  <c:v>2.7573036351199294</c:v>
                </c:pt>
                <c:pt idx="45">
                  <c:v>2.761050282010856</c:v>
                </c:pt>
                <c:pt idx="46">
                  <c:v>2.7643304913966631</c:v>
                </c:pt>
                <c:pt idx="47">
                  <c:v>2.7671759721675282</c:v>
                </c:pt>
                <c:pt idx="48">
                  <c:v>2.7696160890652002</c:v>
                </c:pt>
                <c:pt idx="49">
                  <c:v>2.7716780560823366</c:v>
                </c:pt>
                <c:pt idx="50">
                  <c:v>2.7733871120870623</c:v>
                </c:pt>
                <c:pt idx="51">
                  <c:v>2.7747666804861901</c:v>
                </c:pt>
                <c:pt idx="52">
                  <c:v>2.7758385145360109</c:v>
                </c:pt>
                <c:pt idx="53">
                  <c:v>2.776622829730472</c:v>
                </c:pt>
                <c:pt idx="54">
                  <c:v>2.7771384245393005</c:v>
                </c:pt>
                <c:pt idx="55">
                  <c:v>2.7774027906304002</c:v>
                </c:pt>
                <c:pt idx="56">
                  <c:v>2.7774322135890999</c:v>
                </c:pt>
                <c:pt idx="57">
                  <c:v>2.7772418650393815</c:v>
                </c:pt>
                <c:pt idx="58">
                  <c:v>2.7768458869773545</c:v>
                </c:pt>
                <c:pt idx="59">
                  <c:v>2.7762574690431756</c:v>
                </c:pt>
                <c:pt idx="60">
                  <c:v>2.7754889193831906</c:v>
                </c:pt>
                <c:pt idx="61">
                  <c:v>2.7745517296879543</c:v>
                </c:pt>
                <c:pt idx="62">
                  <c:v>2.7734566349330398</c:v>
                </c:pt>
                <c:pt idx="63">
                  <c:v>2.7722136682972072</c:v>
                </c:pt>
                <c:pt idx="64">
                  <c:v>2.7708322116859083</c:v>
                </c:pt>
                <c:pt idx="65">
                  <c:v>2.7693210422464523</c:v>
                </c:pt>
                <c:pt idx="66">
                  <c:v>2.7676883752239747</c:v>
                </c:pt>
                <c:pt idx="67">
                  <c:v>2.7659419034740371</c:v>
                </c:pt>
                <c:pt idx="68">
                  <c:v>2.764088833917921</c:v>
                </c:pt>
                <c:pt idx="69">
                  <c:v>2.7621359211998313</c:v>
                </c:pt>
                <c:pt idx="70">
                  <c:v>2.7600894987812952</c:v>
                </c:pt>
                <c:pt idx="71">
                  <c:v>2.7579555076863955</c:v>
                </c:pt>
                <c:pt idx="72">
                  <c:v>2.7557395230920303</c:v>
                </c:pt>
                <c:pt idx="73">
                  <c:v>2.7534467789399146</c:v>
                </c:pt>
                <c:pt idx="74">
                  <c:v>2.7510821907312084</c:v>
                </c:pt>
                <c:pt idx="75">
                  <c:v>2.7486503766504313</c:v>
                </c:pt>
                <c:pt idx="76">
                  <c:v>2.7461556771523901</c:v>
                </c:pt>
                <c:pt idx="77">
                  <c:v>2.7436021731342466</c:v>
                </c:pt>
                <c:pt idx="78">
                  <c:v>2.7409937028042597</c:v>
                </c:pt>
                <c:pt idx="79">
                  <c:v>2.7383338773491808</c:v>
                </c:pt>
                <c:pt idx="80">
                  <c:v>2.7356260954936182</c:v>
                </c:pt>
                <c:pt idx="81">
                  <c:v>2.732873557036815</c:v>
                </c:pt>
                <c:pt idx="82">
                  <c:v>2.730079275445092</c:v>
                </c:pt>
                <c:pt idx="83">
                  <c:v>2.7272460895717789</c:v>
                </c:pt>
                <c:pt idx="84">
                  <c:v>2.7243766745704519</c:v>
                </c:pt>
                <c:pt idx="85">
                  <c:v>2.7214735520619575</c:v>
                </c:pt>
                <c:pt idx="86">
                  <c:v>2.7185390996107794</c:v>
                </c:pt>
                <c:pt idx="87">
                  <c:v>2.7155755595618194</c:v>
                </c:pt>
                <c:pt idx="88">
                  <c:v>2.7125850472845592</c:v>
                </c:pt>
                <c:pt idx="89">
                  <c:v>2.7095695588678503</c:v>
                </c:pt>
                <c:pt idx="90">
                  <c:v>2.7065309783051674</c:v>
                </c:pt>
                <c:pt idx="91">
                  <c:v>2.7034710842070169</c:v>
                </c:pt>
                <c:pt idx="92">
                  <c:v>2.7003915560743312</c:v>
                </c:pt>
                <c:pt idx="93">
                  <c:v>2.6972939801640901</c:v>
                </c:pt>
                <c:pt idx="94">
                  <c:v>2.6941798549759799</c:v>
                </c:pt>
                <c:pt idx="95">
                  <c:v>2.6910505963866918</c:v>
                </c:pt>
                <c:pt idx="96">
                  <c:v>2.6879075424564856</c:v>
                </c:pt>
                <c:pt idx="97">
                  <c:v>2.6847519579307395</c:v>
                </c:pt>
                <c:pt idx="98">
                  <c:v>2.6815850384575164</c:v>
                </c:pt>
                <c:pt idx="99">
                  <c:v>2.6784079145406441</c:v>
                </c:pt>
                <c:pt idx="100">
                  <c:v>2.6752216552462955</c:v>
                </c:pt>
                <c:pt idx="101">
                  <c:v>2.6720272716798115</c:v>
                </c:pt>
                <c:pt idx="102">
                  <c:v>2.6688257202482113</c:v>
                </c:pt>
                <c:pt idx="103">
                  <c:v>2.6656179057227627</c:v>
                </c:pt>
                <c:pt idx="104">
                  <c:v>2.6624046841149167</c:v>
                </c:pt>
                <c:pt idx="105">
                  <c:v>2.6591868653779756</c:v>
                </c:pt>
                <c:pt idx="106">
                  <c:v>2.6559652159459524</c:v>
                </c:pt>
                <c:pt idx="107">
                  <c:v>2.6527404611203007</c:v>
                </c:pt>
                <c:pt idx="108">
                  <c:v>2.6495132873144107</c:v>
                </c:pt>
                <c:pt idx="109">
                  <c:v>2.6462843441650725</c:v>
                </c:pt>
                <c:pt idx="110">
                  <c:v>2.6430542465194966</c:v>
                </c:pt>
                <c:pt idx="111">
                  <c:v>2.639823576305846</c:v>
                </c:pt>
                <c:pt idx="112">
                  <c:v>2.636592884294696</c:v>
                </c:pt>
                <c:pt idx="113">
                  <c:v>2.6333626917583581</c:v>
                </c:pt>
                <c:pt idx="114">
                  <c:v>2.6301334920344681</c:v>
                </c:pt>
                <c:pt idx="115">
                  <c:v>2.6269057519998813</c:v>
                </c:pt>
                <c:pt idx="116">
                  <c:v>2.6236799134604256</c:v>
                </c:pt>
                <c:pt idx="117">
                  <c:v>2.6204563944617725</c:v>
                </c:pt>
                <c:pt idx="118">
                  <c:v>2.6172355905262563</c:v>
                </c:pt>
                <c:pt idx="119">
                  <c:v>2.6140178758202182</c:v>
                </c:pt>
                <c:pt idx="120">
                  <c:v>2.6108036042560983</c:v>
                </c:pt>
                <c:pt idx="121">
                  <c:v>2.6075931105332448</c:v>
                </c:pt>
                <c:pt idx="122">
                  <c:v>2.6043867111211534</c:v>
                </c:pt>
                <c:pt idx="123">
                  <c:v>2.6011847051885759</c:v>
                </c:pt>
                <c:pt idx="124">
                  <c:v>2.5979873754817704</c:v>
                </c:pt>
                <c:pt idx="125">
                  <c:v>2.5947949891548814</c:v>
                </c:pt>
                <c:pt idx="126">
                  <c:v>2.5916077985553234</c:v>
                </c:pt>
                <c:pt idx="127">
                  <c:v>2.5884260419667839</c:v>
                </c:pt>
                <c:pt idx="128">
                  <c:v>2.5852499443123604</c:v>
                </c:pt>
                <c:pt idx="129">
                  <c:v>2.5820797178201285</c:v>
                </c:pt>
                <c:pt idx="130">
                  <c:v>2.5789155626533602</c:v>
                </c:pt>
                <c:pt idx="131">
                  <c:v>2.5757576675073821</c:v>
                </c:pt>
                <c:pt idx="132">
                  <c:v>2.572606210175044</c:v>
                </c:pt>
                <c:pt idx="133">
                  <c:v>2.56946135808256</c:v>
                </c:pt>
                <c:pt idx="134">
                  <c:v>2.5663232687974098</c:v>
                </c:pt>
                <c:pt idx="135">
                  <c:v>2.563192090509899</c:v>
                </c:pt>
                <c:pt idx="136">
                  <c:v>2.560067962489851</c:v>
                </c:pt>
                <c:pt idx="137">
                  <c:v>2.5569510155198323</c:v>
                </c:pt>
                <c:pt idx="138">
                  <c:v>2.553841372306199</c:v>
                </c:pt>
                <c:pt idx="139">
                  <c:v>2.5507391478692383</c:v>
                </c:pt>
                <c:pt idx="140">
                  <c:v>2.5476444499135096</c:v>
                </c:pt>
                <c:pt idx="141">
                  <c:v>2.5445573791795306</c:v>
                </c:pt>
                <c:pt idx="142">
                  <c:v>2.5414780297777644</c:v>
                </c:pt>
                <c:pt idx="143">
                  <c:v>2.5384064895059404</c:v>
                </c:pt>
                <c:pt idx="144">
                  <c:v>2.5353428401505522</c:v>
                </c:pt>
                <c:pt idx="145">
                  <c:v>2.5322871577734354</c:v>
                </c:pt>
                <c:pt idx="146">
                  <c:v>2.5292395129841876</c:v>
                </c:pt>
                <c:pt idx="147">
                  <c:v>2.5261999711992158</c:v>
                </c:pt>
                <c:pt idx="148">
                  <c:v>2.523168592888108</c:v>
                </c:pt>
                <c:pt idx="149">
                  <c:v>2.5201454338079996</c:v>
                </c:pt>
                <c:pt idx="150">
                  <c:v>2.5171305452265846</c:v>
                </c:pt>
                <c:pt idx="151">
                  <c:v>2.5141239741343333</c:v>
                </c:pt>
                <c:pt idx="152">
                  <c:v>2.5111257634465289</c:v>
                </c:pt>
                <c:pt idx="153">
                  <c:v>2.5081359521955942</c:v>
                </c:pt>
                <c:pt idx="154">
                  <c:v>2.5051545757142759</c:v>
                </c:pt>
                <c:pt idx="155">
                  <c:v>2.5021816658100842</c:v>
                </c:pt>
                <c:pt idx="156">
                  <c:v>2.4992172509315118</c:v>
                </c:pt>
                <c:pt idx="157">
                  <c:v>2.4962613563263854</c:v>
                </c:pt>
                <c:pt idx="158">
                  <c:v>2.4933140041928024</c:v>
                </c:pt>
                <c:pt idx="159">
                  <c:v>2.4903752138229835</c:v>
                </c:pt>
                <c:pt idx="160">
                  <c:v>2.4874450017404386</c:v>
                </c:pt>
                <c:pt idx="161">
                  <c:v>2.4845233818307402</c:v>
                </c:pt>
                <c:pt idx="162">
                  <c:v>2.4816103654662647</c:v>
                </c:pt>
                <c:pt idx="163">
                  <c:v>2.4787059616251703</c:v>
                </c:pt>
                <c:pt idx="164">
                  <c:v>2.4758101770049046</c:v>
                </c:pt>
                <c:pt idx="165">
                  <c:v>2.4729230161305233</c:v>
                </c:pt>
                <c:pt idx="166">
                  <c:v>2.4700444814580553</c:v>
                </c:pt>
                <c:pt idx="167">
                  <c:v>2.4671745734731747</c:v>
                </c:pt>
                <c:pt idx="168">
                  <c:v>2.4643132907853924</c:v>
                </c:pt>
                <c:pt idx="169">
                  <c:v>2.4614606302179918</c:v>
                </c:pt>
                <c:pt idx="170">
                  <c:v>2.458616586893918</c:v>
                </c:pt>
                <c:pt idx="171">
                  <c:v>2.4557811543177963</c:v>
                </c:pt>
                <c:pt idx="172">
                  <c:v>2.4529543244542977</c:v>
                </c:pt>
                <c:pt idx="173">
                  <c:v>2.4501360878029823</c:v>
                </c:pt>
                <c:pt idx="174">
                  <c:v>2.4473264334698293</c:v>
                </c:pt>
                <c:pt idx="175">
                  <c:v>2.4445253492355783</c:v>
                </c:pt>
                <c:pt idx="176">
                  <c:v>2.4417328216210561</c:v>
                </c:pt>
                <c:pt idx="177">
                  <c:v>2.4389488359496063</c:v>
                </c:pt>
                <c:pt idx="178">
                  <c:v>2.436173376406777</c:v>
                </c:pt>
                <c:pt idx="179">
                  <c:v>2.4334064260973842</c:v>
                </c:pt>
                <c:pt idx="180">
                  <c:v>2.4306479671000734</c:v>
                </c:pt>
                <c:pt idx="181">
                  <c:v>2.4278979805194907</c:v>
                </c:pt>
                <c:pt idx="182">
                  <c:v>2.4251564465361848</c:v>
                </c:pt>
                <c:pt idx="183">
                  <c:v>2.4224233444543342</c:v>
                </c:pt>
                <c:pt idx="184">
                  <c:v>2.4196986527473929</c:v>
                </c:pt>
                <c:pt idx="185">
                  <c:v>2.4169823491017652</c:v>
                </c:pt>
                <c:pt idx="186">
                  <c:v>2.4142744104585887</c:v>
                </c:pt>
                <c:pt idx="187">
                  <c:v>2.4115748130537074</c:v>
                </c:pt>
                <c:pt idx="188">
                  <c:v>2.4088835324559188</c:v>
                </c:pt>
                <c:pt idx="189">
                  <c:v>2.4062005436035885</c:v>
                </c:pt>
                <c:pt idx="190">
                  <c:v>2.4035258208396661</c:v>
                </c:pt>
                <c:pt idx="191">
                  <c:v>2.4008593379452199</c:v>
                </c:pt>
                <c:pt idx="192">
                  <c:v>2.3982010681715193</c:v>
                </c:pt>
                <c:pt idx="193">
                  <c:v>2.3955509842707423</c:v>
                </c:pt>
                <c:pt idx="194">
                  <c:v>2.392909058525384</c:v>
                </c:pt>
                <c:pt idx="195">
                  <c:v>2.3902752627763841</c:v>
                </c:pt>
                <c:pt idx="196">
                  <c:v>2.3876495684500734</c:v>
                </c:pt>
                <c:pt idx="197">
                  <c:v>2.3850319465839553</c:v>
                </c:pt>
                <c:pt idx="198">
                  <c:v>2.3824223678514005</c:v>
                </c:pt>
                <c:pt idx="199">
                  <c:v>2.3798208025852712</c:v>
                </c:pt>
                <c:pt idx="200">
                  <c:v>2.3772272208005547</c:v>
                </c:pt>
                <c:pt idx="201">
                  <c:v>2.3746415922160229</c:v>
                </c:pt>
                <c:pt idx="202">
                  <c:v>2.3720638862749714</c:v>
                </c:pt>
                <c:pt idx="203">
                  <c:v>2.3694940721650681</c:v>
                </c:pt>
                <c:pt idx="204">
                  <c:v>2.3669321188373718</c:v>
                </c:pt>
                <c:pt idx="205">
                  <c:v>2.3643779950245198</c:v>
                </c:pt>
                <c:pt idx="206">
                  <c:v>2.3618316692581445</c:v>
                </c:pt>
                <c:pt idx="207">
                  <c:v>2.3592931098855612</c:v>
                </c:pt>
                <c:pt idx="208">
                  <c:v>2.3567622850857233</c:v>
                </c:pt>
                <c:pt idx="209">
                  <c:v>2.3542391628845007</c:v>
                </c:pt>
                <c:pt idx="210">
                  <c:v>2.3517237111693148</c:v>
                </c:pt>
                <c:pt idx="211">
                  <c:v>2.3492158977031212</c:v>
                </c:pt>
                <c:pt idx="212">
                  <c:v>2.346715690137823</c:v>
                </c:pt>
                <c:pt idx="213">
                  <c:v>2.3442230560270798</c:v>
                </c:pt>
                <c:pt idx="214">
                  <c:v>2.3417379628385757</c:v>
                </c:pt>
                <c:pt idx="215">
                  <c:v>2.3392603779657666</c:v>
                </c:pt>
                <c:pt idx="216">
                  <c:v>2.3367902687390947</c:v>
                </c:pt>
                <c:pt idx="217">
                  <c:v>2.3343276024367423</c:v>
                </c:pt>
                <c:pt idx="218">
                  <c:v>2.3318723462949018</c:v>
                </c:pt>
                <c:pt idx="219">
                  <c:v>2.3294244675175992</c:v>
                </c:pt>
                <c:pt idx="220">
                  <c:v>2.3269839332860918</c:v>
                </c:pt>
                <c:pt idx="221">
                  <c:v>2.3245507107678489</c:v>
                </c:pt>
                <c:pt idx="222">
                  <c:v>2.3221247671251466</c:v>
                </c:pt>
                <c:pt idx="223">
                  <c:v>2.3197060695232561</c:v>
                </c:pt>
                <c:pt idx="224">
                  <c:v>2.3172945851383036</c:v>
                </c:pt>
                <c:pt idx="225">
                  <c:v>2.3148902811647543</c:v>
                </c:pt>
                <c:pt idx="226">
                  <c:v>2.312493124822566</c:v>
                </c:pt>
                <c:pt idx="227">
                  <c:v>2.3101030833640213</c:v>
                </c:pt>
                <c:pt idx="228">
                  <c:v>2.3077201240802561</c:v>
                </c:pt>
                <c:pt idx="229">
                  <c:v>2.3053442143074792</c:v>
                </c:pt>
                <c:pt idx="230">
                  <c:v>2.3029753214329207</c:v>
                </c:pt>
                <c:pt idx="231">
                  <c:v>2.3006134129004852</c:v>
                </c:pt>
                <c:pt idx="232">
                  <c:v>2.2982584562161654</c:v>
                </c:pt>
                <c:pt idx="233">
                  <c:v>2.2959104189531905</c:v>
                </c:pt>
                <c:pt idx="234">
                  <c:v>2.2935692687569289</c:v>
                </c:pt>
                <c:pt idx="235">
                  <c:v>2.2912349733495683</c:v>
                </c:pt>
                <c:pt idx="236">
                  <c:v>2.2889075005345596</c:v>
                </c:pt>
                <c:pt idx="237">
                  <c:v>2.286586818200862</c:v>
                </c:pt>
                <c:pt idx="238">
                  <c:v>2.2842728943269606</c:v>
                </c:pt>
                <c:pt idx="239">
                  <c:v>2.2819656969847042</c:v>
                </c:pt>
                <c:pt idx="240">
                  <c:v>2.2796651943429409</c:v>
                </c:pt>
                <c:pt idx="241">
                  <c:v>2.2773713546709815</c:v>
                </c:pt>
                <c:pt idx="242">
                  <c:v>2.2750841463418712</c:v>
                </c:pt>
                <c:pt idx="243">
                  <c:v>2.2728035378355074</c:v>
                </c:pt>
                <c:pt idx="244">
                  <c:v>2.27052949774159</c:v>
                </c:pt>
                <c:pt idx="245">
                  <c:v>2.2682619947624092</c:v>
                </c:pt>
                <c:pt idx="246">
                  <c:v>2.2660009977154978</c:v>
                </c:pt>
                <c:pt idx="247">
                  <c:v>2.263746475536121</c:v>
                </c:pt>
                <c:pt idx="248">
                  <c:v>2.2614983972796501</c:v>
                </c:pt>
                <c:pt idx="249">
                  <c:v>2.2592567321237831</c:v>
                </c:pt>
                <c:pt idx="250">
                  <c:v>2.2570214493706424</c:v>
                </c:pt>
                <c:pt idx="251">
                  <c:v>2.254792518448768</c:v>
                </c:pt>
                <c:pt idx="252">
                  <c:v>2.2525699089149613</c:v>
                </c:pt>
                <c:pt idx="253">
                  <c:v>2.2503535904560477</c:v>
                </c:pt>
                <c:pt idx="254">
                  <c:v>2.2481435328905053</c:v>
                </c:pt>
                <c:pt idx="255">
                  <c:v>2.2459397061700024</c:v>
                </c:pt>
                <c:pt idx="256">
                  <c:v>2.2437420803808341</c:v>
                </c:pt>
                <c:pt idx="257">
                  <c:v>2.241550625745262</c:v>
                </c:pt>
                <c:pt idx="258">
                  <c:v>2.2393653126227533</c:v>
                </c:pt>
                <c:pt idx="259">
                  <c:v>2.2371861115111429</c:v>
                </c:pt>
                <c:pt idx="260">
                  <c:v>2.2350129930476998</c:v>
                </c:pt>
                <c:pt idx="261">
                  <c:v>2.2328459280101232</c:v>
                </c:pt>
                <c:pt idx="262">
                  <c:v>2.2306848873174485</c:v>
                </c:pt>
                <c:pt idx="263">
                  <c:v>2.2285298420308846</c:v>
                </c:pt>
                <c:pt idx="264">
                  <c:v>2.2263807633545714</c:v>
                </c:pt>
                <c:pt idx="265">
                  <c:v>2.2242376226362826</c:v>
                </c:pt>
                <c:pt idx="266">
                  <c:v>2.2221003913680413</c:v>
                </c:pt>
                <c:pt idx="267">
                  <c:v>2.2199690411866873</c:v>
                </c:pt>
                <c:pt idx="268">
                  <c:v>2.2178435438743764</c:v>
                </c:pt>
                <c:pt idx="269">
                  <c:v>2.2157238713590237</c:v>
                </c:pt>
                <c:pt idx="270">
                  <c:v>2.2136099957146835</c:v>
                </c:pt>
                <c:pt idx="271">
                  <c:v>2.2115018891618812</c:v>
                </c:pt>
                <c:pt idx="272">
                  <c:v>2.209399524067893</c:v>
                </c:pt>
                <c:pt idx="273">
                  <c:v>2.2073028729469706</c:v>
                </c:pt>
                <c:pt idx="274">
                  <c:v>2.2052119084605222</c:v>
                </c:pt>
                <c:pt idx="275">
                  <c:v>2.2031266034172483</c:v>
                </c:pt>
                <c:pt idx="276">
                  <c:v>2.2010469307732272</c:v>
                </c:pt>
                <c:pt idx="277">
                  <c:v>2.198972863631965</c:v>
                </c:pt>
                <c:pt idx="278">
                  <c:v>2.1969043752444</c:v>
                </c:pt>
                <c:pt idx="279">
                  <c:v>2.1948414390088713</c:v>
                </c:pt>
                <c:pt idx="280">
                  <c:v>2.1927840284710527</c:v>
                </c:pt>
                <c:pt idx="281">
                  <c:v>2.1907321173238419</c:v>
                </c:pt>
                <c:pt idx="282">
                  <c:v>2.1886856794072247</c:v>
                </c:pt>
                <c:pt idx="283">
                  <c:v>2.1866446887081041</c:v>
                </c:pt>
                <c:pt idx="284">
                  <c:v>2.1846091193600934</c:v>
                </c:pt>
                <c:pt idx="285">
                  <c:v>2.182578945643288</c:v>
                </c:pt>
                <c:pt idx="286">
                  <c:v>2.180554141984</c:v>
                </c:pt>
                <c:pt idx="287">
                  <c:v>2.1785346829544689</c:v>
                </c:pt>
                <c:pt idx="288">
                  <c:v>2.1765205432725527</c:v>
                </c:pt>
                <c:pt idx="289">
                  <c:v>2.1745116978013801</c:v>
                </c:pt>
                <c:pt idx="290">
                  <c:v>2.1725081215489914</c:v>
                </c:pt>
                <c:pt idx="291">
                  <c:v>2.1705097896679488</c:v>
                </c:pt>
                <c:pt idx="292">
                  <c:v>2.1685166774549343</c:v>
                </c:pt>
                <c:pt idx="293">
                  <c:v>2.1665287603503134</c:v>
                </c:pt>
                <c:pt idx="294">
                  <c:v>2.1645460139376893</c:v>
                </c:pt>
                <c:pt idx="295">
                  <c:v>2.1625684139434362</c:v>
                </c:pt>
                <c:pt idx="296">
                  <c:v>2.1605959362362146</c:v>
                </c:pt>
                <c:pt idx="297">
                  <c:v>2.1586285568264665</c:v>
                </c:pt>
                <c:pt idx="298">
                  <c:v>2.1566662518658961</c:v>
                </c:pt>
                <c:pt idx="299">
                  <c:v>2.1547089976469413</c:v>
                </c:pt>
                <c:pt idx="300">
                  <c:v>2.1527567706022155</c:v>
                </c:pt>
                <c:pt idx="301">
                  <c:v>2.1508095473039561</c:v>
                </c:pt>
                <c:pt idx="302">
                  <c:v>2.1488673044634381</c:v>
                </c:pt>
                <c:pt idx="303">
                  <c:v>2.1469300189303979</c:v>
                </c:pt>
                <c:pt idx="304">
                  <c:v>2.1449976676924178</c:v>
                </c:pt>
                <c:pt idx="305">
                  <c:v>2.1430702278743303</c:v>
                </c:pt>
                <c:pt idx="306">
                  <c:v>2.1411476767375839</c:v>
                </c:pt>
                <c:pt idx="307">
                  <c:v>2.1392299916796178</c:v>
                </c:pt>
                <c:pt idx="308">
                  <c:v>2.1373171502332227</c:v>
                </c:pt>
                <c:pt idx="309">
                  <c:v>2.1354091300658822</c:v>
                </c:pt>
                <c:pt idx="310">
                  <c:v>2.1335059089791244</c:v>
                </c:pt>
                <c:pt idx="311">
                  <c:v>2.1316074649078467</c:v>
                </c:pt>
                <c:pt idx="312">
                  <c:v>2.1297137759196496</c:v>
                </c:pt>
                <c:pt idx="313">
                  <c:v>2.1278248202141516</c:v>
                </c:pt>
                <c:pt idx="314">
                  <c:v>2.1259405761223058</c:v>
                </c:pt>
                <c:pt idx="315">
                  <c:v>2.1240610221057028</c:v>
                </c:pt>
                <c:pt idx="316">
                  <c:v>2.1221861367558783</c:v>
                </c:pt>
                <c:pt idx="317">
                  <c:v>2.1203158987936055</c:v>
                </c:pt>
                <c:pt idx="318">
                  <c:v>2.1184502870681867</c:v>
                </c:pt>
                <c:pt idx="319">
                  <c:v>2.1165892805567466</c:v>
                </c:pt>
                <c:pt idx="320">
                  <c:v>2.1147328583635066</c:v>
                </c:pt>
                <c:pt idx="321">
                  <c:v>2.1128809997190743</c:v>
                </c:pt>
                <c:pt idx="322">
                  <c:v>2.1110336839797146</c:v>
                </c:pt>
                <c:pt idx="323">
                  <c:v>2.1091908906266217</c:v>
                </c:pt>
                <c:pt idx="324">
                  <c:v>2.1073525992651971</c:v>
                </c:pt>
                <c:pt idx="325">
                  <c:v>2.1055187896243126</c:v>
                </c:pt>
                <c:pt idx="326">
                  <c:v>2.1036894415555776</c:v>
                </c:pt>
                <c:pt idx="327">
                  <c:v>2.1018645350326071</c:v>
                </c:pt>
                <c:pt idx="328">
                  <c:v>2.1000440501502773</c:v>
                </c:pt>
                <c:pt idx="329">
                  <c:v>2.0982279671240014</c:v>
                </c:pt>
                <c:pt idx="330">
                  <c:v>2.0964162662889705</c:v>
                </c:pt>
                <c:pt idx="331">
                  <c:v>2.094608928099436</c:v>
                </c:pt>
                <c:pt idx="332">
                  <c:v>2.0928059331279489</c:v>
                </c:pt>
                <c:pt idx="333">
                  <c:v>2.0910072620646343</c:v>
                </c:pt>
                <c:pt idx="334">
                  <c:v>2.08921289571644</c:v>
                </c:pt>
                <c:pt idx="335">
                  <c:v>2.0874228150064007</c:v>
                </c:pt>
                <c:pt idx="336">
                  <c:v>2.0856370009728988</c:v>
                </c:pt>
                <c:pt idx="337">
                  <c:v>2.0838554347689153</c:v>
                </c:pt>
                <c:pt idx="338">
                  <c:v>2.0820780976613018</c:v>
                </c:pt>
                <c:pt idx="339">
                  <c:v>2.0803049710300319</c:v>
                </c:pt>
                <c:pt idx="340">
                  <c:v>2.0785360363674701</c:v>
                </c:pt>
                <c:pt idx="341">
                  <c:v>2.0767712752776268</c:v>
                </c:pt>
                <c:pt idx="342">
                  <c:v>2.0750106694754331</c:v>
                </c:pt>
                <c:pt idx="343">
                  <c:v>2.0732542007859989</c:v>
                </c:pt>
                <c:pt idx="344">
                  <c:v>2.0715018511438781</c:v>
                </c:pt>
                <c:pt idx="345">
                  <c:v>2.0697536025923475</c:v>
                </c:pt>
                <c:pt idx="346">
                  <c:v>2.0680094372826665</c:v>
                </c:pt>
                <c:pt idx="347">
                  <c:v>2.0662693374733574</c:v>
                </c:pt>
                <c:pt idx="348">
                  <c:v>2.0645332855294747</c:v>
                </c:pt>
                <c:pt idx="349">
                  <c:v>2.0628012639218842</c:v>
                </c:pt>
                <c:pt idx="350">
                  <c:v>2.0610732552265412</c:v>
                </c:pt>
                <c:pt idx="351">
                  <c:v>2.0593492421237722</c:v>
                </c:pt>
                <c:pt idx="352">
                  <c:v>2.0576292073975604</c:v>
                </c:pt>
                <c:pt idx="353">
                  <c:v>2.0559131339348258</c:v>
                </c:pt>
                <c:pt idx="354">
                  <c:v>2.0542010047247214</c:v>
                </c:pt>
                <c:pt idx="355">
                  <c:v>2.0524928028579166</c:v>
                </c:pt>
                <c:pt idx="356">
                  <c:v>2.050788511525901</c:v>
                </c:pt>
                <c:pt idx="357">
                  <c:v>2.049088114020273</c:v>
                </c:pt>
                <c:pt idx="358">
                  <c:v>2.0473915937320437</c:v>
                </c:pt>
                <c:pt idx="359">
                  <c:v>2.0456989341509382</c:v>
                </c:pt>
                <c:pt idx="360">
                  <c:v>2.0440101188647035</c:v>
                </c:pt>
                <c:pt idx="361">
                  <c:v>2.0423251315584179</c:v>
                </c:pt>
                <c:pt idx="362">
                  <c:v>2.0406439560137994</c:v>
                </c:pt>
                <c:pt idx="363">
                  <c:v>2.0389665761085238</c:v>
                </c:pt>
                <c:pt idx="364">
                  <c:v>2.0372929758155465</c:v>
                </c:pt>
                <c:pt idx="365">
                  <c:v>2.0356231392024173</c:v>
                </c:pt>
                <c:pt idx="366">
                  <c:v>2.0339570504306121</c:v>
                </c:pt>
                <c:pt idx="367">
                  <c:v>2.03229469375486</c:v>
                </c:pt>
                <c:pt idx="368">
                  <c:v>2.0306360535224748</c:v>
                </c:pt>
                <c:pt idx="369">
                  <c:v>2.0289811141726912</c:v>
                </c:pt>
                <c:pt idx="370">
                  <c:v>2.0273298602360033</c:v>
                </c:pt>
                <c:pt idx="371">
                  <c:v>2.0256822763335109</c:v>
                </c:pt>
                <c:pt idx="372">
                  <c:v>2.0240383471762611</c:v>
                </c:pt>
                <c:pt idx="373">
                  <c:v>2.0223980575646032</c:v>
                </c:pt>
                <c:pt idx="374">
                  <c:v>2.0207613923875409</c:v>
                </c:pt>
                <c:pt idx="375">
                  <c:v>2.0191283366220865</c:v>
                </c:pt>
                <c:pt idx="376">
                  <c:v>2.0174988753326253</c:v>
                </c:pt>
                <c:pt idx="377">
                  <c:v>2.0158729936702855</c:v>
                </c:pt>
                <c:pt idx="378">
                  <c:v>2.0142506768722916</c:v>
                </c:pt>
                <c:pt idx="379">
                  <c:v>2.0126319102613572</c:v>
                </c:pt>
                <c:pt idx="380">
                  <c:v>2.0110166792450461</c:v>
                </c:pt>
                <c:pt idx="381">
                  <c:v>2.0094049693151579</c:v>
                </c:pt>
                <c:pt idx="382">
                  <c:v>2.0077967660471101</c:v>
                </c:pt>
                <c:pt idx="383">
                  <c:v>2.0061920550993291</c:v>
                </c:pt>
                <c:pt idx="384">
                  <c:v>2.0045908222126387</c:v>
                </c:pt>
                <c:pt idx="385">
                  <c:v>2.002993053209658</c:v>
                </c:pt>
                <c:pt idx="386">
                  <c:v>2.001398733994197</c:v>
                </c:pt>
                <c:pt idx="387">
                  <c:v>1.9998078505506627</c:v>
                </c:pt>
                <c:pt idx="388">
                  <c:v>1.9982203889434662</c:v>
                </c:pt>
                <c:pt idx="389">
                  <c:v>1.9966363353164334</c:v>
                </c:pt>
                <c:pt idx="390">
                  <c:v>1.9950556758922176</c:v>
                </c:pt>
                <c:pt idx="391">
                  <c:v>1.9934783969717196</c:v>
                </c:pt>
                <c:pt idx="392">
                  <c:v>1.9919044849335144</c:v>
                </c:pt>
                <c:pt idx="393">
                  <c:v>1.9903339262332671</c:v>
                </c:pt>
                <c:pt idx="394">
                  <c:v>1.9887667074031761</c:v>
                </c:pt>
                <c:pt idx="395">
                  <c:v>1.9872028150513985</c:v>
                </c:pt>
                <c:pt idx="396">
                  <c:v>1.9856422358614902</c:v>
                </c:pt>
                <c:pt idx="397">
                  <c:v>1.9840849565918477</c:v>
                </c:pt>
                <c:pt idx="398">
                  <c:v>1.9825309640751607</c:v>
                </c:pt>
                <c:pt idx="399">
                  <c:v>1.9809802452178444</c:v>
                </c:pt>
                <c:pt idx="400">
                  <c:v>1.9794327869995172</c:v>
                </c:pt>
                <c:pt idx="401">
                  <c:v>1.9778885764724374</c:v>
                </c:pt>
                <c:pt idx="402">
                  <c:v>1.9763476007609737</c:v>
                </c:pt>
                <c:pt idx="403">
                  <c:v>1.9748098470610702</c:v>
                </c:pt>
                <c:pt idx="404">
                  <c:v>1.9732753026397156</c:v>
                </c:pt>
                <c:pt idx="405">
                  <c:v>1.9717439548344109</c:v>
                </c:pt>
                <c:pt idx="406">
                  <c:v>1.970215791052653</c:v>
                </c:pt>
                <c:pt idx="407">
                  <c:v>1.9686907987714102</c:v>
                </c:pt>
                <c:pt idx="408">
                  <c:v>1.9671689655366111</c:v>
                </c:pt>
                <c:pt idx="409">
                  <c:v>1.9656502789626225</c:v>
                </c:pt>
                <c:pt idx="410">
                  <c:v>1.9641347267317548</c:v>
                </c:pt>
                <c:pt idx="411">
                  <c:v>1.9626222965937494</c:v>
                </c:pt>
                <c:pt idx="412">
                  <c:v>1.9611129763652748</c:v>
                </c:pt>
                <c:pt idx="413">
                  <c:v>1.9596067539294411</c:v>
                </c:pt>
                <c:pt idx="414">
                  <c:v>1.9581036172352941</c:v>
                </c:pt>
                <c:pt idx="415">
                  <c:v>1.9566035542973339</c:v>
                </c:pt>
                <c:pt idx="416">
                  <c:v>1.9551065531950245</c:v>
                </c:pt>
                <c:pt idx="417">
                  <c:v>1.953612602072315</c:v>
                </c:pt>
                <c:pt idx="418">
                  <c:v>1.9521216891371602</c:v>
                </c:pt>
                <c:pt idx="419">
                  <c:v>1.9506338026610404</c:v>
                </c:pt>
                <c:pt idx="420">
                  <c:v>1.9491489309784982</c:v>
                </c:pt>
                <c:pt idx="421">
                  <c:v>1.9476670624866659</c:v>
                </c:pt>
                <c:pt idx="422">
                  <c:v>1.9461881856448024</c:v>
                </c:pt>
                <c:pt idx="423">
                  <c:v>1.944712288973832</c:v>
                </c:pt>
                <c:pt idx="424">
                  <c:v>1.9432393610558891</c:v>
                </c:pt>
                <c:pt idx="425">
                  <c:v>1.9417693905338638</c:v>
                </c:pt>
                <c:pt idx="426">
                  <c:v>1.94030236611095</c:v>
                </c:pt>
                <c:pt idx="427">
                  <c:v>1.9388382765502032</c:v>
                </c:pt>
                <c:pt idx="428">
                  <c:v>1.9373771106740938</c:v>
                </c:pt>
                <c:pt idx="429">
                  <c:v>1.9359188573640693</c:v>
                </c:pt>
                <c:pt idx="430">
                  <c:v>1.9344635055601176</c:v>
                </c:pt>
                <c:pt idx="431">
                  <c:v>1.9330110442603348</c:v>
                </c:pt>
                <c:pt idx="432">
                  <c:v>1.931561462520496</c:v>
                </c:pt>
                <c:pt idx="433">
                  <c:v>1.9301147494536328</c:v>
                </c:pt>
                <c:pt idx="434">
                  <c:v>1.928670894229602</c:v>
                </c:pt>
                <c:pt idx="435">
                  <c:v>1.927229886074673</c:v>
                </c:pt>
                <c:pt idx="436">
                  <c:v>1.9257917142711185</c:v>
                </c:pt>
                <c:pt idx="437">
                  <c:v>1.924356368156785</c:v>
                </c:pt>
                <c:pt idx="438">
                  <c:v>1.9229238371246999</c:v>
                </c:pt>
                <c:pt idx="439">
                  <c:v>1.921494110622658</c:v>
                </c:pt>
                <c:pt idx="440">
                  <c:v>1.9200671781528189</c:v>
                </c:pt>
                <c:pt idx="441">
                  <c:v>1.9186430292713135</c:v>
                </c:pt>
                <c:pt idx="442">
                  <c:v>1.9172216535878364</c:v>
                </c:pt>
                <c:pt idx="443">
                  <c:v>1.9158030407652675</c:v>
                </c:pt>
                <c:pt idx="444">
                  <c:v>1.9143871805192703</c:v>
                </c:pt>
                <c:pt idx="445">
                  <c:v>1.9129740626179126</c:v>
                </c:pt>
                <c:pt idx="446">
                  <c:v>1.9115636768812787</c:v>
                </c:pt>
                <c:pt idx="447">
                  <c:v>1.9101560131810926</c:v>
                </c:pt>
                <c:pt idx="448">
                  <c:v>1.9087510614403376</c:v>
                </c:pt>
                <c:pt idx="449">
                  <c:v>1.9073488116328867</c:v>
                </c:pt>
                <c:pt idx="450">
                  <c:v>1.9059492537831269</c:v>
                </c:pt>
                <c:pt idx="451">
                  <c:v>1.9045523779655928</c:v>
                </c:pt>
                <c:pt idx="452">
                  <c:v>1.9031581743046031</c:v>
                </c:pt>
                <c:pt idx="453">
                  <c:v>1.9017666329738951</c:v>
                </c:pt>
                <c:pt idx="454">
                  <c:v>1.9003777441962715</c:v>
                </c:pt>
                <c:pt idx="455">
                  <c:v>1.8989914982432388</c:v>
                </c:pt>
                <c:pt idx="456">
                  <c:v>1.8976078854346563</c:v>
                </c:pt>
                <c:pt idx="457">
                  <c:v>1.8962268961383859</c:v>
                </c:pt>
                <c:pt idx="458">
                  <c:v>1.8948485207699495</c:v>
                </c:pt>
                <c:pt idx="459">
                  <c:v>1.8934727497921737</c:v>
                </c:pt>
                <c:pt idx="460">
                  <c:v>1.8920995737148565</c:v>
                </c:pt>
                <c:pt idx="461">
                  <c:v>1.8907289830944294</c:v>
                </c:pt>
                <c:pt idx="462">
                  <c:v>1.8893609685336163</c:v>
                </c:pt>
                <c:pt idx="463">
                  <c:v>1.887995520681105</c:v>
                </c:pt>
                <c:pt idx="464">
                  <c:v>1.8866326302312146</c:v>
                </c:pt>
                <c:pt idx="465">
                  <c:v>1.8852722879235679</c:v>
                </c:pt>
                <c:pt idx="466">
                  <c:v>1.8839144845427664</c:v>
                </c:pt>
                <c:pt idx="467">
                  <c:v>1.8825592109180707</c:v>
                </c:pt>
                <c:pt idx="468">
                  <c:v>1.8812064579230809</c:v>
                </c:pt>
                <c:pt idx="469">
                  <c:v>1.8798562164754142</c:v>
                </c:pt>
                <c:pt idx="470">
                  <c:v>1.8785084775363985</c:v>
                </c:pt>
                <c:pt idx="471">
                  <c:v>1.8771632321107572</c:v>
                </c:pt>
                <c:pt idx="472">
                  <c:v>1.8758204712463005</c:v>
                </c:pt>
                <c:pt idx="473">
                  <c:v>1.8744801860336213</c:v>
                </c:pt>
                <c:pt idx="474">
                  <c:v>1.8731423676057868</c:v>
                </c:pt>
                <c:pt idx="475">
                  <c:v>1.8718070071380453</c:v>
                </c:pt>
                <c:pt idx="476">
                  <c:v>1.8704740958475212</c:v>
                </c:pt>
                <c:pt idx="477">
                  <c:v>1.8691436249929207</c:v>
                </c:pt>
                <c:pt idx="478">
                  <c:v>1.8678155858742407</c:v>
                </c:pt>
                <c:pt idx="479">
                  <c:v>1.8664899698324726</c:v>
                </c:pt>
                <c:pt idx="480">
                  <c:v>1.865166768249322</c:v>
                </c:pt>
                <c:pt idx="481">
                  <c:v>1.8638459725469143</c:v>
                </c:pt>
                <c:pt idx="482">
                  <c:v>1.8625275741875194</c:v>
                </c:pt>
                <c:pt idx="483">
                  <c:v>1.8612115646732621</c:v>
                </c:pt>
                <c:pt idx="484">
                  <c:v>1.8598979355458469</c:v>
                </c:pt>
                <c:pt idx="485">
                  <c:v>1.8585866783862846</c:v>
                </c:pt>
                <c:pt idx="486">
                  <c:v>1.8572777848146169</c:v>
                </c:pt>
                <c:pt idx="487">
                  <c:v>1.8559712464896387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48-4890-A636-E825EBCA7199}"/>
            </c:ext>
          </c:extLst>
        </c:ser>
        <c:ser>
          <c:idx val="1"/>
          <c:order val="1"/>
          <c:tx>
            <c:v>vert</c:v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(MSY!$E$26,MSY!$E$26)</c:f>
              <c:numCache>
                <c:formatCode>General</c:formatCode>
                <c:ptCount val="2"/>
                <c:pt idx="0">
                  <c:v>10.474357477658216</c:v>
                </c:pt>
                <c:pt idx="1">
                  <c:v>10.474357477658216</c:v>
                </c:pt>
              </c:numCache>
            </c:numRef>
          </c:xVal>
          <c:yVal>
            <c:numRef>
              <c:f>(MSY!$X$44,MSY!$E$25)</c:f>
              <c:numCache>
                <c:formatCode>General</c:formatCode>
                <c:ptCount val="2"/>
                <c:pt idx="0">
                  <c:v>0</c:v>
                </c:pt>
                <c:pt idx="1">
                  <c:v>2.7774322135890999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48-4890-A636-E825EBCA7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38640"/>
        <c:axId val="897235688"/>
      </c:scatterChart>
      <c:valAx>
        <c:axId val="897238640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Equilibrium SSB (kt)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5688"/>
        <c:crosses val="autoZero"/>
        <c:crossBetween val="midCat"/>
      </c:valAx>
      <c:valAx>
        <c:axId val="8972356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Yield (kt)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864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2799650043744"/>
          <c:y val="4.1666666666666664E-2"/>
          <c:w val="0.84096500437445332"/>
          <c:h val="0.7963888888888889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MSY!$A$44:$A$294</c:f>
              <c:numCache>
                <c:formatCode>General</c:formatCode>
                <c:ptCount val="251"/>
                <c:pt idx="0">
                  <c:v>1E-4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0.630000000000001</c:v>
                </c:pt>
                <c:pt idx="64">
                  <c:v>0.64000000000000101</c:v>
                </c:pt>
                <c:pt idx="65">
                  <c:v>0.65000000000000102</c:v>
                </c:pt>
                <c:pt idx="66">
                  <c:v>0.66000000000000103</c:v>
                </c:pt>
                <c:pt idx="67">
                  <c:v>0.67000000000000104</c:v>
                </c:pt>
                <c:pt idx="68">
                  <c:v>0.68000000000000105</c:v>
                </c:pt>
                <c:pt idx="69">
                  <c:v>0.69000000000000095</c:v>
                </c:pt>
                <c:pt idx="70">
                  <c:v>0.70000000000000095</c:v>
                </c:pt>
                <c:pt idx="71">
                  <c:v>0.71000000000000096</c:v>
                </c:pt>
                <c:pt idx="72">
                  <c:v>0.72000000000000097</c:v>
                </c:pt>
                <c:pt idx="73">
                  <c:v>0.73000000000000098</c:v>
                </c:pt>
                <c:pt idx="74">
                  <c:v>0.74000000000000099</c:v>
                </c:pt>
                <c:pt idx="75">
                  <c:v>0.750000000000001</c:v>
                </c:pt>
                <c:pt idx="76">
                  <c:v>0.76000000000000101</c:v>
                </c:pt>
                <c:pt idx="77">
                  <c:v>0.77000000000000102</c:v>
                </c:pt>
                <c:pt idx="78">
                  <c:v>0.78000000000000103</c:v>
                </c:pt>
                <c:pt idx="79">
                  <c:v>0.79000000000000103</c:v>
                </c:pt>
                <c:pt idx="80">
                  <c:v>0.80000000000000104</c:v>
                </c:pt>
                <c:pt idx="81">
                  <c:v>0.81000000000000105</c:v>
                </c:pt>
                <c:pt idx="82">
                  <c:v>0.82000000000000095</c:v>
                </c:pt>
                <c:pt idx="83">
                  <c:v>0.83000000000000096</c:v>
                </c:pt>
                <c:pt idx="84">
                  <c:v>0.84000000000000097</c:v>
                </c:pt>
                <c:pt idx="85">
                  <c:v>0.85000000000000098</c:v>
                </c:pt>
                <c:pt idx="86">
                  <c:v>0.86000000000000099</c:v>
                </c:pt>
                <c:pt idx="87">
                  <c:v>0.87000000000000099</c:v>
                </c:pt>
                <c:pt idx="88">
                  <c:v>0.880000000000001</c:v>
                </c:pt>
                <c:pt idx="89">
                  <c:v>0.89000000000000101</c:v>
                </c:pt>
                <c:pt idx="90">
                  <c:v>0.90000000000000102</c:v>
                </c:pt>
                <c:pt idx="91">
                  <c:v>0.91000000000000103</c:v>
                </c:pt>
                <c:pt idx="92">
                  <c:v>0.92000000000000104</c:v>
                </c:pt>
                <c:pt idx="93">
                  <c:v>0.93000000000000105</c:v>
                </c:pt>
                <c:pt idx="94">
                  <c:v>0.94000000000000095</c:v>
                </c:pt>
                <c:pt idx="95">
                  <c:v>0.95000000000000095</c:v>
                </c:pt>
                <c:pt idx="96">
                  <c:v>0.96000000000000096</c:v>
                </c:pt>
                <c:pt idx="97">
                  <c:v>0.97000000000000097</c:v>
                </c:pt>
                <c:pt idx="98">
                  <c:v>0.98000000000000098</c:v>
                </c:pt>
                <c:pt idx="99">
                  <c:v>0.99000000000000099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</c:numCache>
            </c:numRef>
          </c:xVal>
          <c:yVal>
            <c:numRef>
              <c:f>MSY!$G$44:$G$294</c:f>
              <c:numCache>
                <c:formatCode>General</c:formatCode>
                <c:ptCount val="251"/>
                <c:pt idx="0">
                  <c:v>2.913005028995305E-3</c:v>
                </c:pt>
                <c:pt idx="1">
                  <c:v>0.27421001194999095</c:v>
                </c:pt>
                <c:pt idx="2">
                  <c:v>0.51721169699029923</c:v>
                </c:pt>
                <c:pt idx="3">
                  <c:v>0.73334707573036895</c:v>
                </c:pt>
                <c:pt idx="4">
                  <c:v>0.92622246403932762</c:v>
                </c:pt>
                <c:pt idx="5">
                  <c:v>1.0988560055474641</c:v>
                </c:pt>
                <c:pt idx="6">
                  <c:v>1.2537911815502132</c:v>
                </c:pt>
                <c:pt idx="7">
                  <c:v>1.3931851074160864</c:v>
                </c:pt>
                <c:pt idx="8">
                  <c:v>1.5188779111555804</c:v>
                </c:pt>
                <c:pt idx="9">
                  <c:v>1.6324477553588428</c:v>
                </c:pt>
                <c:pt idx="10">
                  <c:v>1.7352548489256168</c:v>
                </c:pt>
                <c:pt idx="11">
                  <c:v>1.8284769324670402</c:v>
                </c:pt>
                <c:pt idx="12">
                  <c:v>1.9131381010130972</c:v>
                </c:pt>
                <c:pt idx="13">
                  <c:v>1.9901323763742387</c:v>
                </c:pt>
                <c:pt idx="14">
                  <c:v>2.0602431095431233</c:v>
                </c:pt>
                <c:pt idx="15">
                  <c:v>2.1241590468279341</c:v>
                </c:pt>
                <c:pt idx="16">
                  <c:v>2.1824877083221685</c:v>
                </c:pt>
                <c:pt idx="17">
                  <c:v>2.2357665872037358</c:v>
                </c:pt>
                <c:pt idx="18">
                  <c:v>2.2844725713952014</c:v>
                </c:pt>
                <c:pt idx="19">
                  <c:v>2.3290299068153071</c:v>
                </c:pt>
                <c:pt idx="20">
                  <c:v>2.3698169576505226</c:v>
                </c:pt>
                <c:pt idx="21">
                  <c:v>2.4071719692663187</c:v>
                </c:pt>
                <c:pt idx="22">
                  <c:v>2.4413980002327236</c:v>
                </c:pt>
                <c:pt idx="23">
                  <c:v>2.4727671589796767</c:v>
                </c:pt>
                <c:pt idx="24">
                  <c:v>2.5015242559659843</c:v>
                </c:pt>
                <c:pt idx="25">
                  <c:v>2.5278899625363636</c:v>
                </c:pt>
                <c:pt idx="26">
                  <c:v>2.5520635517850327</c:v>
                </c:pt>
                <c:pt idx="27">
                  <c:v>2.574225283922313</c:v>
                </c:pt>
                <c:pt idx="28">
                  <c:v>2.5945384882212448</c:v>
                </c:pt>
                <c:pt idx="29">
                  <c:v>2.6131513851143549</c:v>
                </c:pt>
                <c:pt idx="30">
                  <c:v>2.6301986850341335</c:v>
                </c:pt>
                <c:pt idx="31">
                  <c:v>2.6458029948448454</c:v>
                </c:pt>
                <c:pt idx="32">
                  <c:v>2.660076057961303</c:v>
                </c:pt>
                <c:pt idx="33">
                  <c:v>2.6731198503049756</c:v>
                </c:pt>
                <c:pt idx="34">
                  <c:v>2.68502755095987</c:v>
                </c:pt>
                <c:pt idx="35">
                  <c:v>2.6958844036406253</c:v>
                </c:pt>
                <c:pt idx="36">
                  <c:v>2.7057684827772142</c:v>
                </c:pt>
                <c:pt idx="37">
                  <c:v>2.7147513760770652</c:v>
                </c:pt>
                <c:pt idx="38">
                  <c:v>2.7228987937834592</c:v>
                </c:pt>
                <c:pt idx="39">
                  <c:v>2.7302711134576918</c:v>
                </c:pt>
                <c:pt idx="40">
                  <c:v>2.7369238679299541</c:v>
                </c:pt>
                <c:pt idx="41">
                  <c:v>2.7429081830558926</c:v>
                </c:pt>
                <c:pt idx="42">
                  <c:v>2.7482711710544128</c:v>
                </c:pt>
                <c:pt idx="43">
                  <c:v>2.753056284463911</c:v>
                </c:pt>
                <c:pt idx="44">
                  <c:v>2.7573036351199294</c:v>
                </c:pt>
                <c:pt idx="45">
                  <c:v>2.761050282010856</c:v>
                </c:pt>
                <c:pt idx="46">
                  <c:v>2.7643304913966631</c:v>
                </c:pt>
                <c:pt idx="47">
                  <c:v>2.7671759721675282</c:v>
                </c:pt>
                <c:pt idx="48">
                  <c:v>2.7696160890652002</c:v>
                </c:pt>
                <c:pt idx="49">
                  <c:v>2.7716780560823366</c:v>
                </c:pt>
                <c:pt idx="50">
                  <c:v>2.7733871120870623</c:v>
                </c:pt>
                <c:pt idx="51">
                  <c:v>2.7747666804861901</c:v>
                </c:pt>
                <c:pt idx="52">
                  <c:v>2.7758385145360109</c:v>
                </c:pt>
                <c:pt idx="53">
                  <c:v>2.776622829730472</c:v>
                </c:pt>
                <c:pt idx="54">
                  <c:v>2.7771384245393005</c:v>
                </c:pt>
                <c:pt idx="55">
                  <c:v>2.7774027906304002</c:v>
                </c:pt>
                <c:pt idx="56">
                  <c:v>2.7774322135890999</c:v>
                </c:pt>
                <c:pt idx="57">
                  <c:v>2.7772418650393815</c:v>
                </c:pt>
                <c:pt idx="58">
                  <c:v>2.7768458869773545</c:v>
                </c:pt>
                <c:pt idx="59">
                  <c:v>2.7762574690431756</c:v>
                </c:pt>
                <c:pt idx="60">
                  <c:v>2.7754889193831906</c:v>
                </c:pt>
                <c:pt idx="61">
                  <c:v>2.7745517296879543</c:v>
                </c:pt>
                <c:pt idx="62">
                  <c:v>2.7734566349330398</c:v>
                </c:pt>
                <c:pt idx="63">
                  <c:v>2.7722136682972072</c:v>
                </c:pt>
                <c:pt idx="64">
                  <c:v>2.7708322116859083</c:v>
                </c:pt>
                <c:pt idx="65">
                  <c:v>2.7693210422464523</c:v>
                </c:pt>
                <c:pt idx="66">
                  <c:v>2.7676883752239747</c:v>
                </c:pt>
                <c:pt idx="67">
                  <c:v>2.7659419034740371</c:v>
                </c:pt>
                <c:pt idx="68">
                  <c:v>2.764088833917921</c:v>
                </c:pt>
                <c:pt idx="69">
                  <c:v>2.7621359211998313</c:v>
                </c:pt>
                <c:pt idx="70">
                  <c:v>2.7600894987812952</c:v>
                </c:pt>
                <c:pt idx="71">
                  <c:v>2.7579555076863955</c:v>
                </c:pt>
                <c:pt idx="72">
                  <c:v>2.7557395230920303</c:v>
                </c:pt>
                <c:pt idx="73">
                  <c:v>2.7534467789399146</c:v>
                </c:pt>
                <c:pt idx="74">
                  <c:v>2.7510821907312084</c:v>
                </c:pt>
                <c:pt idx="75">
                  <c:v>2.7486503766504313</c:v>
                </c:pt>
                <c:pt idx="76">
                  <c:v>2.7461556771523901</c:v>
                </c:pt>
                <c:pt idx="77">
                  <c:v>2.7436021731342466</c:v>
                </c:pt>
                <c:pt idx="78">
                  <c:v>2.7409937028042597</c:v>
                </c:pt>
                <c:pt idx="79">
                  <c:v>2.7383338773491808</c:v>
                </c:pt>
                <c:pt idx="80">
                  <c:v>2.7356260954936182</c:v>
                </c:pt>
                <c:pt idx="81">
                  <c:v>2.732873557036815</c:v>
                </c:pt>
                <c:pt idx="82">
                  <c:v>2.730079275445092</c:v>
                </c:pt>
                <c:pt idx="83">
                  <c:v>2.7272460895717789</c:v>
                </c:pt>
                <c:pt idx="84">
                  <c:v>2.7243766745704519</c:v>
                </c:pt>
                <c:pt idx="85">
                  <c:v>2.7214735520619575</c:v>
                </c:pt>
                <c:pt idx="86">
                  <c:v>2.7185390996107794</c:v>
                </c:pt>
                <c:pt idx="87">
                  <c:v>2.7155755595618194</c:v>
                </c:pt>
                <c:pt idx="88">
                  <c:v>2.7125850472845592</c:v>
                </c:pt>
                <c:pt idx="89">
                  <c:v>2.7095695588678503</c:v>
                </c:pt>
                <c:pt idx="90">
                  <c:v>2.7065309783051674</c:v>
                </c:pt>
                <c:pt idx="91">
                  <c:v>2.7034710842070169</c:v>
                </c:pt>
                <c:pt idx="92">
                  <c:v>2.7003915560743312</c:v>
                </c:pt>
                <c:pt idx="93">
                  <c:v>2.6972939801640901</c:v>
                </c:pt>
                <c:pt idx="94">
                  <c:v>2.6941798549759799</c:v>
                </c:pt>
                <c:pt idx="95">
                  <c:v>2.6910505963866918</c:v>
                </c:pt>
                <c:pt idx="96">
                  <c:v>2.6879075424564856</c:v>
                </c:pt>
                <c:pt idx="97">
                  <c:v>2.6847519579307395</c:v>
                </c:pt>
                <c:pt idx="98">
                  <c:v>2.6815850384575164</c:v>
                </c:pt>
                <c:pt idx="99">
                  <c:v>2.6784079145406441</c:v>
                </c:pt>
                <c:pt idx="100">
                  <c:v>2.6752216552462955</c:v>
                </c:pt>
                <c:pt idx="101">
                  <c:v>2.6720272716798115</c:v>
                </c:pt>
                <c:pt idx="102">
                  <c:v>2.6688257202482113</c:v>
                </c:pt>
                <c:pt idx="103">
                  <c:v>2.6656179057227627</c:v>
                </c:pt>
                <c:pt idx="104">
                  <c:v>2.6624046841149167</c:v>
                </c:pt>
                <c:pt idx="105">
                  <c:v>2.6591868653779756</c:v>
                </c:pt>
                <c:pt idx="106">
                  <c:v>2.6559652159459524</c:v>
                </c:pt>
                <c:pt idx="107">
                  <c:v>2.6527404611203007</c:v>
                </c:pt>
                <c:pt idx="108">
                  <c:v>2.6495132873144107</c:v>
                </c:pt>
                <c:pt idx="109">
                  <c:v>2.6462843441650725</c:v>
                </c:pt>
                <c:pt idx="110">
                  <c:v>2.6430542465194966</c:v>
                </c:pt>
                <c:pt idx="111">
                  <c:v>2.639823576305846</c:v>
                </c:pt>
                <c:pt idx="112">
                  <c:v>2.636592884294696</c:v>
                </c:pt>
                <c:pt idx="113">
                  <c:v>2.6333626917583581</c:v>
                </c:pt>
                <c:pt idx="114">
                  <c:v>2.6301334920344681</c:v>
                </c:pt>
                <c:pt idx="115">
                  <c:v>2.6269057519998813</c:v>
                </c:pt>
                <c:pt idx="116">
                  <c:v>2.6236799134604256</c:v>
                </c:pt>
                <c:pt idx="117">
                  <c:v>2.6204563944617725</c:v>
                </c:pt>
                <c:pt idx="118">
                  <c:v>2.6172355905262563</c:v>
                </c:pt>
                <c:pt idx="119">
                  <c:v>2.6140178758202182</c:v>
                </c:pt>
                <c:pt idx="120">
                  <c:v>2.6108036042560983</c:v>
                </c:pt>
                <c:pt idx="121">
                  <c:v>2.6075931105332448</c:v>
                </c:pt>
                <c:pt idx="122">
                  <c:v>2.6043867111211534</c:v>
                </c:pt>
                <c:pt idx="123">
                  <c:v>2.6011847051885759</c:v>
                </c:pt>
                <c:pt idx="124">
                  <c:v>2.5979873754817704</c:v>
                </c:pt>
                <c:pt idx="125">
                  <c:v>2.5947949891548814</c:v>
                </c:pt>
                <c:pt idx="126">
                  <c:v>2.5916077985553234</c:v>
                </c:pt>
                <c:pt idx="127">
                  <c:v>2.5884260419667839</c:v>
                </c:pt>
                <c:pt idx="128">
                  <c:v>2.5852499443123604</c:v>
                </c:pt>
                <c:pt idx="129">
                  <c:v>2.5820797178201285</c:v>
                </c:pt>
                <c:pt idx="130">
                  <c:v>2.5789155626533602</c:v>
                </c:pt>
                <c:pt idx="131">
                  <c:v>2.5757576675073821</c:v>
                </c:pt>
                <c:pt idx="132">
                  <c:v>2.572606210175044</c:v>
                </c:pt>
                <c:pt idx="133">
                  <c:v>2.56946135808256</c:v>
                </c:pt>
                <c:pt idx="134">
                  <c:v>2.5663232687974098</c:v>
                </c:pt>
                <c:pt idx="135">
                  <c:v>2.563192090509899</c:v>
                </c:pt>
                <c:pt idx="136">
                  <c:v>2.560067962489851</c:v>
                </c:pt>
                <c:pt idx="137">
                  <c:v>2.5569510155198323</c:v>
                </c:pt>
                <c:pt idx="138">
                  <c:v>2.553841372306199</c:v>
                </c:pt>
                <c:pt idx="139">
                  <c:v>2.5507391478692383</c:v>
                </c:pt>
                <c:pt idx="140">
                  <c:v>2.5476444499135096</c:v>
                </c:pt>
                <c:pt idx="141">
                  <c:v>2.5445573791795306</c:v>
                </c:pt>
                <c:pt idx="142">
                  <c:v>2.5414780297777644</c:v>
                </c:pt>
                <c:pt idx="143">
                  <c:v>2.5384064895059404</c:v>
                </c:pt>
                <c:pt idx="144">
                  <c:v>2.5353428401505522</c:v>
                </c:pt>
                <c:pt idx="145">
                  <c:v>2.5322871577734354</c:v>
                </c:pt>
                <c:pt idx="146">
                  <c:v>2.5292395129841876</c:v>
                </c:pt>
                <c:pt idx="147">
                  <c:v>2.5261999711992158</c:v>
                </c:pt>
                <c:pt idx="148">
                  <c:v>2.523168592888108</c:v>
                </c:pt>
                <c:pt idx="149">
                  <c:v>2.5201454338079996</c:v>
                </c:pt>
                <c:pt idx="150">
                  <c:v>2.5171305452265846</c:v>
                </c:pt>
                <c:pt idx="151">
                  <c:v>2.5141239741343333</c:v>
                </c:pt>
                <c:pt idx="152">
                  <c:v>2.5111257634465289</c:v>
                </c:pt>
                <c:pt idx="153">
                  <c:v>2.5081359521955942</c:v>
                </c:pt>
                <c:pt idx="154">
                  <c:v>2.5051545757142759</c:v>
                </c:pt>
                <c:pt idx="155">
                  <c:v>2.5021816658100842</c:v>
                </c:pt>
                <c:pt idx="156">
                  <c:v>2.4992172509315118</c:v>
                </c:pt>
                <c:pt idx="157">
                  <c:v>2.4962613563263854</c:v>
                </c:pt>
                <c:pt idx="158">
                  <c:v>2.4933140041928024</c:v>
                </c:pt>
                <c:pt idx="159">
                  <c:v>2.4903752138229835</c:v>
                </c:pt>
                <c:pt idx="160">
                  <c:v>2.4874450017404386</c:v>
                </c:pt>
                <c:pt idx="161">
                  <c:v>2.4845233818307402</c:v>
                </c:pt>
                <c:pt idx="162">
                  <c:v>2.4816103654662647</c:v>
                </c:pt>
                <c:pt idx="163">
                  <c:v>2.4787059616251703</c:v>
                </c:pt>
                <c:pt idx="164">
                  <c:v>2.4758101770049046</c:v>
                </c:pt>
                <c:pt idx="165">
                  <c:v>2.4729230161305233</c:v>
                </c:pt>
                <c:pt idx="166">
                  <c:v>2.4700444814580553</c:v>
                </c:pt>
                <c:pt idx="167">
                  <c:v>2.4671745734731747</c:v>
                </c:pt>
                <c:pt idx="168">
                  <c:v>2.4643132907853924</c:v>
                </c:pt>
                <c:pt idx="169">
                  <c:v>2.4614606302179918</c:v>
                </c:pt>
                <c:pt idx="170">
                  <c:v>2.458616586893918</c:v>
                </c:pt>
                <c:pt idx="171">
                  <c:v>2.4557811543177963</c:v>
                </c:pt>
                <c:pt idx="172">
                  <c:v>2.4529543244542977</c:v>
                </c:pt>
                <c:pt idx="173">
                  <c:v>2.4501360878029823</c:v>
                </c:pt>
                <c:pt idx="174">
                  <c:v>2.4473264334698293</c:v>
                </c:pt>
                <c:pt idx="175">
                  <c:v>2.4445253492355783</c:v>
                </c:pt>
                <c:pt idx="176">
                  <c:v>2.4417328216210561</c:v>
                </c:pt>
                <c:pt idx="177">
                  <c:v>2.4389488359496063</c:v>
                </c:pt>
                <c:pt idx="178">
                  <c:v>2.436173376406777</c:v>
                </c:pt>
                <c:pt idx="179">
                  <c:v>2.4334064260973842</c:v>
                </c:pt>
                <c:pt idx="180">
                  <c:v>2.4306479671000734</c:v>
                </c:pt>
                <c:pt idx="181">
                  <c:v>2.4278979805194907</c:v>
                </c:pt>
                <c:pt idx="182">
                  <c:v>2.4251564465361848</c:v>
                </c:pt>
                <c:pt idx="183">
                  <c:v>2.4224233444543342</c:v>
                </c:pt>
                <c:pt idx="184">
                  <c:v>2.4196986527473929</c:v>
                </c:pt>
                <c:pt idx="185">
                  <c:v>2.4169823491017652</c:v>
                </c:pt>
                <c:pt idx="186">
                  <c:v>2.4142744104585887</c:v>
                </c:pt>
                <c:pt idx="187">
                  <c:v>2.4115748130537074</c:v>
                </c:pt>
                <c:pt idx="188">
                  <c:v>2.4088835324559188</c:v>
                </c:pt>
                <c:pt idx="189">
                  <c:v>2.4062005436035885</c:v>
                </c:pt>
                <c:pt idx="190">
                  <c:v>2.4035258208396661</c:v>
                </c:pt>
                <c:pt idx="191">
                  <c:v>2.4008593379452199</c:v>
                </c:pt>
                <c:pt idx="192">
                  <c:v>2.3982010681715193</c:v>
                </c:pt>
                <c:pt idx="193">
                  <c:v>2.3955509842707423</c:v>
                </c:pt>
                <c:pt idx="194">
                  <c:v>2.392909058525384</c:v>
                </c:pt>
                <c:pt idx="195">
                  <c:v>2.3902752627763841</c:v>
                </c:pt>
                <c:pt idx="196">
                  <c:v>2.3876495684500734</c:v>
                </c:pt>
                <c:pt idx="197">
                  <c:v>2.3850319465839553</c:v>
                </c:pt>
                <c:pt idx="198">
                  <c:v>2.3824223678514005</c:v>
                </c:pt>
                <c:pt idx="199">
                  <c:v>2.3798208025852712</c:v>
                </c:pt>
                <c:pt idx="200">
                  <c:v>2.3772272208005547</c:v>
                </c:pt>
                <c:pt idx="201">
                  <c:v>2.3746415922160229</c:v>
                </c:pt>
                <c:pt idx="202">
                  <c:v>2.3720638862749714</c:v>
                </c:pt>
                <c:pt idx="203">
                  <c:v>2.3694940721650681</c:v>
                </c:pt>
                <c:pt idx="204">
                  <c:v>2.3669321188373718</c:v>
                </c:pt>
                <c:pt idx="205">
                  <c:v>2.3643779950245198</c:v>
                </c:pt>
                <c:pt idx="206">
                  <c:v>2.3618316692581445</c:v>
                </c:pt>
                <c:pt idx="207">
                  <c:v>2.3592931098855612</c:v>
                </c:pt>
                <c:pt idx="208">
                  <c:v>2.3567622850857233</c:v>
                </c:pt>
                <c:pt idx="209">
                  <c:v>2.3542391628845007</c:v>
                </c:pt>
                <c:pt idx="210">
                  <c:v>2.3517237111693148</c:v>
                </c:pt>
                <c:pt idx="211">
                  <c:v>2.3492158977031212</c:v>
                </c:pt>
                <c:pt idx="212">
                  <c:v>2.346715690137823</c:v>
                </c:pt>
                <c:pt idx="213">
                  <c:v>2.3442230560270798</c:v>
                </c:pt>
                <c:pt idx="214">
                  <c:v>2.3417379628385757</c:v>
                </c:pt>
                <c:pt idx="215">
                  <c:v>2.3392603779657666</c:v>
                </c:pt>
                <c:pt idx="216">
                  <c:v>2.3367902687390947</c:v>
                </c:pt>
                <c:pt idx="217">
                  <c:v>2.3343276024367423</c:v>
                </c:pt>
                <c:pt idx="218">
                  <c:v>2.3318723462949018</c:v>
                </c:pt>
                <c:pt idx="219">
                  <c:v>2.3294244675175992</c:v>
                </c:pt>
                <c:pt idx="220">
                  <c:v>2.3269839332860918</c:v>
                </c:pt>
                <c:pt idx="221">
                  <c:v>2.3245507107678489</c:v>
                </c:pt>
                <c:pt idx="222">
                  <c:v>2.3221247671251466</c:v>
                </c:pt>
                <c:pt idx="223">
                  <c:v>2.3197060695232561</c:v>
                </c:pt>
                <c:pt idx="224">
                  <c:v>2.3172945851383036</c:v>
                </c:pt>
                <c:pt idx="225">
                  <c:v>2.3148902811647543</c:v>
                </c:pt>
                <c:pt idx="226">
                  <c:v>2.312493124822566</c:v>
                </c:pt>
                <c:pt idx="227">
                  <c:v>2.3101030833640213</c:v>
                </c:pt>
                <c:pt idx="228">
                  <c:v>2.3077201240802561</c:v>
                </c:pt>
                <c:pt idx="229">
                  <c:v>2.3053442143074792</c:v>
                </c:pt>
                <c:pt idx="230">
                  <c:v>2.3029753214329207</c:v>
                </c:pt>
                <c:pt idx="231">
                  <c:v>2.3006134129004852</c:v>
                </c:pt>
                <c:pt idx="232">
                  <c:v>2.2982584562161654</c:v>
                </c:pt>
                <c:pt idx="233">
                  <c:v>2.2959104189531905</c:v>
                </c:pt>
                <c:pt idx="234">
                  <c:v>2.2935692687569289</c:v>
                </c:pt>
                <c:pt idx="235">
                  <c:v>2.2912349733495683</c:v>
                </c:pt>
                <c:pt idx="236">
                  <c:v>2.2889075005345596</c:v>
                </c:pt>
                <c:pt idx="237">
                  <c:v>2.286586818200862</c:v>
                </c:pt>
                <c:pt idx="238">
                  <c:v>2.2842728943269606</c:v>
                </c:pt>
                <c:pt idx="239">
                  <c:v>2.2819656969847042</c:v>
                </c:pt>
                <c:pt idx="240">
                  <c:v>2.2796651943429409</c:v>
                </c:pt>
                <c:pt idx="241">
                  <c:v>2.2773713546709815</c:v>
                </c:pt>
                <c:pt idx="242">
                  <c:v>2.2750841463418712</c:v>
                </c:pt>
                <c:pt idx="243">
                  <c:v>2.2728035378355074</c:v>
                </c:pt>
                <c:pt idx="244">
                  <c:v>2.27052949774159</c:v>
                </c:pt>
                <c:pt idx="245">
                  <c:v>2.2682619947624092</c:v>
                </c:pt>
                <c:pt idx="246">
                  <c:v>2.2660009977154978</c:v>
                </c:pt>
                <c:pt idx="247">
                  <c:v>2.263746475536121</c:v>
                </c:pt>
                <c:pt idx="248">
                  <c:v>2.2614983972796501</c:v>
                </c:pt>
                <c:pt idx="249">
                  <c:v>2.2592567321237831</c:v>
                </c:pt>
                <c:pt idx="250">
                  <c:v>2.2570214493706424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45-458C-AA60-66B962A2D4A2}"/>
            </c:ext>
          </c:extLst>
        </c:ser>
        <c:ser>
          <c:idx val="1"/>
          <c:order val="1"/>
          <c:tx>
            <c:v>vert</c:v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(MSY!$E$24,MSY!$E$24)</c:f>
              <c:numCache>
                <c:formatCode>General</c:formatCode>
                <c:ptCount val="2"/>
                <c:pt idx="0">
                  <c:v>0.56000000000000005</c:v>
                </c:pt>
                <c:pt idx="1">
                  <c:v>0.56000000000000005</c:v>
                </c:pt>
              </c:numCache>
            </c:numRef>
          </c:xVal>
          <c:yVal>
            <c:numRef>
              <c:f>(MSY!$X$44,MSY!$E$25)</c:f>
              <c:numCache>
                <c:formatCode>General</c:formatCode>
                <c:ptCount val="2"/>
                <c:pt idx="0">
                  <c:v>0</c:v>
                </c:pt>
                <c:pt idx="1">
                  <c:v>2.7774322135890999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45-458C-AA60-66B962A2D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38640"/>
        <c:axId val="897235688"/>
      </c:scatterChart>
      <c:valAx>
        <c:axId val="897238640"/>
        <c:scaling>
          <c:orientation val="minMax"/>
          <c:max val="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5688"/>
        <c:crosses val="autoZero"/>
        <c:crossBetween val="midCat"/>
      </c:valAx>
      <c:valAx>
        <c:axId val="8972356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Yield (kt)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23864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171450</xdr:colOff>
      <xdr:row>14</xdr:row>
      <xdr:rowOff>180975</xdr:rowOff>
    </xdr:from>
    <xdr:ext cx="2581541" cy="76315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/>
            <xdr:cNvSpPr txBox="1"/>
          </xdr:nvSpPr>
          <xdr:spPr>
            <a:xfrm>
              <a:off x="4943475" y="3038475"/>
              <a:ext cx="2581541" cy="7631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𝑙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d>
                      <m:dPr>
                        <m:begChr m:val="{"/>
                        <m:endChr m:val=""/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m>
                          <m:mPr>
                            <m:mcs>
                              <m:mc>
                                <m:mcPr>
                                  <m:count m:val="1"/>
                                  <m:mcJc m:val="center"/>
                                </m:mcPr>
                              </m:mc>
                            </m:mcs>
                            <m:ctrlPr>
                              <a:rPr lang="en-CA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mPr>
                          <m:mr>
                            <m:e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1, </m:t>
                              </m:r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𝑎</m:t>
                              </m:r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 =1</m:t>
                              </m:r>
                            </m:e>
                          </m:mr>
                          <m:mr>
                            <m:e>
                              <m:sSub>
                                <m:sSubPr>
                                  <m:ctrlPr>
                                    <a:rPr lang="en-CA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𝑙</m:t>
                                  </m:r>
                                </m:e>
                                <m:sub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𝑎</m:t>
                                  </m:r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−1</m:t>
                                  </m:r>
                                </m:sub>
                              </m:sSub>
                              <m:sSup>
                                <m:sSupPr>
                                  <m:ctrlPr>
                                    <a:rPr lang="en-CA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pPr>
                                <m:e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𝑒</m:t>
                                  </m:r>
                                </m:e>
                                <m:sup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(−</m:t>
                                  </m:r>
                                  <m:sSub>
                                    <m:sSubPr>
                                      <m:ctrlPr>
                                        <a:rPr lang="en-CA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bPr>
                                    <m:e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𝑀</m:t>
                                      </m:r>
                                    </m:e>
                                    <m:sub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𝑎</m:t>
                                      </m:r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−1</m:t>
                                      </m:r>
                                    </m:sub>
                                  </m:sSub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−</m:t>
                                  </m:r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𝐹</m:t>
                                  </m:r>
                                  <m:sSub>
                                    <m:sSubPr>
                                      <m:ctrlPr>
                                        <a:rPr lang="en-CA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bPr>
                                    <m:e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𝑣</m:t>
                                      </m:r>
                                    </m:e>
                                    <m:sub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𝑎</m:t>
                                      </m:r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−1</m:t>
                                      </m:r>
                                    </m:sub>
                                  </m:sSub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)</m:t>
                                  </m:r>
                                </m:sup>
                              </m:sSup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, </m:t>
                              </m:r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𝑎</m:t>
                              </m:r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&gt;1, </m:t>
                              </m:r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𝑎</m:t>
                              </m:r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&lt;</m:t>
                              </m:r>
                              <m:sSub>
                                <m:sSubPr>
                                  <m:ctrlPr>
                                    <a:rPr lang="en-CA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𝑎</m:t>
                                  </m:r>
                                </m:e>
                                <m:sub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𝑚𝑎𝑥</m:t>
                                  </m:r>
                                </m:sub>
                              </m:sSub>
                            </m:e>
                          </m:mr>
                          <m:mr>
                            <m:e>
                              <m:f>
                                <m:fPr>
                                  <m:ctrlPr>
                                    <a:rPr lang="en-CA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fPr>
                                <m:num>
                                  <m:sSub>
                                    <m:sSubPr>
                                      <m:ctrlPr>
                                        <a:rPr lang="en-CA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bPr>
                                    <m:e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𝑙</m:t>
                                      </m:r>
                                    </m:e>
                                    <m:sub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𝑎</m:t>
                                      </m:r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−1</m:t>
                                      </m:r>
                                    </m:sub>
                                  </m:sSub>
                                  <m:sSup>
                                    <m:sSupPr>
                                      <m:ctrlPr>
                                        <a:rPr lang="en-CA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pPr>
                                    <m:e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𝑒</m:t>
                                      </m:r>
                                    </m:e>
                                    <m:sup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(−</m:t>
                                      </m:r>
                                      <m:sSub>
                                        <m:sSubPr>
                                          <m:ctrlPr>
                                            <a:rPr lang="en-CA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</m:ctrlPr>
                                        </m:sSubPr>
                                        <m:e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𝑀</m:t>
                                          </m:r>
                                        </m:e>
                                        <m:sub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𝑎</m:t>
                                          </m:r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−1</m:t>
                                          </m:r>
                                        </m:sub>
                                      </m:sSub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−</m:t>
                                      </m:r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𝐹</m:t>
                                      </m:r>
                                      <m:sSub>
                                        <m:sSubPr>
                                          <m:ctrlPr>
                                            <a:rPr lang="en-CA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</m:ctrlPr>
                                        </m:sSubPr>
                                        <m:e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𝑣</m:t>
                                          </m:r>
                                        </m:e>
                                        <m:sub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𝑎</m:t>
                                          </m:r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−1</m:t>
                                          </m:r>
                                        </m:sub>
                                      </m:sSub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)</m:t>
                                      </m:r>
                                    </m:sup>
                                  </m:sSup>
                                </m:num>
                                <m:den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1−</m:t>
                                  </m:r>
                                  <m:sSup>
                                    <m:sSupPr>
                                      <m:ctrlPr>
                                        <a:rPr lang="en-CA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pPr>
                                    <m:e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𝑒</m:t>
                                      </m:r>
                                    </m:e>
                                    <m:sup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(−</m:t>
                                      </m:r>
                                      <m:sSub>
                                        <m:sSubPr>
                                          <m:ctrlPr>
                                            <a:rPr lang="en-CA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</m:ctrlPr>
                                        </m:sSubPr>
                                        <m:e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𝑀</m:t>
                                          </m:r>
                                        </m:e>
                                        <m:sub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𝑎</m:t>
                                          </m:r>
                                        </m:sub>
                                      </m:sSub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−</m:t>
                                      </m:r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𝐹</m:t>
                                      </m:r>
                                      <m:sSub>
                                        <m:sSubPr>
                                          <m:ctrlPr>
                                            <a:rPr lang="en-CA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</m:ctrlPr>
                                        </m:sSubPr>
                                        <m:e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𝑣</m:t>
                                          </m:r>
                                        </m:e>
                                        <m:sub>
                                          <m:r>
                                            <a:rPr lang="en-US" sz="1100" i="1">
                                              <a:solidFill>
                                                <a:schemeClr val="tx1"/>
                                              </a:solidFill>
                                              <a:effectLst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𝑎</m:t>
                                          </m:r>
                                        </m:sub>
                                      </m:sSub>
                                      <m:r>
                                        <a:rPr lang="en-US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)</m:t>
                                      </m:r>
                                    </m:sup>
                                  </m:sSup>
                                </m:den>
                              </m:f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,</m:t>
                              </m:r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𝑎</m:t>
                              </m:r>
                              <m: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= </m:t>
                              </m:r>
                              <m:sSub>
                                <m:sSubPr>
                                  <m:ctrlPr>
                                    <a:rPr lang="en-CA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𝑎</m:t>
                                  </m:r>
                                </m:e>
                                <m:sub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𝑚𝑎𝑥</m:t>
                                  </m:r>
                                </m:sub>
                              </m:sSub>
                            </m:e>
                          </m:mr>
                        </m:m>
                      </m:e>
                    </m:d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4" name="TextBox 3"/>
            <xdr:cNvSpPr txBox="1"/>
          </xdr:nvSpPr>
          <xdr:spPr>
            <a:xfrm>
              <a:off x="4943475" y="3038475"/>
              <a:ext cx="2581541" cy="7631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𝑙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𝑎=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{■8(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1, 𝑎 =1@𝑙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𝑎−1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𝑒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(−𝑀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𝑎−1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−𝐹𝑣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𝑎−1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 𝑎&gt;1, 𝑎&lt;𝑎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𝑚𝑎𝑥@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𝑙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𝑎−1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𝑒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(−𝑀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𝑎−1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−𝐹𝑣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𝑎−1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))/(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1−𝑒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(−𝑀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𝑎−𝐹𝑣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𝑎)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,𝑎= 𝑎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𝑚𝑎𝑥 )┤</a:t>
              </a:r>
              <a:endParaRPr lang="en-CA" sz="1100"/>
            </a:p>
          </xdr:txBody>
        </xdr:sp>
      </mc:Fallback>
    </mc:AlternateContent>
    <xdr:clientData/>
  </xdr:oneCellAnchor>
  <xdr:oneCellAnchor>
    <xdr:from>
      <xdr:col>15</xdr:col>
      <xdr:colOff>47625</xdr:colOff>
      <xdr:row>7</xdr:row>
      <xdr:rowOff>28575</xdr:rowOff>
    </xdr:from>
    <xdr:ext cx="184731" cy="264560"/>
    <xdr:sp macro="" textlink="">
      <xdr:nvSpPr>
        <xdr:cNvPr id="6" name="TextBox 5"/>
        <xdr:cNvSpPr txBox="1"/>
      </xdr:nvSpPr>
      <xdr:spPr>
        <a:xfrm>
          <a:off x="14135100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3</xdr:col>
      <xdr:colOff>219075</xdr:colOff>
      <xdr:row>20</xdr:row>
      <xdr:rowOff>0</xdr:rowOff>
    </xdr:from>
    <xdr:ext cx="1158715" cy="462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/>
            <xdr:cNvSpPr txBox="1"/>
          </xdr:nvSpPr>
          <xdr:spPr>
            <a:xfrm>
              <a:off x="4991100" y="4000500"/>
              <a:ext cx="1158715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𝜑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CA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sSub>
                          <m:sSubPr>
                            <m:ctrlPr>
                              <a:rPr lang="en-CA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𝑚𝑎𝑥</m:t>
                            </m:r>
                          </m:sub>
                        </m:sSub>
                      </m:sup>
                      <m:e>
                        <m:sSub>
                          <m:sSubPr>
                            <m:ctrlPr>
                              <a:rPr lang="en-CA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𝑙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sub>
                        </m:sSub>
                      </m:e>
                    </m:nary>
                    <m:sSub>
                      <m:sSub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𝑤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</m:sSub>
                    <m:sSub>
                      <m:sSub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</m:sSub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7" name="TextBox 6"/>
            <xdr:cNvSpPr txBox="1"/>
          </xdr:nvSpPr>
          <xdr:spPr>
            <a:xfrm>
              <a:off x="4991100" y="4000500"/>
              <a:ext cx="1158715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CA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𝜑_</a:t>
              </a:r>
              <a:r>
                <a:rPr lang="en-US" sz="1100" b="0" i="0">
                  <a:latin typeface="Cambria Math" panose="02040503050406030204" pitchFamily="18" charset="0"/>
                </a:rPr>
                <a:t>𝐹=</a:t>
              </a:r>
              <a:r>
                <a:rPr lang="en-CA" sz="1100" i="0">
                  <a:latin typeface="Cambria Math" panose="02040503050406030204" pitchFamily="18" charset="0"/>
                </a:rPr>
                <a:t>∑24_(</a:t>
              </a:r>
              <a:r>
                <a:rPr lang="en-US" sz="1100" b="0" i="0">
                  <a:latin typeface="Cambria Math" panose="02040503050406030204" pitchFamily="18" charset="0"/>
                </a:rPr>
                <a:t>𝑎=1</a:t>
              </a:r>
              <a:r>
                <a:rPr lang="en-CA" sz="1100" b="0" i="0">
                  <a:latin typeface="Cambria Math" panose="02040503050406030204" pitchFamily="18" charset="0"/>
                </a:rPr>
                <a:t>)^(</a:t>
              </a:r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r>
                <a:rPr lang="en-CA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𝑚𝑎𝑥</a:t>
              </a:r>
              <a:r>
                <a:rPr lang="en-CA" sz="1100" b="0" i="0">
                  <a:latin typeface="Cambria Math" panose="02040503050406030204" pitchFamily="18" charset="0"/>
                </a:rPr>
                <a:t>)▒</a:t>
              </a:r>
              <a:r>
                <a:rPr lang="en-US" sz="1100" b="0" i="0">
                  <a:latin typeface="Cambria Math" panose="02040503050406030204" pitchFamily="18" charset="0"/>
                </a:rPr>
                <a:t>𝑙</a:t>
              </a:r>
              <a:r>
                <a:rPr lang="en-CA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r>
                <a:rPr lang="en-CA" sz="1100" b="0" i="0">
                  <a:latin typeface="Cambria Math" panose="02040503050406030204" pitchFamily="18" charset="0"/>
                </a:rPr>
                <a:t> 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</a:t>
              </a:r>
              <a:endParaRPr lang="en-CA" sz="1100"/>
            </a:p>
          </xdr:txBody>
        </xdr:sp>
      </mc:Fallback>
    </mc:AlternateContent>
    <xdr:clientData/>
  </xdr:oneCellAnchor>
  <xdr:oneCellAnchor>
    <xdr:from>
      <xdr:col>3</xdr:col>
      <xdr:colOff>66675</xdr:colOff>
      <xdr:row>24</xdr:row>
      <xdr:rowOff>133350</xdr:rowOff>
    </xdr:from>
    <xdr:ext cx="1319014" cy="462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/>
            <xdr:cNvSpPr txBox="1"/>
          </xdr:nvSpPr>
          <xdr:spPr>
            <a:xfrm>
              <a:off x="4838700" y="5543550"/>
              <a:ext cx="1319014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𝜑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CA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sSub>
                          <m:sSubPr>
                            <m:ctrlPr>
                              <a:rPr lang="en-CA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𝑚𝑎𝑥</m:t>
                            </m:r>
                          </m:sub>
                        </m:sSub>
                      </m:sup>
                      <m:e>
                        <m:sSub>
                          <m:sSubPr>
                            <m:ctrlPr>
                              <a:rPr lang="en-CA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𝑓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sub>
                        </m:sSub>
                        <m:sSub>
                          <m:sSubPr>
                            <m:ctrlPr>
                              <a:rPr lang="en-CA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𝑙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sub>
                        </m:sSub>
                      </m:e>
                    </m:nary>
                    <m:sSub>
                      <m:sSub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𝑤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</m:sSub>
                    <m:sSub>
                      <m:sSub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</m:sSub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9" name="TextBox 8"/>
            <xdr:cNvSpPr txBox="1"/>
          </xdr:nvSpPr>
          <xdr:spPr>
            <a:xfrm>
              <a:off x="4838700" y="5543550"/>
              <a:ext cx="1319014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CA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𝜑_</a:t>
              </a:r>
              <a:r>
                <a:rPr lang="en-US" sz="1100" b="0" i="0">
                  <a:latin typeface="Cambria Math" panose="02040503050406030204" pitchFamily="18" charset="0"/>
                </a:rPr>
                <a:t>𝐹=</a:t>
              </a:r>
              <a:r>
                <a:rPr lang="en-CA" sz="1100" i="0">
                  <a:latin typeface="Cambria Math" panose="02040503050406030204" pitchFamily="18" charset="0"/>
                </a:rPr>
                <a:t>∑24_(</a:t>
              </a:r>
              <a:r>
                <a:rPr lang="en-US" sz="1100" b="0" i="0">
                  <a:latin typeface="Cambria Math" panose="02040503050406030204" pitchFamily="18" charset="0"/>
                </a:rPr>
                <a:t>𝑎=1</a:t>
              </a:r>
              <a:r>
                <a:rPr lang="en-CA" sz="1100" b="0" i="0">
                  <a:latin typeface="Cambria Math" panose="02040503050406030204" pitchFamily="18" charset="0"/>
                </a:rPr>
                <a:t>)^(</a:t>
              </a:r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r>
                <a:rPr lang="en-CA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𝑚𝑎𝑥</a:t>
              </a:r>
              <a:r>
                <a:rPr lang="en-CA" sz="1100" b="0" i="0">
                  <a:latin typeface="Cambria Math" panose="02040503050406030204" pitchFamily="18" charset="0"/>
                </a:rPr>
                <a:t>)▒〖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𝑓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𝑙</a:t>
              </a:r>
              <a:r>
                <a:rPr lang="en-CA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r>
                <a:rPr lang="en-CA" sz="1100" b="0" i="0">
                  <a:latin typeface="Cambria Math" panose="02040503050406030204" pitchFamily="18" charset="0"/>
                </a:rPr>
                <a:t> 〗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</a:t>
              </a:r>
              <a:endParaRPr lang="en-CA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47625</xdr:colOff>
      <xdr:row>7</xdr:row>
      <xdr:rowOff>28575</xdr:rowOff>
    </xdr:from>
    <xdr:ext cx="184731" cy="264560"/>
    <xdr:sp macro="" textlink="">
      <xdr:nvSpPr>
        <xdr:cNvPr id="3" name="TextBox 2"/>
        <xdr:cNvSpPr txBox="1"/>
      </xdr:nvSpPr>
      <xdr:spPr>
        <a:xfrm>
          <a:off x="13354050" y="1552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3</xdr:col>
      <xdr:colOff>190500</xdr:colOff>
      <xdr:row>17</xdr:row>
      <xdr:rowOff>57150</xdr:rowOff>
    </xdr:from>
    <xdr:ext cx="708335" cy="31874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4962525" y="3448050"/>
              <a:ext cx="708335" cy="3187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𝑆𝑃𝑅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𝜑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𝜑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4962525" y="3448050"/>
              <a:ext cx="708335" cy="3187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〖𝑆𝑃𝑅〗_𝐹=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𝜑_</a:t>
              </a:r>
              <a:r>
                <a:rPr lang="en-US" sz="1100" b="0" i="0">
                  <a:latin typeface="Cambria Math" panose="02040503050406030204" pitchFamily="18" charset="0"/>
                </a:rPr>
                <a:t>𝐹/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𝜑_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 </a:t>
              </a:r>
              <a:endParaRPr lang="en-CA" sz="1100"/>
            </a:p>
          </xdr:txBody>
        </xdr:sp>
      </mc:Fallback>
    </mc:AlternateContent>
    <xdr:clientData/>
  </xdr:oneCellAnchor>
  <xdr:oneCellAnchor>
    <xdr:from>
      <xdr:col>3</xdr:col>
      <xdr:colOff>171450</xdr:colOff>
      <xdr:row>19</xdr:row>
      <xdr:rowOff>133350</xdr:rowOff>
    </xdr:from>
    <xdr:ext cx="2707344" cy="462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/>
            <xdr:cNvSpPr txBox="1"/>
          </xdr:nvSpPr>
          <xdr:spPr>
            <a:xfrm>
              <a:off x="4943475" y="3905250"/>
              <a:ext cx="2707344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𝑌𝑃𝑅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CA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sSub>
                          <m:sSubPr>
                            <m:ctrlPr>
                              <a:rPr lang="en-CA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𝑚𝑎𝑥</m:t>
                            </m:r>
                          </m:sub>
                        </m:sSub>
                      </m:sup>
                      <m:e>
                        <m:f>
                          <m:fPr>
                            <m:ctrlPr>
                              <a:rPr lang="en-CA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CA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𝑙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CA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𝑤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𝐹</m:t>
                            </m:r>
                            <m:sSub>
                              <m:sSubPr>
                                <m:ctrlPr>
                                  <a:rPr lang="en-CA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sub>
                            </m:sSub>
                            <m:d>
                              <m:d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1−</m:t>
                                </m:r>
                                <m:r>
                                  <m:rPr>
                                    <m:sty m:val="p"/>
                                  </m:rPr>
                                  <a:rPr lang="en-US" sz="1100" b="0" i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exp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(−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𝐹</m:t>
                                </m:r>
                                <m:sSub>
                                  <m:sSubPr>
                                    <m:ctrlPr>
                                      <a:rPr lang="en-CA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𝑣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𝑎</m:t>
                                    </m:r>
                                  </m:sub>
                                </m:s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CA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𝑀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𝑎</m:t>
                                    </m:r>
                                  </m:sub>
                                </m:s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e>
                            </m:d>
                          </m:num>
                          <m:den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𝐹</m:t>
                            </m:r>
                            <m:sSub>
                              <m:sSubPr>
                                <m:ctrlPr>
                                  <a:rPr lang="en-CA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CA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den>
                        </m:f>
                      </m:e>
                    </m:nary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4" name="TextBox 3"/>
            <xdr:cNvSpPr txBox="1"/>
          </xdr:nvSpPr>
          <xdr:spPr>
            <a:xfrm>
              <a:off x="4943475" y="3905250"/>
              <a:ext cx="2707344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CA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𝑌𝑃𝑅</a:t>
              </a:r>
              <a:r>
                <a:rPr lang="en-CA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〗_</a:t>
              </a:r>
              <a:r>
                <a:rPr lang="en-US" sz="1100" b="0" i="0">
                  <a:latin typeface="Cambria Math" panose="02040503050406030204" pitchFamily="18" charset="0"/>
                </a:rPr>
                <a:t>𝐹=</a:t>
              </a:r>
              <a:r>
                <a:rPr lang="en-CA" sz="1100" i="0">
                  <a:latin typeface="Cambria Math" panose="02040503050406030204" pitchFamily="18" charset="0"/>
                </a:rPr>
                <a:t>∑</a:t>
              </a:r>
              <a:r>
                <a:rPr lang="en-US" sz="1100" b="0" i="0">
                  <a:latin typeface="Cambria Math" panose="02040503050406030204" pitchFamily="18" charset="0"/>
                </a:rPr>
                <a:t>_</a:t>
              </a:r>
              <a:r>
                <a:rPr lang="en-CA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𝑎=1</a:t>
              </a:r>
              <a:r>
                <a:rPr lang="en-CA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^(𝑎</a:t>
              </a:r>
              <a:r>
                <a:rPr lang="en-CA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𝑚𝑎𝑥)▒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𝑙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 𝐹𝑣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 (1−exp(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𝐹𝑣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𝑀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𝑎))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(𝐹𝑣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𝑎+𝑀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𝑎)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endParaRPr lang="en-CA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47625</xdr:colOff>
      <xdr:row>7</xdr:row>
      <xdr:rowOff>28575</xdr:rowOff>
    </xdr:from>
    <xdr:ext cx="184731" cy="264560"/>
    <xdr:sp macro="" textlink="">
      <xdr:nvSpPr>
        <xdr:cNvPr id="2" name="TextBox 1"/>
        <xdr:cNvSpPr txBox="1"/>
      </xdr:nvSpPr>
      <xdr:spPr>
        <a:xfrm>
          <a:off x="13354050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3</xdr:col>
      <xdr:colOff>190500</xdr:colOff>
      <xdr:row>17</xdr:row>
      <xdr:rowOff>57150</xdr:rowOff>
    </xdr:from>
    <xdr:ext cx="708335" cy="31874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/>
            <xdr:cNvSpPr txBox="1"/>
          </xdr:nvSpPr>
          <xdr:spPr>
            <a:xfrm>
              <a:off x="4962525" y="3448050"/>
              <a:ext cx="708335" cy="3187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𝑆𝑃𝑅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𝜑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𝜑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4962525" y="3448050"/>
              <a:ext cx="708335" cy="3187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〖𝑆𝑃𝑅〗_𝐹=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𝜑_</a:t>
              </a:r>
              <a:r>
                <a:rPr lang="en-US" sz="1100" b="0" i="0">
                  <a:latin typeface="Cambria Math" panose="02040503050406030204" pitchFamily="18" charset="0"/>
                </a:rPr>
                <a:t>𝐹/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𝜑_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 </a:t>
              </a:r>
              <a:endParaRPr lang="en-CA" sz="1100"/>
            </a:p>
          </xdr:txBody>
        </xdr:sp>
      </mc:Fallback>
    </mc:AlternateContent>
    <xdr:clientData/>
  </xdr:oneCellAnchor>
  <xdr:oneCellAnchor>
    <xdr:from>
      <xdr:col>3</xdr:col>
      <xdr:colOff>171450</xdr:colOff>
      <xdr:row>19</xdr:row>
      <xdr:rowOff>133350</xdr:rowOff>
    </xdr:from>
    <xdr:ext cx="2707344" cy="462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/>
            <xdr:cNvSpPr txBox="1"/>
          </xdr:nvSpPr>
          <xdr:spPr>
            <a:xfrm>
              <a:off x="4943475" y="3905250"/>
              <a:ext cx="2707344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𝑌𝑃𝑅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CA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sSub>
                          <m:sSubPr>
                            <m:ctrlPr>
                              <a:rPr lang="en-CA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𝑚𝑎𝑥</m:t>
                            </m:r>
                          </m:sub>
                        </m:sSub>
                      </m:sup>
                      <m:e>
                        <m:f>
                          <m:fPr>
                            <m:ctrlPr>
                              <a:rPr lang="en-CA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CA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𝑙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CA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𝑤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𝐹</m:t>
                            </m:r>
                            <m:sSub>
                              <m:sSubPr>
                                <m:ctrlPr>
                                  <a:rPr lang="en-CA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sub>
                            </m:sSub>
                            <m:d>
                              <m:d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1−</m:t>
                                </m:r>
                                <m:r>
                                  <m:rPr>
                                    <m:sty m:val="p"/>
                                  </m:rPr>
                                  <a:rPr lang="en-US" sz="1100" b="0" i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exp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(−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𝐹</m:t>
                                </m:r>
                                <m:sSub>
                                  <m:sSubPr>
                                    <m:ctrlPr>
                                      <a:rPr lang="en-CA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𝑣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𝑎</m:t>
                                    </m:r>
                                  </m:sub>
                                </m:s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CA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𝑀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𝑎</m:t>
                                    </m:r>
                                  </m:sub>
                                </m:s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e>
                            </m:d>
                          </m:num>
                          <m:den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𝐹</m:t>
                            </m:r>
                            <m:sSub>
                              <m:sSubPr>
                                <m:ctrlPr>
                                  <a:rPr lang="en-CA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CA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den>
                        </m:f>
                      </m:e>
                    </m:nary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4" name="TextBox 3"/>
            <xdr:cNvSpPr txBox="1"/>
          </xdr:nvSpPr>
          <xdr:spPr>
            <a:xfrm>
              <a:off x="4943475" y="3905250"/>
              <a:ext cx="2707344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CA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𝑌𝑃𝑅</a:t>
              </a:r>
              <a:r>
                <a:rPr lang="en-CA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〗_</a:t>
              </a:r>
              <a:r>
                <a:rPr lang="en-US" sz="1100" b="0" i="0">
                  <a:latin typeface="Cambria Math" panose="02040503050406030204" pitchFamily="18" charset="0"/>
                </a:rPr>
                <a:t>𝐹=</a:t>
              </a:r>
              <a:r>
                <a:rPr lang="en-CA" sz="1100" i="0">
                  <a:latin typeface="Cambria Math" panose="02040503050406030204" pitchFamily="18" charset="0"/>
                </a:rPr>
                <a:t>∑</a:t>
              </a:r>
              <a:r>
                <a:rPr lang="en-US" sz="1100" b="0" i="0">
                  <a:latin typeface="Cambria Math" panose="02040503050406030204" pitchFamily="18" charset="0"/>
                </a:rPr>
                <a:t>_</a:t>
              </a:r>
              <a:r>
                <a:rPr lang="en-CA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𝑎=1</a:t>
              </a:r>
              <a:r>
                <a:rPr lang="en-CA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^(𝑎</a:t>
              </a:r>
              <a:r>
                <a:rPr lang="en-CA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𝑚𝑎𝑥)▒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𝑙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 𝐹𝑣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 (1−exp(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𝐹𝑣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𝑀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𝑎))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(𝐹𝑣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𝑎+𝑀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𝑎)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endParaRPr lang="en-CA" sz="1100"/>
            </a:p>
          </xdr:txBody>
        </xdr:sp>
      </mc:Fallback>
    </mc:AlternateContent>
    <xdr:clientData/>
  </xdr:oneCellAnchor>
  <xdr:twoCellAnchor>
    <xdr:from>
      <xdr:col>19</xdr:col>
      <xdr:colOff>0</xdr:colOff>
      <xdr:row>0</xdr:row>
      <xdr:rowOff>0</xdr:rowOff>
    </xdr:from>
    <xdr:to>
      <xdr:col>26</xdr:col>
      <xdr:colOff>304800</xdr:colOff>
      <xdr:row>13</xdr:row>
      <xdr:rowOff>114300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14</xdr:row>
      <xdr:rowOff>0</xdr:rowOff>
    </xdr:from>
    <xdr:to>
      <xdr:col>26</xdr:col>
      <xdr:colOff>304800</xdr:colOff>
      <xdr:row>27</xdr:row>
      <xdr:rowOff>114300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47625</xdr:colOff>
      <xdr:row>7</xdr:row>
      <xdr:rowOff>28575</xdr:rowOff>
    </xdr:from>
    <xdr:ext cx="184731" cy="264560"/>
    <xdr:sp macro="" textlink="">
      <xdr:nvSpPr>
        <xdr:cNvPr id="2" name="TextBox 1"/>
        <xdr:cNvSpPr txBox="1"/>
      </xdr:nvSpPr>
      <xdr:spPr>
        <a:xfrm>
          <a:off x="12134850" y="142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twoCellAnchor>
    <xdr:from>
      <xdr:col>19</xdr:col>
      <xdr:colOff>0</xdr:colOff>
      <xdr:row>14</xdr:row>
      <xdr:rowOff>0</xdr:rowOff>
    </xdr:from>
    <xdr:to>
      <xdr:col>26</xdr:col>
      <xdr:colOff>304800</xdr:colOff>
      <xdr:row>27</xdr:row>
      <xdr:rowOff>133350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0</xdr:row>
      <xdr:rowOff>0</xdr:rowOff>
    </xdr:from>
    <xdr:to>
      <xdr:col>26</xdr:col>
      <xdr:colOff>304800</xdr:colOff>
      <xdr:row>13</xdr:row>
      <xdr:rowOff>114300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47625</xdr:colOff>
      <xdr:row>7</xdr:row>
      <xdr:rowOff>28575</xdr:rowOff>
    </xdr:from>
    <xdr:ext cx="184731" cy="264560"/>
    <xdr:sp macro="" textlink="">
      <xdr:nvSpPr>
        <xdr:cNvPr id="2" name="TextBox 1"/>
        <xdr:cNvSpPr txBox="1"/>
      </xdr:nvSpPr>
      <xdr:spPr>
        <a:xfrm>
          <a:off x="13354050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3</xdr:col>
      <xdr:colOff>28575</xdr:colOff>
      <xdr:row>23</xdr:row>
      <xdr:rowOff>123825</xdr:rowOff>
    </xdr:from>
    <xdr:ext cx="941733" cy="3197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/>
            <xdr:cNvSpPr txBox="1"/>
          </xdr:nvSpPr>
          <xdr:spPr>
            <a:xfrm>
              <a:off x="4800600" y="3171825"/>
              <a:ext cx="941733" cy="3197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𝑅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𝑎𝐵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𝑏𝐵</m:t>
                        </m:r>
                      </m:den>
                    </m:f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7" name="TextBox 6"/>
            <xdr:cNvSpPr txBox="1"/>
          </xdr:nvSpPr>
          <xdr:spPr>
            <a:xfrm>
              <a:off x="4800600" y="3171825"/>
              <a:ext cx="941733" cy="3197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𝑅(𝐵)=𝑎𝐵/(1+𝑏𝐵)</a:t>
              </a:r>
              <a:endParaRPr lang="en-CA" sz="1100"/>
            </a:p>
          </xdr:txBody>
        </xdr:sp>
      </mc:Fallback>
    </mc:AlternateContent>
    <xdr:clientData/>
  </xdr:oneCellAnchor>
  <xdr:oneCellAnchor>
    <xdr:from>
      <xdr:col>2</xdr:col>
      <xdr:colOff>1990725</xdr:colOff>
      <xdr:row>27</xdr:row>
      <xdr:rowOff>123825</xdr:rowOff>
    </xdr:from>
    <xdr:ext cx="2138342" cy="3514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/>
            <xdr:cNvSpPr txBox="1"/>
          </xdr:nvSpPr>
          <xdr:spPr>
            <a:xfrm>
              <a:off x="4752975" y="3933825"/>
              <a:ext cx="2138342" cy="3514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𝑅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h𝐵</m:t>
                        </m:r>
                      </m:num>
                      <m:den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h</m:t>
                            </m:r>
                          </m:e>
                        </m:d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𝜑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+(5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−1)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den>
                    </m:f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8" name="TextBox 7"/>
            <xdr:cNvSpPr txBox="1"/>
          </xdr:nvSpPr>
          <xdr:spPr>
            <a:xfrm>
              <a:off x="4752975" y="3933825"/>
              <a:ext cx="2138342" cy="3514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𝑅(𝐵)=(4𝑅_0 ℎ𝐵)/((1−ℎ)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𝑅_0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𝜑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_0</a:t>
              </a:r>
              <a:r>
                <a:rPr lang="en-US" sz="1100" b="0" i="0">
                  <a:latin typeface="Cambria Math" panose="02040503050406030204" pitchFamily="18" charset="0"/>
                </a:rPr>
                <a:t>+(5ℎ−1)𝐵)</a:t>
              </a:r>
              <a:endParaRPr lang="en-CA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31</xdr:row>
      <xdr:rowOff>0</xdr:rowOff>
    </xdr:from>
    <xdr:ext cx="814005" cy="3186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/>
            <xdr:cNvSpPr txBox="1"/>
          </xdr:nvSpPr>
          <xdr:spPr>
            <a:xfrm>
              <a:off x="4772025" y="5486400"/>
              <a:ext cx="814005" cy="3186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h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𝜑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𝜑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9" name="TextBox 8"/>
            <xdr:cNvSpPr txBox="1"/>
          </xdr:nvSpPr>
          <xdr:spPr>
            <a:xfrm>
              <a:off x="4772025" y="5486400"/>
              <a:ext cx="814005" cy="3186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ℎ=  (𝑎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𝜑_0)/(</a:t>
              </a:r>
              <a:r>
                <a:rPr lang="en-US" sz="1100" b="0" i="0">
                  <a:latin typeface="Cambria Math" panose="02040503050406030204" pitchFamily="18" charset="0"/>
                </a:rPr>
                <a:t>4+𝑎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𝜑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_0 )</a:t>
              </a:r>
              <a:endParaRPr lang="en-CA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34</xdr:row>
      <xdr:rowOff>0</xdr:rowOff>
    </xdr:from>
    <xdr:ext cx="1066061" cy="3803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/>
            <xdr:cNvSpPr txBox="1"/>
          </xdr:nvSpPr>
          <xdr:spPr>
            <a:xfrm>
              <a:off x="4772025" y="6057900"/>
              <a:ext cx="1066061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den>
                    </m:f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num>
                          <m:den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𝜑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sub>
                            </m:sSub>
                          </m:den>
                        </m:f>
                      </m:e>
                    </m:d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10" name="TextBox 9"/>
            <xdr:cNvSpPr txBox="1"/>
          </xdr:nvSpPr>
          <xdr:spPr>
            <a:xfrm>
              <a:off x="4772025" y="6057900"/>
              <a:ext cx="1066061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𝑅_0</a:t>
              </a:r>
              <a:r>
                <a:rPr lang="en-US" sz="1100" b="0" i="0">
                  <a:latin typeface="Cambria Math" panose="02040503050406030204" pitchFamily="18" charset="0"/>
                </a:rPr>
                <a:t>=  1/𝑏 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</a:t>
              </a:r>
              <a:r>
                <a:rPr lang="en-US" sz="1100" b="0" i="0">
                  <a:latin typeface="Cambria Math" panose="02040503050406030204" pitchFamily="18" charset="0"/>
                </a:rPr>
                <a:t>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1/𝜑_0 )</a:t>
              </a:r>
              <a:endParaRPr lang="en-CA" sz="1100"/>
            </a:p>
          </xdr:txBody>
        </xdr:sp>
      </mc:Fallback>
    </mc:AlternateContent>
    <xdr:clientData/>
  </xdr:oneCellAnchor>
  <xdr:twoCellAnchor>
    <xdr:from>
      <xdr:col>19</xdr:col>
      <xdr:colOff>0</xdr:colOff>
      <xdr:row>28</xdr:row>
      <xdr:rowOff>0</xdr:rowOff>
    </xdr:from>
    <xdr:to>
      <xdr:col>26</xdr:col>
      <xdr:colOff>304800</xdr:colOff>
      <xdr:row>41</xdr:row>
      <xdr:rowOff>114300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0.68333</cdr:x>
      <cdr:y>0.30515</cdr:y>
    </cdr:from>
    <cdr:to>
      <cdr:x>0.86042</cdr:x>
      <cdr:y>0.41912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124200" y="790575"/>
          <a:ext cx="809625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CA" sz="1100">
              <a:latin typeface="Arial" panose="020B0604020202020204" pitchFamily="34" charset="0"/>
              <a:cs typeface="Arial" panose="020B0604020202020204" pitchFamily="34" charset="0"/>
            </a:rPr>
            <a:t>(SSB</a:t>
          </a:r>
          <a:r>
            <a:rPr lang="en-CA" sz="1100" baseline="-25000">
              <a:latin typeface="Arial" panose="020B0604020202020204" pitchFamily="34" charset="0"/>
              <a:cs typeface="Arial" panose="020B0604020202020204" pitchFamily="34" charset="0"/>
            </a:rPr>
            <a:t>0</a:t>
          </a:r>
          <a:r>
            <a:rPr lang="en-CA" sz="1100">
              <a:latin typeface="Arial" panose="020B0604020202020204" pitchFamily="34" charset="0"/>
              <a:cs typeface="Arial" panose="020B0604020202020204" pitchFamily="34" charset="0"/>
            </a:rPr>
            <a:t>,R</a:t>
          </a:r>
          <a:r>
            <a:rPr lang="en-CA" sz="1100" baseline="-25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0</a:t>
          </a:r>
          <a:r>
            <a:rPr lang="en-CA" sz="1100">
              <a:latin typeface="Arial" panose="020B0604020202020204" pitchFamily="34" charset="0"/>
              <a:cs typeface="Arial" panose="020B0604020202020204" pitchFamily="34" charset="0"/>
            </a:rPr>
            <a:t>)</a:t>
          </a:r>
        </a:p>
      </cdr:txBody>
    </cdr:sp>
  </cdr:relSizeAnchor>
  <cdr:relSizeAnchor xmlns:cdr="http://schemas.openxmlformats.org/drawingml/2006/chartDrawing">
    <cdr:from>
      <cdr:x>0.19583</cdr:x>
      <cdr:y>0.26961</cdr:y>
    </cdr:from>
    <cdr:to>
      <cdr:x>0.69792</cdr:x>
      <cdr:y>0.36029</cdr:y>
    </cdr:to>
    <cdr:sp macro="" textlink="'SRR and Yield'!$V$46">
      <cdr:nvSpPr>
        <cdr:cNvPr id="3" name="TextBox 1"/>
        <cdr:cNvSpPr txBox="1"/>
      </cdr:nvSpPr>
      <cdr:spPr>
        <a:xfrm xmlns:a="http://schemas.openxmlformats.org/drawingml/2006/main">
          <a:off x="895350" y="698501"/>
          <a:ext cx="2295525" cy="234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25E70902-74AF-4CDD-9544-CC78F5C6A1B3}" type="TxLink">
            <a:rPr lang="en-US" sz="1100" b="0" i="0" u="none" strike="noStrike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pPr/>
            <a:t>(Eq_SSBF,Eq_recF) at F=0.1</a:t>
          </a:fld>
          <a:endParaRPr lang="en-CA" sz="110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47625</xdr:colOff>
      <xdr:row>7</xdr:row>
      <xdr:rowOff>28575</xdr:rowOff>
    </xdr:from>
    <xdr:ext cx="184731" cy="264560"/>
    <xdr:sp macro="" textlink="">
      <xdr:nvSpPr>
        <xdr:cNvPr id="2" name="TextBox 1"/>
        <xdr:cNvSpPr txBox="1"/>
      </xdr:nvSpPr>
      <xdr:spPr>
        <a:xfrm>
          <a:off x="13354050" y="1362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twoCellAnchor>
    <xdr:from>
      <xdr:col>19</xdr:col>
      <xdr:colOff>0</xdr:colOff>
      <xdr:row>14</xdr:row>
      <xdr:rowOff>0</xdr:rowOff>
    </xdr:from>
    <xdr:to>
      <xdr:col>26</xdr:col>
      <xdr:colOff>304800</xdr:colOff>
      <xdr:row>27</xdr:row>
      <xdr:rowOff>133350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28</xdr:row>
      <xdr:rowOff>0</xdr:rowOff>
    </xdr:from>
    <xdr:to>
      <xdr:col>26</xdr:col>
      <xdr:colOff>304800</xdr:colOff>
      <xdr:row>41</xdr:row>
      <xdr:rowOff>114300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0</xdr:row>
      <xdr:rowOff>0</xdr:rowOff>
    </xdr:from>
    <xdr:to>
      <xdr:col>26</xdr:col>
      <xdr:colOff>304800</xdr:colOff>
      <xdr:row>13</xdr:row>
      <xdr:rowOff>114300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56</xdr:row>
      <xdr:rowOff>0</xdr:rowOff>
    </xdr:from>
    <xdr:to>
      <xdr:col>26</xdr:col>
      <xdr:colOff>304800</xdr:colOff>
      <xdr:row>69</xdr:row>
      <xdr:rowOff>133350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42</xdr:row>
      <xdr:rowOff>0</xdr:rowOff>
    </xdr:from>
    <xdr:to>
      <xdr:col>26</xdr:col>
      <xdr:colOff>304800</xdr:colOff>
      <xdr:row>55</xdr:row>
      <xdr:rowOff>133350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0.64583</cdr:x>
      <cdr:y>0.1875</cdr:y>
    </cdr:from>
    <cdr:to>
      <cdr:x>0.82292</cdr:x>
      <cdr:y>0.30147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952735" y="485783"/>
          <a:ext cx="809655" cy="2952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CA" sz="1100">
              <a:latin typeface="Arial" panose="020B0604020202020204" pitchFamily="34" charset="0"/>
              <a:cs typeface="Arial" panose="020B0604020202020204" pitchFamily="34" charset="0"/>
            </a:rPr>
            <a:t>(SSB</a:t>
          </a:r>
          <a:r>
            <a:rPr lang="en-CA" sz="1100" baseline="-25000">
              <a:latin typeface="Arial" panose="020B0604020202020204" pitchFamily="34" charset="0"/>
              <a:cs typeface="Arial" panose="020B0604020202020204" pitchFamily="34" charset="0"/>
            </a:rPr>
            <a:t>0</a:t>
          </a:r>
          <a:r>
            <a:rPr lang="en-CA" sz="1100">
              <a:latin typeface="Arial" panose="020B0604020202020204" pitchFamily="34" charset="0"/>
              <a:cs typeface="Arial" panose="020B0604020202020204" pitchFamily="34" charset="0"/>
            </a:rPr>
            <a:t>,R</a:t>
          </a:r>
          <a:r>
            <a:rPr lang="en-CA" sz="1100" baseline="-25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0</a:t>
          </a:r>
          <a:r>
            <a:rPr lang="en-CA" sz="1100">
              <a:latin typeface="Arial" panose="020B0604020202020204" pitchFamily="34" charset="0"/>
              <a:cs typeface="Arial" panose="020B0604020202020204" pitchFamily="34" charset="0"/>
            </a:rPr>
            <a:t>)</a:t>
          </a:r>
        </a:p>
      </cdr:txBody>
    </cdr:sp>
  </cdr:relSizeAnchor>
  <cdr:relSizeAnchor xmlns:cdr="http://schemas.openxmlformats.org/drawingml/2006/chartDrawing">
    <cdr:from>
      <cdr:x>0.19583</cdr:x>
      <cdr:y>0.26961</cdr:y>
    </cdr:from>
    <cdr:to>
      <cdr:x>0.69792</cdr:x>
      <cdr:y>0.36029</cdr:y>
    </cdr:to>
    <cdr:sp macro="" textlink="MSY!$V$46">
      <cdr:nvSpPr>
        <cdr:cNvPr id="3" name="TextBox 1"/>
        <cdr:cNvSpPr txBox="1"/>
      </cdr:nvSpPr>
      <cdr:spPr>
        <a:xfrm xmlns:a="http://schemas.openxmlformats.org/drawingml/2006/main">
          <a:off x="895350" y="698501"/>
          <a:ext cx="2295525" cy="234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25E70902-74AF-4CDD-9544-CC78F5C6A1B3}" type="TxLink">
            <a:rPr lang="en-US" sz="1100" b="0" i="0" u="none" strike="noStrike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pPr/>
            <a:t>(Eq_SSBF,Eq_recF) at FMSY</a:t>
          </a:fld>
          <a:endParaRPr lang="en-CA" sz="110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0.29028</cdr:x>
      <cdr:y>0.01946</cdr:y>
    </cdr:from>
    <cdr:to>
      <cdr:x>0.46737</cdr:x>
      <cdr:y>0.1326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27145" y="50790"/>
          <a:ext cx="809655" cy="2952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>
              <a:solidFill>
                <a:schemeClr val="accent2"/>
              </a:solidFill>
              <a:latin typeface="Arial" panose="020B0604020202020204" pitchFamily="34" charset="0"/>
              <a:cs typeface="Arial" panose="020B0604020202020204" pitchFamily="34" charset="0"/>
            </a:rPr>
            <a:t>MSY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0.25903</cdr:x>
      <cdr:y>0.43917</cdr:y>
    </cdr:from>
    <cdr:to>
      <cdr:x>0.43612</cdr:x>
      <cdr:y>0.55231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184270" y="1146166"/>
          <a:ext cx="809655" cy="2952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>
              <a:solidFill>
                <a:schemeClr val="accent2"/>
              </a:solidFill>
              <a:latin typeface="Arial" panose="020B0604020202020204" pitchFamily="34" charset="0"/>
              <a:cs typeface="Arial" panose="020B0604020202020204" pitchFamily="34" charset="0"/>
            </a:rPr>
            <a:t>MSY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onlinelibrary.wiley.com/doi/full/10.1111/faf.12534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C26"/>
  <sheetViews>
    <sheetView tabSelected="1" workbookViewId="0">
      <selection activeCell="F16" sqref="F16"/>
    </sheetView>
  </sheetViews>
  <sheetFormatPr defaultRowHeight="15" x14ac:dyDescent="0.25"/>
  <cols>
    <col min="1" max="1" width="15.5703125" bestFit="1" customWidth="1"/>
    <col min="2" max="2" width="67.85546875" bestFit="1" customWidth="1"/>
    <col min="3" max="3" width="36.140625" bestFit="1" customWidth="1"/>
  </cols>
  <sheetData>
    <row r="1" spans="1:3" x14ac:dyDescent="0.25">
      <c r="A1" s="73" t="s">
        <v>131</v>
      </c>
      <c r="B1" s="73"/>
      <c r="C1" s="73"/>
    </row>
    <row r="2" spans="1:3" ht="15.75" thickBot="1" x14ac:dyDescent="0.3"/>
    <row r="3" spans="1:3" x14ac:dyDescent="0.25">
      <c r="A3" s="51" t="s">
        <v>80</v>
      </c>
      <c r="B3" s="52" t="s">
        <v>83</v>
      </c>
      <c r="C3" s="53" t="s">
        <v>84</v>
      </c>
    </row>
    <row r="4" spans="1:3" x14ac:dyDescent="0.25">
      <c r="A4" s="54" t="s">
        <v>81</v>
      </c>
      <c r="B4" s="33" t="s">
        <v>91</v>
      </c>
      <c r="C4" s="55" t="s">
        <v>85</v>
      </c>
    </row>
    <row r="5" spans="1:3" x14ac:dyDescent="0.25">
      <c r="A5" s="56" t="s">
        <v>86</v>
      </c>
      <c r="B5" s="30" t="s">
        <v>92</v>
      </c>
      <c r="C5" s="57" t="s">
        <v>86</v>
      </c>
    </row>
    <row r="6" spans="1:3" x14ac:dyDescent="0.25">
      <c r="A6" s="54"/>
      <c r="B6" s="33" t="s">
        <v>19</v>
      </c>
      <c r="C6" s="55"/>
    </row>
    <row r="7" spans="1:3" x14ac:dyDescent="0.25">
      <c r="A7" s="56" t="s">
        <v>87</v>
      </c>
      <c r="B7" s="30" t="s">
        <v>92</v>
      </c>
      <c r="C7" s="57" t="s">
        <v>89</v>
      </c>
    </row>
    <row r="8" spans="1:3" x14ac:dyDescent="0.25">
      <c r="A8" s="54"/>
      <c r="B8" s="33" t="s">
        <v>88</v>
      </c>
      <c r="C8" s="55"/>
    </row>
    <row r="9" spans="1:3" x14ac:dyDescent="0.25">
      <c r="A9" s="56" t="s">
        <v>126</v>
      </c>
      <c r="B9" s="30" t="s">
        <v>92</v>
      </c>
      <c r="C9" s="57" t="s">
        <v>127</v>
      </c>
    </row>
    <row r="10" spans="1:3" x14ac:dyDescent="0.25">
      <c r="A10" s="56"/>
      <c r="B10" s="30" t="s">
        <v>88</v>
      </c>
      <c r="C10" s="57"/>
    </row>
    <row r="11" spans="1:3" x14ac:dyDescent="0.25">
      <c r="A11" s="54"/>
      <c r="B11" s="33" t="s">
        <v>128</v>
      </c>
      <c r="C11" s="55"/>
    </row>
    <row r="12" spans="1:3" x14ac:dyDescent="0.25">
      <c r="A12" s="74" t="s">
        <v>129</v>
      </c>
      <c r="B12" s="75"/>
      <c r="C12" s="76"/>
    </row>
    <row r="13" spans="1:3" x14ac:dyDescent="0.25">
      <c r="A13" s="70" t="s">
        <v>90</v>
      </c>
      <c r="B13" s="30" t="s">
        <v>92</v>
      </c>
      <c r="C13" s="57" t="s">
        <v>93</v>
      </c>
    </row>
    <row r="14" spans="1:3" x14ac:dyDescent="0.25">
      <c r="A14" s="70"/>
      <c r="B14" s="30" t="s">
        <v>95</v>
      </c>
      <c r="C14" s="57" t="s">
        <v>94</v>
      </c>
    </row>
    <row r="15" spans="1:3" x14ac:dyDescent="0.25">
      <c r="A15" s="71"/>
      <c r="B15" s="33" t="s">
        <v>19</v>
      </c>
      <c r="C15" s="55"/>
    </row>
    <row r="16" spans="1:3" ht="18" x14ac:dyDescent="0.35">
      <c r="A16" s="70" t="s">
        <v>75</v>
      </c>
      <c r="B16" s="30" t="s">
        <v>92</v>
      </c>
      <c r="C16" s="58" t="s">
        <v>96</v>
      </c>
    </row>
    <row r="17" spans="1:3" x14ac:dyDescent="0.25">
      <c r="A17" s="70"/>
      <c r="B17" s="30" t="s">
        <v>95</v>
      </c>
      <c r="C17" s="57"/>
    </row>
    <row r="18" spans="1:3" ht="15.75" thickBot="1" x14ac:dyDescent="0.3">
      <c r="A18" s="72"/>
      <c r="B18" s="59" t="s">
        <v>88</v>
      </c>
      <c r="C18" s="60"/>
    </row>
    <row r="21" spans="1:3" x14ac:dyDescent="0.25">
      <c r="A21" t="s">
        <v>97</v>
      </c>
    </row>
    <row r="22" spans="1:3" x14ac:dyDescent="0.25">
      <c r="A22" s="17" t="s">
        <v>101</v>
      </c>
      <c r="B22" s="17"/>
    </row>
    <row r="23" spans="1:3" x14ac:dyDescent="0.25">
      <c r="A23" s="15" t="s">
        <v>98</v>
      </c>
      <c r="B23" s="15"/>
    </row>
    <row r="24" spans="1:3" x14ac:dyDescent="0.25">
      <c r="A24" s="14" t="s">
        <v>99</v>
      </c>
      <c r="B24" s="14"/>
    </row>
    <row r="25" spans="1:3" x14ac:dyDescent="0.25">
      <c r="A25" s="20" t="s">
        <v>100</v>
      </c>
      <c r="B25" s="20"/>
    </row>
    <row r="26" spans="1:3" x14ac:dyDescent="0.25">
      <c r="A26" s="62" t="s">
        <v>130</v>
      </c>
      <c r="B26" s="62"/>
    </row>
  </sheetData>
  <mergeCells count="2">
    <mergeCell ref="A1:C1"/>
    <mergeCell ref="A12:C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>
      <selection activeCell="E2" sqref="E2:M6"/>
    </sheetView>
  </sheetViews>
  <sheetFormatPr defaultRowHeight="15" customHeight="1" x14ac:dyDescent="0.25"/>
  <cols>
    <col min="1" max="1" width="32.28515625" customWidth="1"/>
    <col min="3" max="3" width="30.140625" bestFit="1" customWidth="1"/>
  </cols>
  <sheetData>
    <row r="1" spans="1:15" ht="15" customHeight="1" x14ac:dyDescent="0.25">
      <c r="A1" s="80" t="s">
        <v>40</v>
      </c>
      <c r="E1" t="s">
        <v>1</v>
      </c>
    </row>
    <row r="2" spans="1:15" ht="15" customHeight="1" x14ac:dyDescent="0.25">
      <c r="A2" s="80"/>
      <c r="C2" t="s">
        <v>0</v>
      </c>
      <c r="E2" s="8">
        <v>1</v>
      </c>
      <c r="F2" s="8">
        <v>2</v>
      </c>
      <c r="G2" s="8">
        <v>3</v>
      </c>
      <c r="H2" s="8">
        <v>4</v>
      </c>
      <c r="I2" s="8">
        <v>5</v>
      </c>
      <c r="J2" s="8">
        <v>6</v>
      </c>
      <c r="K2" s="8">
        <v>7</v>
      </c>
      <c r="L2" s="8">
        <v>8</v>
      </c>
      <c r="M2" s="8" t="s">
        <v>103</v>
      </c>
      <c r="N2" t="s">
        <v>2</v>
      </c>
      <c r="O2" t="s">
        <v>15</v>
      </c>
    </row>
    <row r="3" spans="1:15" ht="15" customHeight="1" x14ac:dyDescent="0.25">
      <c r="C3" t="s">
        <v>26</v>
      </c>
      <c r="D3" s="1" t="s">
        <v>11</v>
      </c>
      <c r="E3" s="2">
        <v>0.52868749999999987</v>
      </c>
      <c r="F3" s="2">
        <v>0.91743750000000002</v>
      </c>
      <c r="G3" s="2">
        <v>1.2655000000000001</v>
      </c>
      <c r="H3" s="2">
        <v>1.6353958333333327</v>
      </c>
      <c r="I3" s="2">
        <v>1.9437291666666665</v>
      </c>
      <c r="J3" s="2">
        <v>2.2155416666666663</v>
      </c>
      <c r="K3" s="2">
        <v>2.5180416666666665</v>
      </c>
      <c r="L3" s="2">
        <v>2.7956041666666671</v>
      </c>
      <c r="M3" s="2">
        <v>3.1556875000000009</v>
      </c>
      <c r="N3" s="1" t="s">
        <v>104</v>
      </c>
      <c r="O3" t="s">
        <v>42</v>
      </c>
    </row>
    <row r="4" spans="1:15" ht="15" customHeight="1" x14ac:dyDescent="0.25">
      <c r="C4" s="3" t="s">
        <v>5</v>
      </c>
      <c r="D4" s="3" t="s">
        <v>12</v>
      </c>
      <c r="E4" s="2">
        <v>0.18988256328527628</v>
      </c>
      <c r="F4" s="2">
        <v>0.51525951357153688</v>
      </c>
      <c r="G4" s="2">
        <v>0.83071831606934499</v>
      </c>
      <c r="H4" s="2">
        <v>0.94003787933985505</v>
      </c>
      <c r="I4" s="2">
        <v>0.97565145415800825</v>
      </c>
      <c r="J4" s="2">
        <v>0.9890409620488283</v>
      </c>
      <c r="K4" s="2">
        <v>0.99470052453844637</v>
      </c>
      <c r="L4" s="2">
        <v>0.99730049511242003</v>
      </c>
      <c r="M4" s="2">
        <v>0.99856953956468197</v>
      </c>
      <c r="N4" s="5" t="s">
        <v>4</v>
      </c>
      <c r="O4" t="s">
        <v>42</v>
      </c>
    </row>
    <row r="5" spans="1:15" ht="15" customHeight="1" x14ac:dyDescent="0.25">
      <c r="C5" s="1" t="s">
        <v>6</v>
      </c>
      <c r="D5" s="1" t="s">
        <v>6</v>
      </c>
      <c r="E5" s="2">
        <v>0.2</v>
      </c>
      <c r="F5" s="2">
        <v>0.2</v>
      </c>
      <c r="G5" s="2">
        <v>0.2</v>
      </c>
      <c r="H5" s="2">
        <v>0.2</v>
      </c>
      <c r="I5" s="2">
        <v>0.2</v>
      </c>
      <c r="J5" s="2">
        <v>0.2</v>
      </c>
      <c r="K5" s="2">
        <v>0.2</v>
      </c>
      <c r="L5" s="2">
        <v>0.2</v>
      </c>
      <c r="M5" s="2">
        <v>0.2</v>
      </c>
      <c r="N5" s="4" t="s">
        <v>4</v>
      </c>
      <c r="O5" t="s">
        <v>43</v>
      </c>
    </row>
    <row r="6" spans="1:15" ht="15" customHeight="1" x14ac:dyDescent="0.35">
      <c r="C6" s="11" t="s">
        <v>7</v>
      </c>
      <c r="D6" s="1" t="s">
        <v>23</v>
      </c>
      <c r="E6" s="19">
        <v>1</v>
      </c>
      <c r="F6">
        <f>E6*EXP(-E5)</f>
        <v>0.81873075307798182</v>
      </c>
      <c r="G6">
        <f t="shared" ref="G6:L6" si="0">F6*EXP(-F5)</f>
        <v>0.67032004603563922</v>
      </c>
      <c r="H6">
        <f t="shared" si="0"/>
        <v>0.54881163609402639</v>
      </c>
      <c r="I6">
        <f t="shared" si="0"/>
        <v>0.44932896411722151</v>
      </c>
      <c r="J6">
        <f t="shared" si="0"/>
        <v>0.36787944117144222</v>
      </c>
      <c r="K6">
        <f t="shared" si="0"/>
        <v>0.30119421191220203</v>
      </c>
      <c r="L6">
        <f t="shared" si="0"/>
        <v>0.24659696394160641</v>
      </c>
      <c r="M6" s="20">
        <f>L6*EXP(-L5)/(1-EXP(-M5))</f>
        <v>1.1137935497768741</v>
      </c>
      <c r="N6" s="7" t="s">
        <v>4</v>
      </c>
      <c r="O6" t="s">
        <v>16</v>
      </c>
    </row>
    <row r="7" spans="1:15" ht="15" customHeight="1" x14ac:dyDescent="0.35">
      <c r="C7" s="12" t="s">
        <v>10</v>
      </c>
      <c r="D7" t="s">
        <v>21</v>
      </c>
      <c r="E7">
        <f>SUMPRODUCT(E6:M6,E3:M3,E4:M4)</f>
        <v>8.6457264291539886</v>
      </c>
      <c r="N7" s="1" t="s">
        <v>105</v>
      </c>
    </row>
    <row r="16" spans="1:15" ht="15" customHeight="1" x14ac:dyDescent="0.35">
      <c r="C16" s="77" t="s">
        <v>9</v>
      </c>
      <c r="I16" t="s">
        <v>47</v>
      </c>
    </row>
    <row r="17" spans="3:7" ht="15" customHeight="1" x14ac:dyDescent="0.25">
      <c r="C17" s="77"/>
    </row>
    <row r="18" spans="3:7" ht="15" customHeight="1" x14ac:dyDescent="0.25">
      <c r="C18" s="77"/>
    </row>
    <row r="19" spans="3:7" ht="15" customHeight="1" x14ac:dyDescent="0.25">
      <c r="C19" s="77"/>
    </row>
    <row r="21" spans="3:7" ht="15" customHeight="1" x14ac:dyDescent="0.25">
      <c r="C21" s="78" t="s">
        <v>14</v>
      </c>
    </row>
    <row r="22" spans="3:7" ht="15" customHeight="1" x14ac:dyDescent="0.25">
      <c r="C22" s="78"/>
    </row>
    <row r="23" spans="3:7" ht="15" customHeight="1" x14ac:dyDescent="0.25">
      <c r="C23" s="9"/>
    </row>
    <row r="25" spans="3:7" ht="15" customHeight="1" x14ac:dyDescent="0.25">
      <c r="C25" t="s">
        <v>36</v>
      </c>
    </row>
    <row r="26" spans="3:7" ht="15" customHeight="1" x14ac:dyDescent="0.35">
      <c r="C26" s="79" t="s">
        <v>41</v>
      </c>
      <c r="D26" s="10"/>
      <c r="E26" s="10"/>
      <c r="G26" t="s">
        <v>37</v>
      </c>
    </row>
    <row r="27" spans="3:7" ht="15" customHeight="1" x14ac:dyDescent="0.25">
      <c r="C27" s="79"/>
      <c r="D27" s="10"/>
      <c r="E27" s="10"/>
    </row>
  </sheetData>
  <mergeCells count="4">
    <mergeCell ref="C16:C19"/>
    <mergeCell ref="C21:C22"/>
    <mergeCell ref="C26:C27"/>
    <mergeCell ref="A1:A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>
      <selection activeCell="C39" sqref="C39"/>
    </sheetView>
  </sheetViews>
  <sheetFormatPr defaultRowHeight="15" customHeight="1" x14ac:dyDescent="0.25"/>
  <cols>
    <col min="1" max="1" width="32.28515625" customWidth="1"/>
    <col min="3" max="3" width="30.140625" bestFit="1" customWidth="1"/>
    <col min="5" max="5" width="9.140625" customWidth="1"/>
  </cols>
  <sheetData>
    <row r="1" spans="1:15" ht="15" customHeight="1" x14ac:dyDescent="0.25">
      <c r="A1" s="80" t="s">
        <v>55</v>
      </c>
    </row>
    <row r="2" spans="1:15" ht="15" customHeight="1" x14ac:dyDescent="0.25">
      <c r="A2" s="80"/>
      <c r="C2" t="s">
        <v>0</v>
      </c>
      <c r="E2" s="8">
        <v>1</v>
      </c>
      <c r="F2" s="8">
        <v>2</v>
      </c>
      <c r="G2" s="8">
        <v>3</v>
      </c>
      <c r="H2" s="8">
        <v>4</v>
      </c>
      <c r="I2" s="8">
        <v>5</v>
      </c>
      <c r="J2" s="8">
        <v>6</v>
      </c>
      <c r="K2" s="8">
        <v>7</v>
      </c>
      <c r="L2" s="8">
        <v>8</v>
      </c>
      <c r="M2" s="8" t="s">
        <v>103</v>
      </c>
      <c r="N2" t="s">
        <v>2</v>
      </c>
      <c r="O2" t="s">
        <v>15</v>
      </c>
    </row>
    <row r="3" spans="1:15" ht="15" customHeight="1" x14ac:dyDescent="0.25">
      <c r="C3" t="s">
        <v>26</v>
      </c>
      <c r="D3" s="1" t="s">
        <v>11</v>
      </c>
      <c r="E3" s="2">
        <v>0.52868749999999987</v>
      </c>
      <c r="F3" s="2">
        <v>0.91743750000000002</v>
      </c>
      <c r="G3" s="2">
        <v>1.2655000000000001</v>
      </c>
      <c r="H3" s="2">
        <v>1.6353958333333327</v>
      </c>
      <c r="I3" s="2">
        <v>1.9437291666666665</v>
      </c>
      <c r="J3" s="2">
        <v>2.2155416666666663</v>
      </c>
      <c r="K3" s="2">
        <v>2.5180416666666665</v>
      </c>
      <c r="L3" s="2">
        <v>2.7956041666666671</v>
      </c>
      <c r="M3" s="2">
        <v>3.1556875000000009</v>
      </c>
      <c r="N3" s="1" t="s">
        <v>104</v>
      </c>
      <c r="O3" t="s">
        <v>42</v>
      </c>
    </row>
    <row r="4" spans="1:15" ht="15" customHeight="1" x14ac:dyDescent="0.25">
      <c r="C4" s="3" t="s">
        <v>5</v>
      </c>
      <c r="D4" s="3" t="s">
        <v>12</v>
      </c>
      <c r="E4" s="2">
        <v>0.18988256328527628</v>
      </c>
      <c r="F4" s="2">
        <v>0.51525951357153688</v>
      </c>
      <c r="G4" s="2">
        <v>0.83071831606934499</v>
      </c>
      <c r="H4" s="2">
        <v>0.94003787933985505</v>
      </c>
      <c r="I4" s="2">
        <v>0.97565145415800825</v>
      </c>
      <c r="J4" s="2">
        <v>0.9890409620488283</v>
      </c>
      <c r="K4" s="2">
        <v>0.99470052453844637</v>
      </c>
      <c r="L4" s="2">
        <v>0.99730049511242003</v>
      </c>
      <c r="M4" s="2">
        <v>0.99856953956468197</v>
      </c>
      <c r="N4" s="5" t="s">
        <v>4</v>
      </c>
      <c r="O4" t="s">
        <v>42</v>
      </c>
    </row>
    <row r="5" spans="1:15" ht="15" customHeight="1" x14ac:dyDescent="0.25">
      <c r="A5" s="38" t="s">
        <v>44</v>
      </c>
      <c r="B5" s="17">
        <v>0.1</v>
      </c>
      <c r="C5" s="1" t="s">
        <v>6</v>
      </c>
      <c r="D5" s="1" t="s">
        <v>8</v>
      </c>
      <c r="E5" s="2">
        <v>0.2</v>
      </c>
      <c r="F5" s="2">
        <v>0.2</v>
      </c>
      <c r="G5" s="2">
        <v>0.2</v>
      </c>
      <c r="H5" s="2">
        <v>0.2</v>
      </c>
      <c r="I5" s="2">
        <v>0.2</v>
      </c>
      <c r="J5" s="2">
        <v>0.2</v>
      </c>
      <c r="K5" s="2">
        <v>0.2</v>
      </c>
      <c r="L5" s="2">
        <v>0.2</v>
      </c>
      <c r="M5" s="2">
        <v>0.2</v>
      </c>
      <c r="N5" s="4" t="s">
        <v>4</v>
      </c>
      <c r="O5" t="s">
        <v>43</v>
      </c>
    </row>
    <row r="6" spans="1:15" ht="15" customHeight="1" x14ac:dyDescent="0.35">
      <c r="C6" s="11" t="s">
        <v>7</v>
      </c>
      <c r="D6" s="11" t="s">
        <v>23</v>
      </c>
      <c r="E6" s="19">
        <v>1</v>
      </c>
      <c r="F6">
        <f>E6*EXP(-E5)</f>
        <v>0.81873075307798182</v>
      </c>
      <c r="G6">
        <f t="shared" ref="G6:L6" si="0">F6*EXP(-F5)</f>
        <v>0.67032004603563922</v>
      </c>
      <c r="H6">
        <f t="shared" si="0"/>
        <v>0.54881163609402639</v>
      </c>
      <c r="I6">
        <f t="shared" si="0"/>
        <v>0.44932896411722151</v>
      </c>
      <c r="J6">
        <f t="shared" si="0"/>
        <v>0.36787944117144222</v>
      </c>
      <c r="K6">
        <f t="shared" si="0"/>
        <v>0.30119421191220203</v>
      </c>
      <c r="L6">
        <f t="shared" si="0"/>
        <v>0.24659696394160641</v>
      </c>
      <c r="M6" s="20">
        <f>L6*EXP(-L5)/(1-EXP(-M5))</f>
        <v>1.1137935497768741</v>
      </c>
      <c r="N6" s="7" t="s">
        <v>4</v>
      </c>
      <c r="O6" t="s">
        <v>16</v>
      </c>
    </row>
    <row r="7" spans="1:15" ht="15" customHeight="1" x14ac:dyDescent="0.35">
      <c r="C7" s="12" t="s">
        <v>10</v>
      </c>
      <c r="D7" s="15" t="s">
        <v>21</v>
      </c>
      <c r="E7">
        <f>SUMPRODUCT(E6:M6,E3:M3,E4:M4)</f>
        <v>8.6457264291539886</v>
      </c>
      <c r="N7" s="1" t="s">
        <v>105</v>
      </c>
    </row>
    <row r="8" spans="1:15" ht="15" customHeight="1" x14ac:dyDescent="0.25">
      <c r="C8" s="3" t="s">
        <v>3</v>
      </c>
      <c r="D8" s="3" t="s">
        <v>13</v>
      </c>
      <c r="E8" s="2">
        <v>4.0436359999999998E-3</v>
      </c>
      <c r="F8" s="2">
        <v>4.8546620999999998E-2</v>
      </c>
      <c r="G8" s="2">
        <v>0.35489582200000003</v>
      </c>
      <c r="H8" s="2">
        <v>0.72466872699999996</v>
      </c>
      <c r="I8" s="2">
        <v>0.90894166899999995</v>
      </c>
      <c r="J8" s="2">
        <v>0.97144023599999996</v>
      </c>
      <c r="K8" s="2">
        <v>0.98972695300000002</v>
      </c>
      <c r="L8" s="2">
        <v>0.99659088699999998</v>
      </c>
      <c r="M8" s="2">
        <v>0.99806452199999995</v>
      </c>
      <c r="N8" s="4" t="s">
        <v>4</v>
      </c>
      <c r="O8" t="s">
        <v>45</v>
      </c>
    </row>
    <row r="9" spans="1:15" ht="15" customHeight="1" x14ac:dyDescent="0.25">
      <c r="C9" t="s">
        <v>20</v>
      </c>
      <c r="D9" t="s">
        <v>19</v>
      </c>
      <c r="E9" s="6">
        <f>B5</f>
        <v>0.1</v>
      </c>
      <c r="N9" s="4" t="s">
        <v>4</v>
      </c>
    </row>
    <row r="10" spans="1:15" ht="15" customHeight="1" x14ac:dyDescent="0.35">
      <c r="C10" s="13" t="s">
        <v>17</v>
      </c>
      <c r="D10" s="13" t="s">
        <v>24</v>
      </c>
      <c r="E10" s="20">
        <v>1</v>
      </c>
      <c r="F10">
        <f>E10*EXP(-E5-$E$9*E8)</f>
        <v>0.81839975508951579</v>
      </c>
      <c r="G10">
        <f t="shared" ref="G10:J10" si="1">F10*EXP(-F5-$E$9*F8)</f>
        <v>0.66680406909640177</v>
      </c>
      <c r="H10">
        <f t="shared" si="1"/>
        <v>0.52689783648290989</v>
      </c>
      <c r="I10">
        <f t="shared" si="1"/>
        <v>0.40123199388411179</v>
      </c>
      <c r="J10">
        <f t="shared" si="1"/>
        <v>0.29995894985656085</v>
      </c>
      <c r="K10">
        <f t="shared" ref="K10" si="2">J10*EXP(-J5-$E$9*J8)</f>
        <v>0.22285060358771858</v>
      </c>
      <c r="L10">
        <f t="shared" ref="L10" si="3">K10*EXP(-K5-$E$9*K8)</f>
        <v>0.16526147434211816</v>
      </c>
      <c r="M10" s="20">
        <f>L10*EXP(-L5-$E$9*L8)/(1-EXP(-M5-$E$9*M8))</f>
        <v>0.47278883928200716</v>
      </c>
      <c r="N10" s="4" t="s">
        <v>4</v>
      </c>
    </row>
    <row r="11" spans="1:15" ht="15" customHeight="1" x14ac:dyDescent="0.35">
      <c r="C11" s="14" t="s">
        <v>18</v>
      </c>
      <c r="D11" s="14" t="s">
        <v>22</v>
      </c>
      <c r="E11">
        <f>SUMPRODUCT(E10:M10,E3:M3,E4:M4)</f>
        <v>5.9252300739334878</v>
      </c>
      <c r="N11" s="1" t="s">
        <v>105</v>
      </c>
    </row>
    <row r="12" spans="1:15" ht="15" customHeight="1" x14ac:dyDescent="0.25">
      <c r="C12" t="s">
        <v>51</v>
      </c>
      <c r="D12" t="s">
        <v>25</v>
      </c>
      <c r="E12">
        <f>E11/E7</f>
        <v>0.68533628984063166</v>
      </c>
      <c r="N12" s="4" t="s">
        <v>4</v>
      </c>
    </row>
    <row r="13" spans="1:15" ht="15" customHeight="1" x14ac:dyDescent="0.25">
      <c r="C13" s="14" t="s">
        <v>54</v>
      </c>
      <c r="D13" s="14" t="s">
        <v>53</v>
      </c>
      <c r="E13">
        <f>E10*E3*$E$9*E8*(1-EXP(-$E$9*E8-E5))/($E$9*E8+E5)</f>
        <v>1.9372262843376736E-4</v>
      </c>
      <c r="F13">
        <f t="shared" ref="F13:M13" si="4">F10*F3*$E$9*F8*(1-EXP(-$E$9*F8-F5))/($E$9*F8+F5)</f>
        <v>3.2959186610397725E-3</v>
      </c>
      <c r="G13">
        <f t="shared" si="4"/>
        <v>2.6682615564540248E-2</v>
      </c>
      <c r="H13">
        <f t="shared" si="4"/>
        <v>5.4659536821670462E-2</v>
      </c>
      <c r="I13">
        <f t="shared" si="4"/>
        <v>6.1507859870212421E-2</v>
      </c>
      <c r="J13">
        <f t="shared" si="4"/>
        <v>5.5850928657019398E-2</v>
      </c>
      <c r="K13">
        <f t="shared" si="4"/>
        <v>4.8005090742236592E-2</v>
      </c>
      <c r="L13">
        <f t="shared" si="4"/>
        <v>3.9784853213727378E-2</v>
      </c>
      <c r="M13">
        <f t="shared" si="4"/>
        <v>0.12865982806513587</v>
      </c>
      <c r="N13" t="s">
        <v>104</v>
      </c>
    </row>
    <row r="14" spans="1:15" ht="15" customHeight="1" x14ac:dyDescent="0.25">
      <c r="C14" s="14" t="s">
        <v>50</v>
      </c>
      <c r="D14" s="14" t="s">
        <v>52</v>
      </c>
      <c r="E14">
        <f>SUM(E13:M13)</f>
        <v>0.41864035422401591</v>
      </c>
      <c r="N14" t="s">
        <v>104</v>
      </c>
    </row>
    <row r="16" spans="1:15" ht="15" customHeight="1" x14ac:dyDescent="0.25">
      <c r="C16" s="9"/>
    </row>
    <row r="17" spans="3:6" ht="15" customHeight="1" x14ac:dyDescent="0.25">
      <c r="C17" s="9"/>
    </row>
    <row r="18" spans="3:6" ht="15" customHeight="1" x14ac:dyDescent="0.25">
      <c r="C18" s="79" t="s">
        <v>46</v>
      </c>
      <c r="F18" t="s">
        <v>49</v>
      </c>
    </row>
    <row r="19" spans="3:6" ht="15" customHeight="1" x14ac:dyDescent="0.25">
      <c r="C19" s="79"/>
    </row>
    <row r="21" spans="3:6" ht="15" customHeight="1" x14ac:dyDescent="0.25">
      <c r="C21" s="79" t="s">
        <v>48</v>
      </c>
    </row>
    <row r="22" spans="3:6" ht="15" customHeight="1" x14ac:dyDescent="0.25">
      <c r="C22" s="79"/>
    </row>
    <row r="23" spans="3:6" ht="15" customHeight="1" x14ac:dyDescent="0.25">
      <c r="C23" s="9"/>
    </row>
    <row r="24" spans="3:6" ht="15" customHeight="1" x14ac:dyDescent="0.25">
      <c r="C24" s="9"/>
    </row>
    <row r="25" spans="3:6" ht="15" customHeight="1" x14ac:dyDescent="0.25">
      <c r="C25" s="10"/>
    </row>
    <row r="26" spans="3:6" ht="15" customHeight="1" x14ac:dyDescent="0.25">
      <c r="C26" s="10"/>
    </row>
    <row r="27" spans="3:6" ht="15" customHeight="1" x14ac:dyDescent="0.25">
      <c r="C27" s="9"/>
    </row>
  </sheetData>
  <mergeCells count="3">
    <mergeCell ref="A1:A2"/>
    <mergeCell ref="C18:C19"/>
    <mergeCell ref="C21:C2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0"/>
  <sheetViews>
    <sheetView workbookViewId="0">
      <selection activeCell="E33" sqref="E33"/>
    </sheetView>
  </sheetViews>
  <sheetFormatPr defaultRowHeight="15" customHeight="1" x14ac:dyDescent="0.25"/>
  <cols>
    <col min="1" max="1" width="32.28515625" customWidth="1"/>
    <col min="3" max="3" width="30.140625" bestFit="1" customWidth="1"/>
    <col min="5" max="5" width="9.140625" customWidth="1"/>
  </cols>
  <sheetData>
    <row r="1" spans="1:15" ht="15" customHeight="1" x14ac:dyDescent="0.25">
      <c r="A1" s="80" t="s">
        <v>55</v>
      </c>
    </row>
    <row r="2" spans="1:15" ht="15" customHeight="1" x14ac:dyDescent="0.25">
      <c r="A2" s="80"/>
      <c r="C2" t="s">
        <v>0</v>
      </c>
      <c r="E2" s="8">
        <v>1</v>
      </c>
      <c r="F2" s="8">
        <v>2</v>
      </c>
      <c r="G2" s="8">
        <v>3</v>
      </c>
      <c r="H2" s="8">
        <v>4</v>
      </c>
      <c r="I2" s="8">
        <v>5</v>
      </c>
      <c r="J2" s="8">
        <v>6</v>
      </c>
      <c r="K2" s="8">
        <v>7</v>
      </c>
      <c r="L2" s="8">
        <v>8</v>
      </c>
      <c r="M2" s="8" t="s">
        <v>103</v>
      </c>
      <c r="N2" t="s">
        <v>2</v>
      </c>
      <c r="O2" t="s">
        <v>15</v>
      </c>
    </row>
    <row r="3" spans="1:15" ht="15" customHeight="1" x14ac:dyDescent="0.25">
      <c r="C3" t="s">
        <v>26</v>
      </c>
      <c r="D3" s="1" t="s">
        <v>11</v>
      </c>
      <c r="E3" s="2">
        <v>0.52868749999999987</v>
      </c>
      <c r="F3" s="2">
        <v>0.91743750000000002</v>
      </c>
      <c r="G3" s="2">
        <v>1.2655000000000001</v>
      </c>
      <c r="H3" s="2">
        <v>1.6353958333333327</v>
      </c>
      <c r="I3" s="2">
        <v>1.9437291666666665</v>
      </c>
      <c r="J3" s="2">
        <v>2.2155416666666663</v>
      </c>
      <c r="K3" s="2">
        <v>2.5180416666666665</v>
      </c>
      <c r="L3" s="2">
        <v>2.7956041666666671</v>
      </c>
      <c r="M3" s="2">
        <v>3.1556875000000009</v>
      </c>
      <c r="N3" s="1" t="s">
        <v>104</v>
      </c>
      <c r="O3" t="s">
        <v>42</v>
      </c>
    </row>
    <row r="4" spans="1:15" ht="15" customHeight="1" x14ac:dyDescent="0.25">
      <c r="C4" s="3" t="s">
        <v>5</v>
      </c>
      <c r="D4" s="3" t="s">
        <v>12</v>
      </c>
      <c r="E4" s="2">
        <v>0.18988256328527628</v>
      </c>
      <c r="F4" s="2">
        <v>0.51525951357153688</v>
      </c>
      <c r="G4" s="2">
        <v>0.83071831606934499</v>
      </c>
      <c r="H4" s="2">
        <v>0.94003787933985505</v>
      </c>
      <c r="I4" s="2">
        <v>0.97565145415800825</v>
      </c>
      <c r="J4" s="2">
        <v>0.9890409620488283</v>
      </c>
      <c r="K4" s="2">
        <v>0.99470052453844637</v>
      </c>
      <c r="L4" s="2">
        <v>0.99730049511242003</v>
      </c>
      <c r="M4" s="2">
        <v>0.99856953956468197</v>
      </c>
      <c r="N4" s="5" t="s">
        <v>4</v>
      </c>
      <c r="O4" t="s">
        <v>42</v>
      </c>
    </row>
    <row r="5" spans="1:15" ht="15" customHeight="1" x14ac:dyDescent="0.25">
      <c r="A5" s="38" t="s">
        <v>44</v>
      </c>
      <c r="B5" s="17">
        <v>0.1</v>
      </c>
      <c r="C5" s="1" t="s">
        <v>6</v>
      </c>
      <c r="D5" s="1" t="s">
        <v>8</v>
      </c>
      <c r="E5" s="2">
        <v>0.2</v>
      </c>
      <c r="F5" s="2">
        <v>0.2</v>
      </c>
      <c r="G5" s="2">
        <v>0.2</v>
      </c>
      <c r="H5" s="2">
        <v>0.2</v>
      </c>
      <c r="I5" s="2">
        <v>0.2</v>
      </c>
      <c r="J5" s="2">
        <v>0.2</v>
      </c>
      <c r="K5" s="2">
        <v>0.2</v>
      </c>
      <c r="L5" s="2">
        <v>0.2</v>
      </c>
      <c r="M5" s="2">
        <v>0.2</v>
      </c>
      <c r="N5" s="4" t="s">
        <v>4</v>
      </c>
      <c r="O5" t="s">
        <v>43</v>
      </c>
    </row>
    <row r="6" spans="1:15" ht="15" customHeight="1" x14ac:dyDescent="0.35">
      <c r="C6" s="11" t="s">
        <v>7</v>
      </c>
      <c r="D6" s="11" t="s">
        <v>23</v>
      </c>
      <c r="E6" s="19">
        <v>1</v>
      </c>
      <c r="F6">
        <f>E6*EXP(-E5)</f>
        <v>0.81873075307798182</v>
      </c>
      <c r="G6">
        <f t="shared" ref="G6:L6" si="0">F6*EXP(-F5)</f>
        <v>0.67032004603563922</v>
      </c>
      <c r="H6">
        <f t="shared" si="0"/>
        <v>0.54881163609402639</v>
      </c>
      <c r="I6">
        <f t="shared" si="0"/>
        <v>0.44932896411722151</v>
      </c>
      <c r="J6">
        <f t="shared" si="0"/>
        <v>0.36787944117144222</v>
      </c>
      <c r="K6">
        <f t="shared" si="0"/>
        <v>0.30119421191220203</v>
      </c>
      <c r="L6">
        <f t="shared" si="0"/>
        <v>0.24659696394160641</v>
      </c>
      <c r="M6" s="20">
        <f>L6*EXP(-L5)/(1-EXP(-M5))</f>
        <v>1.1137935497768741</v>
      </c>
      <c r="N6" s="7" t="s">
        <v>4</v>
      </c>
      <c r="O6" t="s">
        <v>16</v>
      </c>
    </row>
    <row r="7" spans="1:15" ht="15" customHeight="1" x14ac:dyDescent="0.35">
      <c r="C7" s="12" t="s">
        <v>10</v>
      </c>
      <c r="D7" s="15" t="s">
        <v>21</v>
      </c>
      <c r="E7">
        <f>SUMPRODUCT(E6:M6,E3:M3,E4:M4)</f>
        <v>8.6457264291539886</v>
      </c>
      <c r="N7" s="1" t="s">
        <v>105</v>
      </c>
    </row>
    <row r="8" spans="1:15" ht="15" customHeight="1" x14ac:dyDescent="0.25">
      <c r="A8" s="80" t="s">
        <v>62</v>
      </c>
      <c r="C8" s="3" t="s">
        <v>3</v>
      </c>
      <c r="D8" s="3" t="s">
        <v>13</v>
      </c>
      <c r="E8" s="2">
        <v>4.0436359999999998E-3</v>
      </c>
      <c r="F8" s="2">
        <v>4.8546620999999998E-2</v>
      </c>
      <c r="G8" s="2">
        <v>0.35489582200000003</v>
      </c>
      <c r="H8" s="2">
        <v>0.72466872699999996</v>
      </c>
      <c r="I8" s="2">
        <v>0.90894166899999995</v>
      </c>
      <c r="J8" s="2">
        <v>0.97144023599999996</v>
      </c>
      <c r="K8" s="2">
        <v>0.98972695300000002</v>
      </c>
      <c r="L8" s="2">
        <v>0.99659088699999998</v>
      </c>
      <c r="M8" s="2">
        <v>0.99806452199999995</v>
      </c>
      <c r="N8" s="4" t="s">
        <v>4</v>
      </c>
      <c r="O8" t="s">
        <v>45</v>
      </c>
    </row>
    <row r="9" spans="1:15" ht="15" customHeight="1" x14ac:dyDescent="0.25">
      <c r="A9" s="80"/>
      <c r="C9" t="s">
        <v>20</v>
      </c>
      <c r="D9" t="s">
        <v>19</v>
      </c>
      <c r="E9" s="6">
        <f>B5</f>
        <v>0.1</v>
      </c>
      <c r="N9" s="4" t="s">
        <v>4</v>
      </c>
    </row>
    <row r="10" spans="1:15" ht="15" customHeight="1" x14ac:dyDescent="0.35">
      <c r="C10" s="13" t="s">
        <v>17</v>
      </c>
      <c r="D10" s="13" t="s">
        <v>24</v>
      </c>
      <c r="E10" s="20">
        <v>1</v>
      </c>
      <c r="F10">
        <f>E10*EXP(-E5-$E$9*E8)</f>
        <v>0.81839975508951579</v>
      </c>
      <c r="G10">
        <f t="shared" ref="G10:L10" si="1">F10*EXP(-F5-$E$9*F8)</f>
        <v>0.66680406909640177</v>
      </c>
      <c r="H10">
        <f t="shared" si="1"/>
        <v>0.52689783648290989</v>
      </c>
      <c r="I10">
        <f t="shared" si="1"/>
        <v>0.40123199388411179</v>
      </c>
      <c r="J10">
        <f t="shared" si="1"/>
        <v>0.29995894985656085</v>
      </c>
      <c r="K10">
        <f t="shared" si="1"/>
        <v>0.22285060358771858</v>
      </c>
      <c r="L10">
        <f t="shared" si="1"/>
        <v>0.16526147434211816</v>
      </c>
      <c r="M10" s="20">
        <f>L10*EXP(-L5-$E$9*L8)/(1-EXP(-M5-$E$9*M8))</f>
        <v>0.47278883928200716</v>
      </c>
      <c r="N10" s="4" t="s">
        <v>4</v>
      </c>
    </row>
    <row r="11" spans="1:15" ht="15" customHeight="1" x14ac:dyDescent="0.35">
      <c r="C11" s="14" t="s">
        <v>18</v>
      </c>
      <c r="D11" s="14" t="s">
        <v>22</v>
      </c>
      <c r="E11">
        <f>SUMPRODUCT(E10:M10,E3:M3,E4:M4)</f>
        <v>5.9252300739334878</v>
      </c>
      <c r="N11" s="1" t="s">
        <v>105</v>
      </c>
    </row>
    <row r="12" spans="1:15" ht="15" customHeight="1" x14ac:dyDescent="0.25">
      <c r="C12" s="25" t="s">
        <v>51</v>
      </c>
      <c r="D12" s="25" t="s">
        <v>25</v>
      </c>
      <c r="E12">
        <f>E11/E7</f>
        <v>0.68533628984063166</v>
      </c>
      <c r="N12" s="4" t="s">
        <v>4</v>
      </c>
    </row>
    <row r="13" spans="1:15" ht="15" customHeight="1" x14ac:dyDescent="0.25">
      <c r="C13" s="14" t="s">
        <v>54</v>
      </c>
      <c r="D13" s="14" t="s">
        <v>53</v>
      </c>
      <c r="E13">
        <f>E10*E3*$E$9*E8*(1-EXP(-$E$9*E8-E5))/($E$9*E8+E5)</f>
        <v>1.9372262843376736E-4</v>
      </c>
      <c r="F13">
        <f t="shared" ref="F13:M13" si="2">F10*F3*$E$9*F8*(1-EXP(-$E$9*F8-F5))/($E$9*F8+F5)</f>
        <v>3.2959186610397725E-3</v>
      </c>
      <c r="G13">
        <f t="shared" si="2"/>
        <v>2.6682615564540248E-2</v>
      </c>
      <c r="H13">
        <f t="shared" si="2"/>
        <v>5.4659536821670462E-2</v>
      </c>
      <c r="I13">
        <f t="shared" si="2"/>
        <v>6.1507859870212421E-2</v>
      </c>
      <c r="J13">
        <f t="shared" si="2"/>
        <v>5.5850928657019398E-2</v>
      </c>
      <c r="K13">
        <f t="shared" si="2"/>
        <v>4.8005090742236592E-2</v>
      </c>
      <c r="L13">
        <f t="shared" si="2"/>
        <v>3.9784853213727378E-2</v>
      </c>
      <c r="M13">
        <f t="shared" si="2"/>
        <v>0.12865982806513587</v>
      </c>
      <c r="N13" t="s">
        <v>104</v>
      </c>
    </row>
    <row r="14" spans="1:15" ht="15" customHeight="1" x14ac:dyDescent="0.25">
      <c r="C14" s="14" t="s">
        <v>50</v>
      </c>
      <c r="D14" s="14" t="s">
        <v>52</v>
      </c>
      <c r="E14">
        <f>SUM(E13:M13)</f>
        <v>0.41864035422401591</v>
      </c>
      <c r="N14" t="s">
        <v>104</v>
      </c>
    </row>
    <row r="15" spans="1:15" ht="15" customHeight="1" x14ac:dyDescent="0.25">
      <c r="O15" t="s">
        <v>106</v>
      </c>
    </row>
    <row r="16" spans="1:15" ht="15" customHeight="1" x14ac:dyDescent="0.25">
      <c r="C16" s="9"/>
    </row>
    <row r="17" spans="1:12" ht="15" customHeight="1" x14ac:dyDescent="0.25">
      <c r="C17" s="9"/>
    </row>
    <row r="18" spans="1:12" ht="15" customHeight="1" x14ac:dyDescent="0.25">
      <c r="C18" s="79" t="s">
        <v>46</v>
      </c>
      <c r="F18" t="s">
        <v>49</v>
      </c>
    </row>
    <row r="19" spans="1:12" ht="15" customHeight="1" x14ac:dyDescent="0.25">
      <c r="A19" s="21" t="s">
        <v>56</v>
      </c>
      <c r="C19" s="79"/>
    </row>
    <row r="20" spans="1:12" ht="15" customHeight="1" x14ac:dyDescent="0.25">
      <c r="A20" s="39" t="s">
        <v>57</v>
      </c>
      <c r="B20" s="17">
        <v>40</v>
      </c>
      <c r="C20" t="s">
        <v>58</v>
      </c>
    </row>
    <row r="21" spans="1:12" ht="15" customHeight="1" x14ac:dyDescent="0.25">
      <c r="A21" s="38" t="s">
        <v>59</v>
      </c>
      <c r="B21" s="42">
        <f>VLOOKUP(J27,J30:K280,2,FALSE)</f>
        <v>0.37</v>
      </c>
      <c r="C21" s="79" t="s">
        <v>48</v>
      </c>
    </row>
    <row r="22" spans="1:12" ht="15" customHeight="1" x14ac:dyDescent="0.25">
      <c r="A22" s="38"/>
      <c r="B22" s="63"/>
      <c r="C22" s="79"/>
    </row>
    <row r="23" spans="1:12" ht="15" customHeight="1" x14ac:dyDescent="0.25">
      <c r="C23" s="9"/>
    </row>
    <row r="24" spans="1:12" ht="15" customHeight="1" x14ac:dyDescent="0.25">
      <c r="C24" s="9"/>
    </row>
    <row r="25" spans="1:12" ht="15" customHeight="1" x14ac:dyDescent="0.25">
      <c r="C25" s="10"/>
      <c r="J25" s="61" t="s">
        <v>102</v>
      </c>
      <c r="K25" s="61"/>
      <c r="L25" s="61"/>
    </row>
    <row r="26" spans="1:12" ht="15" customHeight="1" x14ac:dyDescent="0.25">
      <c r="C26" s="10"/>
      <c r="J26" t="s">
        <v>61</v>
      </c>
    </row>
    <row r="27" spans="1:12" s="25" customFormat="1" ht="15" customHeight="1" x14ac:dyDescent="0.25">
      <c r="A27" s="22" t="s">
        <v>107</v>
      </c>
      <c r="B27" s="23"/>
      <c r="C27" s="24"/>
      <c r="D27"/>
      <c r="J27" s="25">
        <f>MIN(J30:J280)</f>
        <v>2.1962788064296968E-3</v>
      </c>
    </row>
    <row r="28" spans="1:12" ht="15" customHeight="1" x14ac:dyDescent="0.25">
      <c r="A28" s="35" t="s">
        <v>19</v>
      </c>
      <c r="B28" s="36" t="s">
        <v>25</v>
      </c>
      <c r="C28" s="37" t="s">
        <v>52</v>
      </c>
      <c r="E28" s="64"/>
      <c r="J28" t="s">
        <v>60</v>
      </c>
      <c r="K28" t="s">
        <v>19</v>
      </c>
    </row>
    <row r="29" spans="1:12" s="25" customFormat="1" ht="15" customHeight="1" x14ac:dyDescent="0.25">
      <c r="A29" s="26"/>
      <c r="B29" s="27">
        <f>E12</f>
        <v>0.68533628984063166</v>
      </c>
      <c r="C29" s="28">
        <f>E14</f>
        <v>0.41864035422401591</v>
      </c>
      <c r="D29"/>
    </row>
    <row r="30" spans="1:12" ht="15" customHeight="1" x14ac:dyDescent="0.25">
      <c r="A30" s="29">
        <v>1E-4</v>
      </c>
      <c r="B30" s="30">
        <f t="dataTable" ref="B30:C280" dt2D="0" dtr="0" r1="B5"/>
        <v>0.99952159084272474</v>
      </c>
      <c r="C30" s="31">
        <v>6.8128969288715636E-4</v>
      </c>
      <c r="J30" s="25">
        <f t="shared" ref="J30:J93" si="3">ABS(B30-$B$20/100)</f>
        <v>0.59952159084272472</v>
      </c>
      <c r="K30" s="25">
        <f t="shared" ref="K30:K93" si="4">A30</f>
        <v>1E-4</v>
      </c>
    </row>
    <row r="31" spans="1:12" ht="15" customHeight="1" x14ac:dyDescent="0.25">
      <c r="A31" s="29">
        <v>0.01</v>
      </c>
      <c r="B31" s="30">
        <v>0.95448419702497456</v>
      </c>
      <c r="C31" s="31">
        <v>6.43343462730398E-2</v>
      </c>
      <c r="J31" s="25">
        <f t="shared" si="3"/>
        <v>0.55448419702497453</v>
      </c>
      <c r="K31" s="25">
        <f t="shared" si="4"/>
        <v>0.01</v>
      </c>
    </row>
    <row r="32" spans="1:12" ht="15" customHeight="1" x14ac:dyDescent="0.25">
      <c r="A32" s="29">
        <v>0.02</v>
      </c>
      <c r="B32" s="30">
        <v>0.91323765685305125</v>
      </c>
      <c r="C32" s="31">
        <v>0.12173192642859101</v>
      </c>
      <c r="J32" s="25">
        <f t="shared" si="3"/>
        <v>0.51323765685305123</v>
      </c>
      <c r="K32" s="25">
        <f t="shared" si="4"/>
        <v>0.02</v>
      </c>
    </row>
    <row r="33" spans="1:11" ht="15" customHeight="1" x14ac:dyDescent="0.25">
      <c r="A33" s="29">
        <v>0.03</v>
      </c>
      <c r="B33" s="30">
        <v>0.87569913806345145</v>
      </c>
      <c r="C33" s="31">
        <v>0.17314724253319588</v>
      </c>
      <c r="J33" s="25">
        <f t="shared" si="3"/>
        <v>0.47569913806345143</v>
      </c>
      <c r="K33" s="25">
        <f t="shared" si="4"/>
        <v>0.03</v>
      </c>
    </row>
    <row r="34" spans="1:11" ht="15" customHeight="1" x14ac:dyDescent="0.25">
      <c r="A34" s="29">
        <v>0.04</v>
      </c>
      <c r="B34" s="30">
        <v>0.84140098817357856</v>
      </c>
      <c r="C34" s="31">
        <v>0.21937345502736541</v>
      </c>
      <c r="J34" s="25">
        <f t="shared" si="3"/>
        <v>0.44140098817357853</v>
      </c>
      <c r="K34" s="25">
        <f t="shared" si="4"/>
        <v>0.04</v>
      </c>
    </row>
    <row r="35" spans="1:11" ht="15" customHeight="1" x14ac:dyDescent="0.25">
      <c r="A35" s="29">
        <v>0.05</v>
      </c>
      <c r="B35" s="30">
        <v>0.80995044719986264</v>
      </c>
      <c r="C35" s="31">
        <v>0.26107472664256853</v>
      </c>
      <c r="J35" s="25">
        <f t="shared" si="3"/>
        <v>0.40995044719986262</v>
      </c>
      <c r="K35" s="25">
        <f t="shared" si="4"/>
        <v>0.05</v>
      </c>
    </row>
    <row r="36" spans="1:11" ht="15" customHeight="1" x14ac:dyDescent="0.25">
      <c r="A36" s="29">
        <v>0.06</v>
      </c>
      <c r="B36" s="30">
        <v>0.78101525965315455</v>
      </c>
      <c r="C36" s="31">
        <v>0.29881110713728715</v>
      </c>
      <c r="J36" s="25">
        <f t="shared" si="3"/>
        <v>0.38101525965315453</v>
      </c>
      <c r="K36" s="25">
        <f t="shared" si="4"/>
        <v>0.06</v>
      </c>
    </row>
    <row r="37" spans="1:11" ht="15" customHeight="1" x14ac:dyDescent="0.25">
      <c r="A37" s="29">
        <v>7.0000000000000007E-2</v>
      </c>
      <c r="B37" s="30">
        <v>0.75431247955756053</v>
      </c>
      <c r="C37" s="31">
        <v>0.33305789025881521</v>
      </c>
      <c r="J37" s="25">
        <f t="shared" si="3"/>
        <v>0.35431247955756051</v>
      </c>
      <c r="K37" s="25">
        <f t="shared" si="4"/>
        <v>7.0000000000000007E-2</v>
      </c>
    </row>
    <row r="38" spans="1:11" ht="15" customHeight="1" x14ac:dyDescent="0.25">
      <c r="A38" s="29">
        <v>0.08</v>
      </c>
      <c r="B38" s="30">
        <v>0.72959967133015535</v>
      </c>
      <c r="C38" s="31">
        <v>0.36422082325420319</v>
      </c>
      <c r="J38" s="25">
        <f t="shared" si="3"/>
        <v>0.32959967133015533</v>
      </c>
      <c r="K38" s="25">
        <f t="shared" si="4"/>
        <v>0.08</v>
      </c>
    </row>
    <row r="39" spans="1:11" ht="15" customHeight="1" x14ac:dyDescent="0.25">
      <c r="A39" s="29">
        <v>0.09</v>
      </c>
      <c r="B39" s="30">
        <v>0.7066679289726443</v>
      </c>
      <c r="C39" s="31">
        <v>0.39264816896870791</v>
      </c>
      <c r="J39" s="25">
        <f t="shared" si="3"/>
        <v>0.30666792897264428</v>
      </c>
      <c r="K39" s="25">
        <f t="shared" si="4"/>
        <v>0.09</v>
      </c>
    </row>
    <row r="40" spans="1:11" ht="15" customHeight="1" x14ac:dyDescent="0.25">
      <c r="A40" s="29">
        <v>0.1</v>
      </c>
      <c r="B40" s="30">
        <v>0.68533628984063166</v>
      </c>
      <c r="C40" s="31">
        <v>0.41864035422401591</v>
      </c>
      <c r="J40" s="25">
        <f t="shared" si="3"/>
        <v>0.28533628984063164</v>
      </c>
      <c r="K40" s="25">
        <f t="shared" si="4"/>
        <v>0.1</v>
      </c>
    </row>
    <row r="41" spans="1:11" ht="15" customHeight="1" x14ac:dyDescent="0.25">
      <c r="A41" s="29">
        <v>0.11</v>
      </c>
      <c r="B41" s="30">
        <v>0.66544722847070559</v>
      </c>
      <c r="C41" s="31">
        <v>0.44245774905277546</v>
      </c>
      <c r="J41" s="25">
        <f t="shared" si="3"/>
        <v>0.26544722847070557</v>
      </c>
      <c r="K41" s="25">
        <f t="shared" si="4"/>
        <v>0.11</v>
      </c>
    </row>
    <row r="42" spans="1:11" ht="15" customHeight="1" x14ac:dyDescent="0.25">
      <c r="A42" s="29">
        <v>0.12</v>
      </c>
      <c r="B42" s="30">
        <v>0.64686299448063744</v>
      </c>
      <c r="C42" s="31">
        <v>0.46432698537526651</v>
      </c>
      <c r="J42" s="25">
        <f t="shared" si="3"/>
        <v>0.24686299448063742</v>
      </c>
      <c r="K42" s="25">
        <f t="shared" si="4"/>
        <v>0.12</v>
      </c>
    </row>
    <row r="43" spans="1:11" ht="15" customHeight="1" x14ac:dyDescent="0.25">
      <c r="A43" s="29">
        <v>0.13</v>
      </c>
      <c r="B43" s="30">
        <v>0.62946261569958595</v>
      </c>
      <c r="C43" s="31">
        <v>0.48444612475875548</v>
      </c>
      <c r="J43" s="25">
        <f t="shared" si="3"/>
        <v>0.22946261569958593</v>
      </c>
      <c r="K43" s="25">
        <f t="shared" si="4"/>
        <v>0.13</v>
      </c>
    </row>
    <row r="44" spans="1:11" ht="15" customHeight="1" x14ac:dyDescent="0.25">
      <c r="A44" s="29">
        <v>0.14000000000000001</v>
      </c>
      <c r="B44" s="30">
        <v>0.6131394297182754</v>
      </c>
      <c r="C44" s="31">
        <v>0.50298891211688024</v>
      </c>
      <c r="J44" s="25">
        <f t="shared" si="3"/>
        <v>0.21313942971827537</v>
      </c>
      <c r="K44" s="25">
        <f t="shared" si="4"/>
        <v>0.14000000000000001</v>
      </c>
    </row>
    <row r="45" spans="1:11" ht="15" customHeight="1" x14ac:dyDescent="0.25">
      <c r="A45" s="29">
        <v>0.15</v>
      </c>
      <c r="B45" s="30">
        <v>0.59779903828564174</v>
      </c>
      <c r="C45" s="31">
        <v>0.52010829811866577</v>
      </c>
      <c r="J45" s="25">
        <f t="shared" si="3"/>
        <v>0.19779903828564172</v>
      </c>
      <c r="K45" s="25">
        <f t="shared" si="4"/>
        <v>0.15</v>
      </c>
    </row>
    <row r="46" spans="1:11" ht="15" customHeight="1" x14ac:dyDescent="0.25">
      <c r="A46" s="29">
        <v>0.16</v>
      </c>
      <c r="B46" s="30">
        <v>0.58335760241424339</v>
      </c>
      <c r="C46" s="31">
        <v>0.53593937249685797</v>
      </c>
      <c r="J46" s="25">
        <f t="shared" si="3"/>
        <v>0.18335760241424337</v>
      </c>
      <c r="K46" s="25">
        <f t="shared" si="4"/>
        <v>0.16</v>
      </c>
    </row>
    <row r="47" spans="1:11" ht="15" customHeight="1" x14ac:dyDescent="0.25">
      <c r="A47" s="29">
        <v>0.17</v>
      </c>
      <c r="B47" s="30">
        <v>0.56974041379787388</v>
      </c>
      <c r="C47" s="31">
        <v>0.55060181972622135</v>
      </c>
      <c r="J47" s="25">
        <f t="shared" si="3"/>
        <v>0.16974041379787386</v>
      </c>
      <c r="K47" s="25">
        <f t="shared" si="4"/>
        <v>0.17</v>
      </c>
    </row>
    <row r="48" spans="1:11" ht="15" customHeight="1" x14ac:dyDescent="0.25">
      <c r="A48" s="29">
        <v>0.18</v>
      </c>
      <c r="B48" s="30">
        <v>0.55688069168838961</v>
      </c>
      <c r="C48" s="31">
        <v>0.56420198509193298</v>
      </c>
      <c r="J48" s="25">
        <f t="shared" si="3"/>
        <v>0.15688069168838958</v>
      </c>
      <c r="K48" s="25">
        <f t="shared" si="4"/>
        <v>0.18</v>
      </c>
    </row>
    <row r="49" spans="1:11" ht="15" customHeight="1" x14ac:dyDescent="0.25">
      <c r="A49" s="29">
        <v>0.19</v>
      </c>
      <c r="B49" s="30">
        <v>0.54471856479999958</v>
      </c>
      <c r="C49" s="31">
        <v>0.57683462112432093</v>
      </c>
      <c r="J49" s="25">
        <f t="shared" si="3"/>
        <v>0.14471856479999956</v>
      </c>
      <c r="K49" s="25">
        <f t="shared" si="4"/>
        <v>0.19</v>
      </c>
    </row>
    <row r="50" spans="1:11" ht="15" customHeight="1" x14ac:dyDescent="0.25">
      <c r="A50" s="29">
        <v>0.2</v>
      </c>
      <c r="B50" s="30">
        <v>0.53320020588797934</v>
      </c>
      <c r="C50" s="31">
        <v>0.5885843703885929</v>
      </c>
      <c r="J50" s="25">
        <f t="shared" si="3"/>
        <v>0.13320020588797932</v>
      </c>
      <c r="K50" s="25">
        <f t="shared" si="4"/>
        <v>0.2</v>
      </c>
    </row>
    <row r="51" spans="1:11" ht="15" customHeight="1" x14ac:dyDescent="0.25">
      <c r="A51" s="29">
        <v>0.21</v>
      </c>
      <c r="B51" s="30">
        <v>0.52227709295577129</v>
      </c>
      <c r="C51" s="31">
        <v>0.59952702969842908</v>
      </c>
      <c r="J51" s="25">
        <f t="shared" si="3"/>
        <v>0.12227709295577127</v>
      </c>
      <c r="K51" s="25">
        <f t="shared" si="4"/>
        <v>0.21</v>
      </c>
    </row>
    <row r="52" spans="1:11" ht="15" customHeight="1" x14ac:dyDescent="0.25">
      <c r="A52" s="29">
        <v>0.22</v>
      </c>
      <c r="B52" s="30">
        <v>0.51190537600119057</v>
      </c>
      <c r="C52" s="31">
        <v>0.60973063224063184</v>
      </c>
      <c r="J52" s="25">
        <f t="shared" si="3"/>
        <v>0.11190537600119055</v>
      </c>
      <c r="K52" s="25">
        <f t="shared" si="4"/>
        <v>0.22</v>
      </c>
    </row>
    <row r="53" spans="1:11" ht="15" customHeight="1" x14ac:dyDescent="0.25">
      <c r="A53" s="29">
        <v>0.23</v>
      </c>
      <c r="B53" s="30">
        <v>0.50204533213265934</v>
      </c>
      <c r="C53" s="31">
        <v>0.6192563773111408</v>
      </c>
      <c r="J53" s="25">
        <f t="shared" si="3"/>
        <v>0.10204533213265932</v>
      </c>
      <c r="K53" s="25">
        <f t="shared" si="4"/>
        <v>0.23</v>
      </c>
    </row>
    <row r="54" spans="1:11" ht="15" customHeight="1" x14ac:dyDescent="0.25">
      <c r="A54" s="29">
        <v>0.24</v>
      </c>
      <c r="B54" s="30">
        <v>0.4926608950054514</v>
      </c>
      <c r="C54" s="31">
        <v>0.62815943196308066</v>
      </c>
      <c r="J54" s="25">
        <f t="shared" si="3"/>
        <v>9.2660895005451382E-2</v>
      </c>
      <c r="K54" s="25">
        <f t="shared" si="4"/>
        <v>0.24</v>
      </c>
    </row>
    <row r="55" spans="1:11" ht="15" customHeight="1" x14ac:dyDescent="0.25">
      <c r="A55" s="29">
        <v>0.25</v>
      </c>
      <c r="B55" s="30">
        <v>0.48371924702369723</v>
      </c>
      <c r="C55" s="31">
        <v>0.63648962454709368</v>
      </c>
      <c r="J55" s="25">
        <f t="shared" si="3"/>
        <v>8.3719247023697207E-2</v>
      </c>
      <c r="K55" s="25">
        <f t="shared" si="4"/>
        <v>0.25</v>
      </c>
    </row>
    <row r="56" spans="1:11" ht="15" customHeight="1" x14ac:dyDescent="0.25">
      <c r="A56" s="29">
        <v>0.26</v>
      </c>
      <c r="B56" s="30">
        <v>0.47519046476178278</v>
      </c>
      <c r="C56" s="31">
        <v>0.64429204664858242</v>
      </c>
      <c r="J56" s="25">
        <f t="shared" si="3"/>
        <v>7.519046476178276E-2</v>
      </c>
      <c r="K56" s="25">
        <f t="shared" si="4"/>
        <v>0.26</v>
      </c>
    </row>
    <row r="57" spans="1:11" ht="15" customHeight="1" x14ac:dyDescent="0.25">
      <c r="A57" s="29">
        <v>0.27</v>
      </c>
      <c r="B57" s="30">
        <v>0.46704720968245955</v>
      </c>
      <c r="C57" s="31">
        <v>0.65160757711605088</v>
      </c>
      <c r="J57" s="25">
        <f t="shared" si="3"/>
        <v>6.704720968245953E-2</v>
      </c>
      <c r="K57" s="25">
        <f t="shared" si="4"/>
        <v>0.27</v>
      </c>
    </row>
    <row r="58" spans="1:11" ht="15" customHeight="1" x14ac:dyDescent="0.25">
      <c r="A58" s="29">
        <v>0.28000000000000003</v>
      </c>
      <c r="B58" s="30">
        <v>0.45926445754849993</v>
      </c>
      <c r="C58" s="31">
        <v>0.65847333959100185</v>
      </c>
      <c r="J58" s="25">
        <f t="shared" si="3"/>
        <v>5.9264457548499905E-2</v>
      </c>
      <c r="K58" s="25">
        <f t="shared" si="4"/>
        <v>0.28000000000000003</v>
      </c>
    </row>
    <row r="59" spans="1:11" ht="15" customHeight="1" x14ac:dyDescent="0.25">
      <c r="A59" s="29">
        <v>0.28999999999999998</v>
      </c>
      <c r="B59" s="30">
        <v>0.45181926100204461</v>
      </c>
      <c r="C59" s="31">
        <v>0.66492310308541891</v>
      </c>
      <c r="J59" s="25">
        <f t="shared" si="3"/>
        <v>5.1819261002044592E-2</v>
      </c>
      <c r="K59" s="25">
        <f t="shared" si="4"/>
        <v>0.28999999999999998</v>
      </c>
    </row>
    <row r="60" spans="1:11" ht="15" customHeight="1" x14ac:dyDescent="0.25">
      <c r="A60" s="29">
        <v>0.3</v>
      </c>
      <c r="B60" s="30">
        <v>0.44469054066934505</v>
      </c>
      <c r="C60" s="31">
        <v>0.67098763362390867</v>
      </c>
      <c r="J60" s="25">
        <f t="shared" si="3"/>
        <v>4.4690540669345025E-2</v>
      </c>
      <c r="K60" s="25">
        <f t="shared" si="4"/>
        <v>0.3</v>
      </c>
    </row>
    <row r="61" spans="1:11" ht="15" customHeight="1" x14ac:dyDescent="0.25">
      <c r="A61" s="29">
        <v>0.31</v>
      </c>
      <c r="B61" s="30">
        <v>0.43785890087636159</v>
      </c>
      <c r="C61" s="31">
        <v>0.67669500370839575</v>
      </c>
      <c r="J61" s="25">
        <f t="shared" si="3"/>
        <v>3.7858900876361568E-2</v>
      </c>
      <c r="K61" s="25">
        <f t="shared" si="4"/>
        <v>0.31</v>
      </c>
    </row>
    <row r="62" spans="1:11" ht="15" customHeight="1" x14ac:dyDescent="0.25">
      <c r="A62" s="29">
        <v>0.32</v>
      </c>
      <c r="B62" s="30">
        <v>0.43130646666254246</v>
      </c>
      <c r="C62" s="31">
        <v>0.68207086532196659</v>
      </c>
      <c r="J62" s="25">
        <f t="shared" si="3"/>
        <v>3.1306466662542443E-2</v>
      </c>
      <c r="K62" s="25">
        <f t="shared" si="4"/>
        <v>0.32</v>
      </c>
    </row>
    <row r="63" spans="1:11" ht="15" customHeight="1" x14ac:dyDescent="0.25">
      <c r="A63" s="29">
        <v>0.33</v>
      </c>
      <c r="B63" s="30">
        <v>0.42501673927986727</v>
      </c>
      <c r="C63" s="31">
        <v>0.68713869132399574</v>
      </c>
      <c r="J63" s="25">
        <f t="shared" si="3"/>
        <v>2.5016739279867251E-2</v>
      </c>
      <c r="K63" s="25">
        <f t="shared" si="4"/>
        <v>0.33</v>
      </c>
    </row>
    <row r="64" spans="1:11" ht="15" customHeight="1" x14ac:dyDescent="0.25">
      <c r="A64" s="29">
        <v>0.34</v>
      </c>
      <c r="B64" s="30">
        <v>0.41897446778074526</v>
      </c>
      <c r="C64" s="31">
        <v>0.69191998936830301</v>
      </c>
      <c r="J64" s="25">
        <f t="shared" si="3"/>
        <v>1.8974467780745241E-2</v>
      </c>
      <c r="K64" s="25">
        <f t="shared" si="4"/>
        <v>0.34</v>
      </c>
    </row>
    <row r="65" spans="1:11" ht="15" customHeight="1" x14ac:dyDescent="0.25">
      <c r="A65" s="29">
        <v>0.35</v>
      </c>
      <c r="B65" s="30">
        <v>0.41316553464675532</v>
      </c>
      <c r="C65" s="31">
        <v>0.69643449187361295</v>
      </c>
      <c r="J65" s="25">
        <f t="shared" si="3"/>
        <v>1.3165534646755295E-2</v>
      </c>
      <c r="K65" s="25">
        <f t="shared" si="4"/>
        <v>0.35</v>
      </c>
    </row>
    <row r="66" spans="1:11" ht="15" customHeight="1" x14ac:dyDescent="0.25">
      <c r="A66" s="29">
        <v>0.36</v>
      </c>
      <c r="B66" s="30">
        <v>0.40757685370266106</v>
      </c>
      <c r="C66" s="31">
        <v>0.70070032506996671</v>
      </c>
      <c r="J66" s="25">
        <f t="shared" si="3"/>
        <v>7.576853702661035E-3</v>
      </c>
      <c r="K66" s="25">
        <f t="shared" si="4"/>
        <v>0.36</v>
      </c>
    </row>
    <row r="67" spans="1:11" ht="15" customHeight="1" x14ac:dyDescent="0.25">
      <c r="A67" s="29">
        <v>0.37</v>
      </c>
      <c r="B67" s="30">
        <v>0.40219627880642972</v>
      </c>
      <c r="C67" s="31">
        <v>0.70473415971899789</v>
      </c>
      <c r="J67" s="25">
        <f t="shared" si="3"/>
        <v>2.1962788064296968E-3</v>
      </c>
      <c r="K67" s="25">
        <f t="shared" si="4"/>
        <v>0.37</v>
      </c>
    </row>
    <row r="68" spans="1:11" ht="15" customHeight="1" x14ac:dyDescent="0.25">
      <c r="A68" s="29">
        <v>0.38</v>
      </c>
      <c r="B68" s="30">
        <v>0.39701252201407877</v>
      </c>
      <c r="C68" s="31">
        <v>0.70855134574633194</v>
      </c>
      <c r="J68" s="25">
        <f t="shared" si="3"/>
        <v>2.9874779859212497E-3</v>
      </c>
      <c r="K68" s="25">
        <f t="shared" si="4"/>
        <v>0.38</v>
      </c>
    </row>
    <row r="69" spans="1:11" ht="15" customHeight="1" x14ac:dyDescent="0.25">
      <c r="A69" s="29">
        <v>0.39</v>
      </c>
      <c r="B69" s="30">
        <v>0.3920150800945556</v>
      </c>
      <c r="C69" s="31">
        <v>0.71216603271964074</v>
      </c>
      <c r="J69" s="25">
        <f t="shared" si="3"/>
        <v>7.9849199054444209E-3</v>
      </c>
      <c r="K69" s="25">
        <f t="shared" si="4"/>
        <v>0.39</v>
      </c>
    </row>
    <row r="70" spans="1:11" ht="15" customHeight="1" x14ac:dyDescent="0.25">
      <c r="A70" s="29">
        <v>0.4</v>
      </c>
      <c r="B70" s="30">
        <v>0.38719416841978377</v>
      </c>
      <c r="C70" s="31">
        <v>0.71559127784690002</v>
      </c>
      <c r="J70" s="25">
        <f t="shared" si="3"/>
        <v>1.2805831580216254E-2</v>
      </c>
      <c r="K70" s="25">
        <f t="shared" si="4"/>
        <v>0.4</v>
      </c>
    </row>
    <row r="71" spans="1:11" ht="15" customHeight="1" x14ac:dyDescent="0.25">
      <c r="A71" s="29">
        <v>0.41</v>
      </c>
      <c r="B71" s="30">
        <v>0.3825406613828321</v>
      </c>
      <c r="C71" s="31">
        <v>0.71883914294866724</v>
      </c>
      <c r="J71" s="25">
        <f t="shared" si="3"/>
        <v>1.7459338617167919E-2</v>
      </c>
      <c r="K71" s="25">
        <f t="shared" si="4"/>
        <v>0.41</v>
      </c>
    </row>
    <row r="72" spans="1:11" ht="15" customHeight="1" x14ac:dyDescent="0.25">
      <c r="A72" s="29">
        <v>0.42</v>
      </c>
      <c r="B72" s="30">
        <v>0.37804603860644587</v>
      </c>
      <c r="C72" s="31">
        <v>0.72192078166957041</v>
      </c>
      <c r="J72" s="25">
        <f t="shared" si="3"/>
        <v>2.1953961393554156E-2</v>
      </c>
      <c r="K72" s="25">
        <f t="shared" si="4"/>
        <v>0.42</v>
      </c>
    </row>
    <row r="73" spans="1:11" ht="15" customHeight="1" x14ac:dyDescent="0.25">
      <c r="A73" s="29">
        <v>0.43</v>
      </c>
      <c r="B73" s="30">
        <v>0.37370233629784722</v>
      </c>
      <c r="C73" s="31">
        <v>0.72484651803252975</v>
      </c>
      <c r="J73" s="25">
        <f t="shared" si="3"/>
        <v>2.6297663702152807E-2</v>
      </c>
      <c r="K73" s="25">
        <f t="shared" si="4"/>
        <v>0.43</v>
      </c>
    </row>
    <row r="74" spans="1:11" ht="15" customHeight="1" x14ac:dyDescent="0.25">
      <c r="A74" s="29">
        <v>0.44</v>
      </c>
      <c r="B74" s="30">
        <v>0.36950210318622317</v>
      </c>
      <c r="C74" s="31">
        <v>0.72762591730038206</v>
      </c>
      <c r="J74" s="25">
        <f t="shared" si="3"/>
        <v>3.0497896813776848E-2</v>
      </c>
      <c r="K74" s="25">
        <f t="shared" si="4"/>
        <v>0.44</v>
      </c>
    </row>
    <row r="75" spans="1:11" ht="15" customHeight="1" x14ac:dyDescent="0.25">
      <c r="A75" s="29">
        <v>0.45</v>
      </c>
      <c r="B75" s="30">
        <v>0.36543836054868317</v>
      </c>
      <c r="C75" s="31">
        <v>0.73026784998995797</v>
      </c>
      <c r="J75" s="25">
        <f t="shared" si="3"/>
        <v>3.456163945131685E-2</v>
      </c>
      <c r="K75" s="25">
        <f t="shared" si="4"/>
        <v>0.45</v>
      </c>
    </row>
    <row r="76" spans="1:11" ht="15" customHeight="1" x14ac:dyDescent="0.25">
      <c r="A76" s="29">
        <v>0.46</v>
      </c>
      <c r="B76" s="30">
        <v>0.36150456589037933</v>
      </c>
      <c r="C76" s="31">
        <v>0.73278054978041451</v>
      </c>
      <c r="J76" s="25">
        <f t="shared" si="3"/>
        <v>3.8495434109620696E-2</v>
      </c>
      <c r="K76" s="25">
        <f t="shared" si="4"/>
        <v>0.46</v>
      </c>
    </row>
    <row r="77" spans="1:11" ht="15" customHeight="1" x14ac:dyDescent="0.25">
      <c r="A77" s="29">
        <v>0.47</v>
      </c>
      <c r="B77" s="30">
        <v>0.35769457989634645</v>
      </c>
      <c r="C77" s="31">
        <v>0.73517166596827765</v>
      </c>
      <c r="J77" s="25">
        <f t="shared" si="3"/>
        <v>4.2305420103653568E-2</v>
      </c>
      <c r="K77" s="25">
        <f t="shared" si="4"/>
        <v>0.47</v>
      </c>
    </row>
    <row r="78" spans="1:11" ht="15" customHeight="1" x14ac:dyDescent="0.25">
      <c r="A78" s="29">
        <v>0.48</v>
      </c>
      <c r="B78" s="30">
        <v>0.35400263631762141</v>
      </c>
      <c r="C78" s="31">
        <v>0.73744831104416164</v>
      </c>
      <c r="J78" s="25">
        <f t="shared" si="3"/>
        <v>4.5997363682378611E-2</v>
      </c>
      <c r="K78" s="25">
        <f t="shared" si="4"/>
        <v>0.48</v>
      </c>
    </row>
    <row r="79" spans="1:11" ht="15" customHeight="1" x14ac:dyDescent="0.25">
      <c r="A79" s="29">
        <v>0.49</v>
      </c>
      <c r="B79" s="30">
        <v>0.35042331449334041</v>
      </c>
      <c r="C79" s="31">
        <v>0.73961710389878788</v>
      </c>
      <c r="J79" s="25">
        <f t="shared" si="3"/>
        <v>4.9576685506659612E-2</v>
      </c>
      <c r="K79" s="25">
        <f t="shared" si="4"/>
        <v>0.49</v>
      </c>
    </row>
    <row r="80" spans="1:11" ht="15" customHeight="1" x14ac:dyDescent="0.25">
      <c r="A80" s="29">
        <v>0.5</v>
      </c>
      <c r="B80" s="30">
        <v>0.34695151424461262</v>
      </c>
      <c r="C80" s="31">
        <v>0.7416842091072724</v>
      </c>
      <c r="J80" s="25">
        <f t="shared" si="3"/>
        <v>5.3048485755387398E-2</v>
      </c>
      <c r="K80" s="25">
        <f t="shared" si="4"/>
        <v>0.5</v>
      </c>
    </row>
    <row r="81" spans="1:11" ht="15" customHeight="1" x14ac:dyDescent="0.25">
      <c r="A81" s="29">
        <v>0.51</v>
      </c>
      <c r="B81" s="30">
        <v>0.34358243290575535</v>
      </c>
      <c r="C81" s="31">
        <v>0.74365537268946535</v>
      </c>
      <c r="J81" s="25">
        <f t="shared" si="3"/>
        <v>5.6417567094244669E-2</v>
      </c>
      <c r="K81" s="25">
        <f t="shared" si="4"/>
        <v>0.51</v>
      </c>
    </row>
    <row r="82" spans="1:11" ht="15" customHeight="1" x14ac:dyDescent="0.25">
      <c r="A82" s="29">
        <v>0.52</v>
      </c>
      <c r="B82" s="30">
        <v>0.34031154428453309</v>
      </c>
      <c r="C82" s="31">
        <v>0.74553595469935863</v>
      </c>
      <c r="J82" s="25">
        <f t="shared" si="3"/>
        <v>5.9688455715466937E-2</v>
      </c>
      <c r="K82" s="25">
        <f t="shared" si="4"/>
        <v>0.52</v>
      </c>
    </row>
    <row r="83" spans="1:11" ht="15" customHeight="1" x14ac:dyDescent="0.25">
      <c r="A83" s="29">
        <v>0.53</v>
      </c>
      <c r="B83" s="30">
        <v>0.33713457936589597</v>
      </c>
      <c r="C83" s="31">
        <v>0.74733095895737112</v>
      </c>
      <c r="J83" s="25">
        <f t="shared" si="3"/>
        <v>6.2865420634104052E-2</v>
      </c>
      <c r="K83" s="25">
        <f t="shared" si="4"/>
        <v>0.53</v>
      </c>
    </row>
    <row r="84" spans="1:11" ht="15" customHeight="1" x14ac:dyDescent="0.25">
      <c r="A84" s="29">
        <v>0.54</v>
      </c>
      <c r="B84" s="30">
        <v>0.3340475085937758</v>
      </c>
      <c r="C84" s="31">
        <v>0.74904506020489758</v>
      </c>
      <c r="J84" s="25">
        <f t="shared" si="3"/>
        <v>6.5952491406224223E-2</v>
      </c>
      <c r="K84" s="25">
        <f t="shared" si="4"/>
        <v>0.54</v>
      </c>
    </row>
    <row r="85" spans="1:11" ht="15" customHeight="1" x14ac:dyDescent="0.25">
      <c r="A85" s="29">
        <v>0.55000000000000004</v>
      </c>
      <c r="B85" s="30">
        <v>0.33104652558316783</v>
      </c>
      <c r="C85" s="31">
        <v>0.75068262893023951</v>
      </c>
      <c r="J85" s="25">
        <f t="shared" si="3"/>
        <v>6.8953474416832194E-2</v>
      </c>
      <c r="K85" s="25">
        <f t="shared" si="4"/>
        <v>0.55000000000000004</v>
      </c>
    </row>
    <row r="86" spans="1:11" ht="15" customHeight="1" x14ac:dyDescent="0.25">
      <c r="A86" s="29">
        <v>0.56000000000000005</v>
      </c>
      <c r="B86" s="30">
        <v>0.32812803213029046</v>
      </c>
      <c r="C86" s="31">
        <v>0.75224775408838829</v>
      </c>
      <c r="J86" s="25">
        <f t="shared" si="3"/>
        <v>7.1871967869709563E-2</v>
      </c>
      <c r="K86" s="25">
        <f t="shared" si="4"/>
        <v>0.56000000000000005</v>
      </c>
    </row>
    <row r="87" spans="1:11" ht="15" customHeight="1" x14ac:dyDescent="0.25">
      <c r="A87" s="29">
        <v>0.56999999999999995</v>
      </c>
      <c r="B87" s="30">
        <v>0.32528862440236567</v>
      </c>
      <c r="C87" s="31">
        <v>0.75374426391359517</v>
      </c>
      <c r="J87" s="25">
        <f t="shared" si="3"/>
        <v>7.4711375597634355E-2</v>
      </c>
      <c r="K87" s="25">
        <f t="shared" si="4"/>
        <v>0.56999999999999995</v>
      </c>
    </row>
    <row r="88" spans="1:11" ht="15" customHeight="1" x14ac:dyDescent="0.25">
      <c r="A88" s="29">
        <v>0.57999999999999996</v>
      </c>
      <c r="B88" s="30">
        <v>0.32252508020073262</v>
      </c>
      <c r="C88" s="31">
        <v>0.75517574500289719</v>
      </c>
      <c r="J88" s="25">
        <f t="shared" si="3"/>
        <v>7.7474919799267405E-2</v>
      </c>
      <c r="K88" s="25">
        <f t="shared" si="4"/>
        <v>0.57999999999999996</v>
      </c>
    </row>
    <row r="89" spans="1:11" ht="15" customHeight="1" x14ac:dyDescent="0.25">
      <c r="A89" s="29">
        <v>0.59</v>
      </c>
      <c r="B89" s="30">
        <v>0.31983434720177595</v>
      </c>
      <c r="C89" s="31">
        <v>0.75654555983034633</v>
      </c>
      <c r="J89" s="25">
        <f t="shared" si="3"/>
        <v>8.0165652798224074E-2</v>
      </c>
      <c r="K89" s="25">
        <f t="shared" si="4"/>
        <v>0.59</v>
      </c>
    </row>
    <row r="90" spans="1:11" ht="15" customHeight="1" x14ac:dyDescent="0.25">
      <c r="A90" s="29">
        <v>0.6</v>
      </c>
      <c r="B90" s="30">
        <v>0.31721353208972275</v>
      </c>
      <c r="C90" s="31">
        <v>0.75785686283539866</v>
      </c>
      <c r="J90" s="25">
        <f t="shared" si="3"/>
        <v>8.2786467910277273E-2</v>
      </c>
      <c r="K90" s="25">
        <f t="shared" si="4"/>
        <v>0.6</v>
      </c>
    </row>
    <row r="91" spans="1:11" ht="15" customHeight="1" x14ac:dyDescent="0.25">
      <c r="A91" s="29">
        <v>0.61</v>
      </c>
      <c r="B91" s="30">
        <v>0.31465989050385901</v>
      </c>
      <c r="C91" s="31">
        <v>0.75911261521442286</v>
      </c>
      <c r="J91" s="25">
        <f t="shared" si="3"/>
        <v>8.5340109496141014E-2</v>
      </c>
      <c r="K91" s="25">
        <f t="shared" si="4"/>
        <v>0.61</v>
      </c>
    </row>
    <row r="92" spans="1:11" ht="15" customHeight="1" x14ac:dyDescent="0.25">
      <c r="A92" s="29">
        <v>0.62</v>
      </c>
      <c r="B92" s="30">
        <v>0.31217081773028965</v>
      </c>
      <c r="C92" s="31">
        <v>0.76031559853142527</v>
      </c>
      <c r="J92" s="25">
        <f t="shared" si="3"/>
        <v>8.7829182269710371E-2</v>
      </c>
      <c r="K92" s="25">
        <f t="shared" si="4"/>
        <v>0.62</v>
      </c>
    </row>
    <row r="93" spans="1:11" ht="15" customHeight="1" x14ac:dyDescent="0.25">
      <c r="A93" s="29">
        <v>0.63</v>
      </c>
      <c r="B93" s="30">
        <v>0.30974384007510952</v>
      </c>
      <c r="C93" s="31">
        <v>0.76146842725260622</v>
      </c>
      <c r="J93" s="25">
        <f t="shared" si="3"/>
        <v>9.02561599248905E-2</v>
      </c>
      <c r="K93" s="25">
        <f t="shared" si="4"/>
        <v>0.63</v>
      </c>
    </row>
    <row r="94" spans="1:11" ht="15" customHeight="1" x14ac:dyDescent="0.25">
      <c r="A94" s="29">
        <v>0.64</v>
      </c>
      <c r="B94" s="30">
        <v>0.30737660686187879</v>
      </c>
      <c r="C94" s="31">
        <v>0.76257356029915857</v>
      </c>
      <c r="J94" s="25">
        <f t="shared" ref="J94:J157" si="5">ABS(B94-$B$20/100)</f>
        <v>9.2623393138121235E-2</v>
      </c>
      <c r="K94" s="25">
        <f t="shared" ref="K94:K157" si="6">A94</f>
        <v>0.64</v>
      </c>
    </row>
    <row r="95" spans="1:11" ht="15" customHeight="1" x14ac:dyDescent="0.25">
      <c r="A95" s="29">
        <v>0.65</v>
      </c>
      <c r="B95" s="30">
        <v>0.30506688300168544</v>
      </c>
      <c r="C95" s="31">
        <v>0.76363331170357773</v>
      </c>
      <c r="J95" s="25">
        <f t="shared" si="5"/>
        <v>9.4933116998314582E-2</v>
      </c>
      <c r="K95" s="25">
        <f t="shared" si="6"/>
        <v>0.65</v>
      </c>
    </row>
    <row r="96" spans="1:11" ht="15" customHeight="1" x14ac:dyDescent="0.25">
      <c r="A96" s="29">
        <v>0.66</v>
      </c>
      <c r="B96" s="30">
        <v>0.3028125420888938</v>
      </c>
      <c r="C96" s="31">
        <v>0.76464986044659855</v>
      </c>
      <c r="J96" s="25">
        <f t="shared" si="5"/>
        <v>9.7187457911106223E-2</v>
      </c>
      <c r="K96" s="25">
        <f t="shared" si="6"/>
        <v>0.66</v>
      </c>
    </row>
    <row r="97" spans="1:11" ht="15" customHeight="1" x14ac:dyDescent="0.25">
      <c r="A97" s="29">
        <v>0.67</v>
      </c>
      <c r="B97" s="30">
        <v>0.30061155998000555</v>
      </c>
      <c r="C97" s="31">
        <v>0.76562525954456917</v>
      </c>
      <c r="J97" s="25">
        <f t="shared" si="5"/>
        <v>9.9388440019994473E-2</v>
      </c>
      <c r="K97" s="25">
        <f t="shared" si="6"/>
        <v>0.67</v>
      </c>
    </row>
    <row r="98" spans="1:11" ht="15" customHeight="1" x14ac:dyDescent="0.25">
      <c r="A98" s="29">
        <v>0.68</v>
      </c>
      <c r="B98" s="30">
        <v>0.29846200881694074</v>
      </c>
      <c r="C98" s="31">
        <v>0.76656144445053254</v>
      </c>
      <c r="J98" s="25">
        <f t="shared" si="5"/>
        <v>0.10153799118305928</v>
      </c>
      <c r="K98" s="25">
        <f t="shared" si="6"/>
        <v>0.68</v>
      </c>
    </row>
    <row r="99" spans="1:11" ht="15" customHeight="1" x14ac:dyDescent="0.25">
      <c r="A99" s="29">
        <v>0.69</v>
      </c>
      <c r="B99" s="30">
        <v>0.29636205145952904</v>
      </c>
      <c r="C99" s="31">
        <v>0.76746024082639364</v>
      </c>
      <c r="J99" s="25">
        <f t="shared" si="5"/>
        <v>0.10363794854047098</v>
      </c>
      <c r="K99" s="25">
        <f t="shared" si="6"/>
        <v>0.69</v>
      </c>
    </row>
    <row r="100" spans="1:11" ht="15" customHeight="1" x14ac:dyDescent="0.25">
      <c r="A100" s="29">
        <v>0.7</v>
      </c>
      <c r="B100" s="30">
        <v>0.29430993629514718</v>
      </c>
      <c r="C100" s="31">
        <v>0.76832337173830079</v>
      </c>
      <c r="J100" s="25">
        <f t="shared" si="5"/>
        <v>0.10569006370485284</v>
      </c>
      <c r="K100" s="25">
        <f t="shared" si="6"/>
        <v>0.7</v>
      </c>
    </row>
    <row r="101" spans="1:11" ht="15" customHeight="1" x14ac:dyDescent="0.25">
      <c r="A101" s="29">
        <v>0.71</v>
      </c>
      <c r="B101" s="30">
        <v>0.29230399239626115</v>
      </c>
      <c r="C101" s="31">
        <v>0.76915246432259821</v>
      </c>
      <c r="J101" s="25">
        <f t="shared" si="5"/>
        <v>0.10769600760373887</v>
      </c>
      <c r="K101" s="25">
        <f t="shared" si="6"/>
        <v>0.71</v>
      </c>
    </row>
    <row r="102" spans="1:11" ht="15" customHeight="1" x14ac:dyDescent="0.25">
      <c r="A102" s="29">
        <v>0.72</v>
      </c>
      <c r="B102" s="30">
        <v>0.29034262499918539</v>
      </c>
      <c r="C102" s="31">
        <v>0.76994905596544971</v>
      </c>
      <c r="J102" s="25">
        <f t="shared" si="5"/>
        <v>0.10965737500081463</v>
      </c>
      <c r="K102" s="25">
        <f t="shared" si="6"/>
        <v>0.72</v>
      </c>
    </row>
    <row r="103" spans="1:11" ht="15" customHeight="1" x14ac:dyDescent="0.25">
      <c r="A103" s="29">
        <v>0.73</v>
      </c>
      <c r="B103" s="30">
        <v>0.28842431127967433</v>
      </c>
      <c r="C103" s="31">
        <v>0.77071460003537207</v>
      </c>
      <c r="J103" s="25">
        <f t="shared" si="5"/>
        <v>0.11157568872032569</v>
      </c>
      <c r="K103" s="25">
        <f t="shared" si="6"/>
        <v>0.73</v>
      </c>
    </row>
    <row r="104" spans="1:11" ht="15" customHeight="1" x14ac:dyDescent="0.25">
      <c r="A104" s="29">
        <v>0.74</v>
      </c>
      <c r="B104" s="30">
        <v>0.28654759640304611</v>
      </c>
      <c r="C104" s="31">
        <v>0.77145047120445109</v>
      </c>
      <c r="J104" s="25">
        <f t="shared" si="5"/>
        <v>0.11345240359695391</v>
      </c>
      <c r="K104" s="25">
        <f t="shared" si="6"/>
        <v>0.74</v>
      </c>
    </row>
    <row r="105" spans="1:11" ht="15" customHeight="1" x14ac:dyDescent="0.25">
      <c r="A105" s="29">
        <v>0.75</v>
      </c>
      <c r="B105" s="30">
        <v>0.28471108982842003</v>
      </c>
      <c r="C105" s="31">
        <v>0.77215797039086076</v>
      </c>
      <c r="J105" s="25">
        <f t="shared" si="5"/>
        <v>0.11528891017157999</v>
      </c>
      <c r="K105" s="25">
        <f t="shared" si="6"/>
        <v>0.75</v>
      </c>
    </row>
    <row r="106" spans="1:11" ht="15" customHeight="1" x14ac:dyDescent="0.25">
      <c r="A106" s="29">
        <v>0.76</v>
      </c>
      <c r="B106" s="30">
        <v>0.28291346184836469</v>
      </c>
      <c r="C106" s="31">
        <v>0.77283832935248276</v>
      </c>
      <c r="J106" s="25">
        <f t="shared" si="5"/>
        <v>0.11708653815163533</v>
      </c>
      <c r="K106" s="25">
        <f t="shared" si="6"/>
        <v>0.76</v>
      </c>
    </row>
    <row r="107" spans="1:11" ht="15" customHeight="1" x14ac:dyDescent="0.25">
      <c r="A107" s="29">
        <v>0.77</v>
      </c>
      <c r="B107" s="30">
        <v>0.28115344034679329</v>
      </c>
      <c r="C107" s="31">
        <v>0.7734927149588372</v>
      </c>
      <c r="J107" s="25">
        <f t="shared" si="5"/>
        <v>0.11884655965320673</v>
      </c>
      <c r="K107" s="25">
        <f t="shared" si="6"/>
        <v>0.77</v>
      </c>
    </row>
    <row r="108" spans="1:11" ht="15" customHeight="1" x14ac:dyDescent="0.25">
      <c r="A108" s="29">
        <v>0.78</v>
      </c>
      <c r="B108" s="30">
        <v>0.27942980775936105</v>
      </c>
      <c r="C108" s="31">
        <v>0.77412223316622819</v>
      </c>
      <c r="J108" s="25">
        <f t="shared" si="5"/>
        <v>0.12057019224063897</v>
      </c>
      <c r="K108" s="25">
        <f t="shared" si="6"/>
        <v>0.78</v>
      </c>
    </row>
    <row r="109" spans="1:11" ht="15" customHeight="1" x14ac:dyDescent="0.25">
      <c r="A109" s="29">
        <v>0.79</v>
      </c>
      <c r="B109" s="30">
        <v>0.27774139822188915</v>
      </c>
      <c r="C109" s="31">
        <v>0.77472793271887741</v>
      </c>
      <c r="J109" s="25">
        <f t="shared" si="5"/>
        <v>0.12225860177811088</v>
      </c>
      <c r="K109" s="25">
        <f t="shared" si="6"/>
        <v>0.79</v>
      </c>
    </row>
    <row r="110" spans="1:11" ht="15" customHeight="1" x14ac:dyDescent="0.25">
      <c r="A110" s="29">
        <v>0.8</v>
      </c>
      <c r="B110" s="30">
        <v>0.27608709489350897</v>
      </c>
      <c r="C110" s="31">
        <v>0.77531080859692181</v>
      </c>
      <c r="J110" s="25">
        <f t="shared" si="5"/>
        <v>0.12391290510649106</v>
      </c>
      <c r="K110" s="25">
        <f t="shared" si="6"/>
        <v>0.8</v>
      </c>
    </row>
    <row r="111" spans="1:11" ht="15" customHeight="1" x14ac:dyDescent="0.25">
      <c r="A111" s="29">
        <v>0.81</v>
      </c>
      <c r="B111" s="30">
        <v>0.27446582744227782</v>
      </c>
      <c r="C111" s="31">
        <v>0.77587180523039656</v>
      </c>
      <c r="J111" s="25">
        <f t="shared" si="5"/>
        <v>0.1255341725577222</v>
      </c>
      <c r="K111" s="25">
        <f t="shared" si="6"/>
        <v>0.81</v>
      </c>
    </row>
    <row r="112" spans="1:11" ht="15" customHeight="1" x14ac:dyDescent="0.25">
      <c r="A112" s="29">
        <v>0.82</v>
      </c>
      <c r="B112" s="30">
        <v>0.2728765696819842</v>
      </c>
      <c r="C112" s="31">
        <v>0.77641181949675209</v>
      </c>
      <c r="J112" s="25">
        <f t="shared" si="5"/>
        <v>0.12712343031801582</v>
      </c>
      <c r="K112" s="25">
        <f t="shared" si="6"/>
        <v>0.82</v>
      </c>
    </row>
    <row r="113" spans="1:11" ht="15" customHeight="1" x14ac:dyDescent="0.25">
      <c r="A113" s="29">
        <v>0.83</v>
      </c>
      <c r="B113" s="30">
        <v>0.27131833734974026</v>
      </c>
      <c r="C113" s="31">
        <v>0.77693170351801288</v>
      </c>
      <c r="J113" s="25">
        <f t="shared" si="5"/>
        <v>0.12868166265025976</v>
      </c>
      <c r="K113" s="25">
        <f t="shared" si="6"/>
        <v>0.83</v>
      </c>
    </row>
    <row r="114" spans="1:11" ht="15" customHeight="1" x14ac:dyDescent="0.25">
      <c r="A114" s="29">
        <v>0.84</v>
      </c>
      <c r="B114" s="30">
        <v>0.26979018601476712</v>
      </c>
      <c r="C114" s="31">
        <v>0.7774322672723738</v>
      </c>
      <c r="J114" s="25">
        <f t="shared" si="5"/>
        <v>0.1302098139852329</v>
      </c>
      <c r="K114" s="25">
        <f t="shared" si="6"/>
        <v>0.84</v>
      </c>
    </row>
    <row r="115" spans="1:11" ht="15" customHeight="1" x14ac:dyDescent="0.25">
      <c r="A115" s="29">
        <v>0.85</v>
      </c>
      <c r="B115" s="30">
        <v>0.26829120910951293</v>
      </c>
      <c r="C115" s="31">
        <v>0.77791428103382987</v>
      </c>
      <c r="J115" s="25">
        <f t="shared" si="5"/>
        <v>0.13170879089048709</v>
      </c>
      <c r="K115" s="25">
        <f t="shared" si="6"/>
        <v>0.85</v>
      </c>
    </row>
    <row r="116" spans="1:11" ht="15" customHeight="1" x14ac:dyDescent="0.25">
      <c r="A116" s="29">
        <v>0.86</v>
      </c>
      <c r="B116" s="30">
        <v>0.26682053607491374</v>
      </c>
      <c r="C116" s="31">
        <v>0.77837847765236123</v>
      </c>
      <c r="J116" s="25">
        <f t="shared" si="5"/>
        <v>0.13317946392508628</v>
      </c>
      <c r="K116" s="25">
        <f t="shared" si="6"/>
        <v>0.86</v>
      </c>
    </row>
    <row r="117" spans="1:11" ht="15" customHeight="1" x14ac:dyDescent="0.25">
      <c r="A117" s="29">
        <v>0.87</v>
      </c>
      <c r="B117" s="30">
        <v>0.26537733061222968</v>
      </c>
      <c r="C117" s="31">
        <v>0.77882555468617642</v>
      </c>
      <c r="J117" s="25">
        <f t="shared" si="5"/>
        <v>0.13462266938777034</v>
      </c>
      <c r="K117" s="25">
        <f t="shared" si="6"/>
        <v>0.87</v>
      </c>
    </row>
    <row r="118" spans="1:11" ht="15" customHeight="1" x14ac:dyDescent="0.25">
      <c r="A118" s="29">
        <v>0.88</v>
      </c>
      <c r="B118" s="30">
        <v>0.26396078903444975</v>
      </c>
      <c r="C118" s="31">
        <v>0.77925617639663602</v>
      </c>
      <c r="J118" s="25">
        <f t="shared" si="5"/>
        <v>0.13603921096555027</v>
      </c>
      <c r="K118" s="25">
        <f t="shared" si="6"/>
        <v>0.88</v>
      </c>
    </row>
    <row r="119" spans="1:11" ht="15" customHeight="1" x14ac:dyDescent="0.25">
      <c r="A119" s="29">
        <v>0.89</v>
      </c>
      <c r="B119" s="30">
        <v>0.2625701387107745</v>
      </c>
      <c r="C119" s="31">
        <v>0.77967097561561727</v>
      </c>
      <c r="J119" s="25">
        <f t="shared" si="5"/>
        <v>0.13742986128922552</v>
      </c>
      <c r="K119" s="25">
        <f t="shared" si="6"/>
        <v>0.89</v>
      </c>
    </row>
    <row r="120" spans="1:11" ht="15" customHeight="1" x14ac:dyDescent="0.25">
      <c r="A120" s="29">
        <v>0.9</v>
      </c>
      <c r="B120" s="30">
        <v>0.26120463659816789</v>
      </c>
      <c r="C120" s="31">
        <v>0.78007055549435156</v>
      </c>
      <c r="J120" s="25">
        <f t="shared" si="5"/>
        <v>0.13879536340183213</v>
      </c>
      <c r="K120" s="25">
        <f t="shared" si="6"/>
        <v>0.9</v>
      </c>
    </row>
    <row r="121" spans="1:11" ht="15" customHeight="1" x14ac:dyDescent="0.25">
      <c r="A121" s="29">
        <v>0.91</v>
      </c>
      <c r="B121" s="30">
        <v>0.25986356785439996</v>
      </c>
      <c r="C121" s="31">
        <v>0.78045549114204249</v>
      </c>
      <c r="J121" s="25">
        <f t="shared" si="5"/>
        <v>0.14013643214560007</v>
      </c>
      <c r="K121" s="25">
        <f t="shared" si="6"/>
        <v>0.91</v>
      </c>
    </row>
    <row r="122" spans="1:11" ht="15" customHeight="1" x14ac:dyDescent="0.25">
      <c r="A122" s="29">
        <v>0.92</v>
      </c>
      <c r="B122" s="30">
        <v>0.25854624452740771</v>
      </c>
      <c r="C122" s="31">
        <v>0.7808263311619531</v>
      </c>
      <c r="J122" s="25">
        <f t="shared" si="5"/>
        <v>0.14145375547259231</v>
      </c>
      <c r="K122" s="25">
        <f t="shared" si="6"/>
        <v>0.92</v>
      </c>
    </row>
    <row r="123" spans="1:11" ht="15" customHeight="1" x14ac:dyDescent="0.25">
      <c r="A123" s="29">
        <v>0.93</v>
      </c>
      <c r="B123" s="30">
        <v>0.25725200431616851</v>
      </c>
      <c r="C123" s="31">
        <v>0.78118359909206103</v>
      </c>
      <c r="J123" s="25">
        <f t="shared" si="5"/>
        <v>0.14274799568383151</v>
      </c>
      <c r="K123" s="25">
        <f t="shared" si="6"/>
        <v>0.93</v>
      </c>
    </row>
    <row r="124" spans="1:11" ht="15" customHeight="1" x14ac:dyDescent="0.25">
      <c r="A124" s="29">
        <v>0.94</v>
      </c>
      <c r="B124" s="30">
        <v>0.25598020939862121</v>
      </c>
      <c r="C124" s="31">
        <v>0.78152779475683642</v>
      </c>
      <c r="J124" s="25">
        <f t="shared" si="5"/>
        <v>0.14401979060137882</v>
      </c>
      <c r="K124" s="25">
        <f t="shared" si="6"/>
        <v>0.94</v>
      </c>
    </row>
    <row r="125" spans="1:11" ht="15" customHeight="1" x14ac:dyDescent="0.25">
      <c r="A125" s="29">
        <v>0.95</v>
      </c>
      <c r="B125" s="30">
        <v>0.25473024532248623</v>
      </c>
      <c r="C125" s="31">
        <v>0.78185939553621842</v>
      </c>
      <c r="J125" s="25">
        <f t="shared" si="5"/>
        <v>0.1452697546775138</v>
      </c>
      <c r="K125" s="25">
        <f t="shared" si="6"/>
        <v>0.95</v>
      </c>
    </row>
    <row r="126" spans="1:11" ht="15" customHeight="1" x14ac:dyDescent="0.25">
      <c r="A126" s="29">
        <v>0.96</v>
      </c>
      <c r="B126" s="30">
        <v>0.25350151995511894</v>
      </c>
      <c r="C126" s="31">
        <v>0.7821788575574028</v>
      </c>
      <c r="J126" s="25">
        <f t="shared" si="5"/>
        <v>0.14649848004488109</v>
      </c>
      <c r="K126" s="25">
        <f t="shared" si="6"/>
        <v>0.96</v>
      </c>
    </row>
    <row r="127" spans="1:11" ht="15" customHeight="1" x14ac:dyDescent="0.25">
      <c r="A127" s="29">
        <v>0.97</v>
      </c>
      <c r="B127" s="30">
        <v>0.2522934624888033</v>
      </c>
      <c r="C127" s="31">
        <v>0.78248661681464127</v>
      </c>
      <c r="J127" s="25">
        <f t="shared" si="5"/>
        <v>0.14770653751119672</v>
      </c>
      <c r="K127" s="25">
        <f t="shared" si="6"/>
        <v>0.97</v>
      </c>
    </row>
    <row r="128" spans="1:11" ht="15" customHeight="1" x14ac:dyDescent="0.25">
      <c r="A128" s="29">
        <v>0.98</v>
      </c>
      <c r="B128" s="30">
        <v>0.25110552249813722</v>
      </c>
      <c r="C128" s="31">
        <v>0.78278309022187265</v>
      </c>
      <c r="J128" s="25">
        <f t="shared" si="5"/>
        <v>0.1488944775018628</v>
      </c>
      <c r="K128" s="25">
        <f t="shared" si="6"/>
        <v>0.98</v>
      </c>
    </row>
    <row r="129" spans="1:11" ht="15" customHeight="1" x14ac:dyDescent="0.25">
      <c r="A129" s="29">
        <v>0.99</v>
      </c>
      <c r="B129" s="30">
        <v>0.24993716904638399</v>
      </c>
      <c r="C129" s="31">
        <v>0.78306867660264945</v>
      </c>
      <c r="J129" s="25">
        <f t="shared" si="5"/>
        <v>0.15006283095361603</v>
      </c>
      <c r="K129" s="25">
        <f t="shared" si="6"/>
        <v>0.99</v>
      </c>
    </row>
    <row r="130" spans="1:11" ht="15" customHeight="1" x14ac:dyDescent="0.25">
      <c r="A130" s="29">
        <v>1</v>
      </c>
      <c r="B130" s="30">
        <v>0.24878788983788414</v>
      </c>
      <c r="C130" s="31">
        <v>0.78334375762150366</v>
      </c>
      <c r="J130" s="25">
        <f t="shared" si="5"/>
        <v>0.15121211016211589</v>
      </c>
      <c r="K130" s="25">
        <f t="shared" si="6"/>
        <v>1</v>
      </c>
    </row>
    <row r="131" spans="1:11" ht="15" customHeight="1" x14ac:dyDescent="0.25">
      <c r="A131" s="29">
        <v>1.01</v>
      </c>
      <c r="B131" s="30">
        <v>0.24765719041380529</v>
      </c>
      <c r="C131" s="31">
        <v>0.78360869866059335</v>
      </c>
      <c r="J131" s="25">
        <f t="shared" si="5"/>
        <v>0.15234280958619473</v>
      </c>
      <c r="K131" s="25">
        <f t="shared" si="6"/>
        <v>1.01</v>
      </c>
    </row>
    <row r="132" spans="1:11" ht="15" customHeight="1" x14ac:dyDescent="0.25">
      <c r="A132" s="29">
        <v>1.02</v>
      </c>
      <c r="B132" s="30">
        <v>0.24654459338869789</v>
      </c>
      <c r="C132" s="31">
        <v>0.78386384964519984</v>
      </c>
      <c r="J132" s="25">
        <f t="shared" si="5"/>
        <v>0.15345540661130214</v>
      </c>
      <c r="K132" s="25">
        <f t="shared" si="6"/>
        <v>1.02</v>
      </c>
    </row>
    <row r="133" spans="1:11" ht="15" customHeight="1" x14ac:dyDescent="0.25">
      <c r="A133" s="29">
        <v>1.03</v>
      </c>
      <c r="B133" s="30">
        <v>0.24544963772548459</v>
      </c>
      <c r="C133" s="31">
        <v>0.78410954582138837</v>
      </c>
      <c r="J133" s="25">
        <f t="shared" si="5"/>
        <v>0.15455036227451543</v>
      </c>
      <c r="K133" s="25">
        <f t="shared" si="6"/>
        <v>1.03</v>
      </c>
    </row>
    <row r="134" spans="1:11" ht="15" customHeight="1" x14ac:dyDescent="0.25">
      <c r="A134" s="29">
        <v>1.04</v>
      </c>
      <c r="B134" s="30">
        <v>0.24437187804666854</v>
      </c>
      <c r="C134" s="31">
        <v>0.7843461084889104</v>
      </c>
      <c r="J134" s="25">
        <f t="shared" si="5"/>
        <v>0.15562812195333148</v>
      </c>
      <c r="K134" s="25">
        <f t="shared" si="6"/>
        <v>1.04</v>
      </c>
    </row>
    <row r="135" spans="1:11" ht="15" customHeight="1" x14ac:dyDescent="0.25">
      <c r="A135" s="29">
        <v>1.05</v>
      </c>
      <c r="B135" s="30">
        <v>0.243310883979691</v>
      </c>
      <c r="C135" s="31">
        <v>0.78457384569221311</v>
      </c>
      <c r="J135" s="25">
        <f t="shared" si="5"/>
        <v>0.15668911602030902</v>
      </c>
      <c r="K135" s="25">
        <f t="shared" si="6"/>
        <v>1.05</v>
      </c>
    </row>
    <row r="136" spans="1:11" ht="15" customHeight="1" x14ac:dyDescent="0.25">
      <c r="A136" s="29">
        <v>1.06</v>
      </c>
      <c r="B136" s="30">
        <v>0.24226623953449766</v>
      </c>
      <c r="C136" s="31">
        <v>0.78479305287221657</v>
      </c>
      <c r="J136" s="25">
        <f t="shared" si="5"/>
        <v>0.15773376046550236</v>
      </c>
      <c r="K136" s="25">
        <f t="shared" si="6"/>
        <v>1.06</v>
      </c>
    </row>
    <row r="137" spans="1:11" ht="15" customHeight="1" x14ac:dyDescent="0.25">
      <c r="A137" s="29">
        <v>1.07</v>
      </c>
      <c r="B137" s="30">
        <v>0.24123754251150048</v>
      </c>
      <c r="C137" s="31">
        <v>0.78500401348133952</v>
      </c>
      <c r="J137" s="25">
        <f t="shared" si="5"/>
        <v>0.15876245748849954</v>
      </c>
      <c r="K137" s="25">
        <f t="shared" si="6"/>
        <v>1.07</v>
      </c>
    </row>
    <row r="138" spans="1:11" ht="15" customHeight="1" x14ac:dyDescent="0.25">
      <c r="A138" s="29">
        <v>1.08</v>
      </c>
      <c r="B138" s="30">
        <v>0.24022440393823571</v>
      </c>
      <c r="C138" s="31">
        <v>0.78520699956407713</v>
      </c>
      <c r="J138" s="25">
        <f t="shared" si="5"/>
        <v>0.15977559606176431</v>
      </c>
      <c r="K138" s="25">
        <f t="shared" si="6"/>
        <v>1.08</v>
      </c>
    </row>
    <row r="139" spans="1:11" ht="15" customHeight="1" x14ac:dyDescent="0.25">
      <c r="A139" s="29">
        <v>1.0900000000000001</v>
      </c>
      <c r="B139" s="30">
        <v>0.23922644753312411</v>
      </c>
      <c r="C139" s="31">
        <v>0.78540227230528181</v>
      </c>
      <c r="J139" s="25">
        <f t="shared" si="5"/>
        <v>0.16077355246687591</v>
      </c>
      <c r="K139" s="25">
        <f t="shared" si="6"/>
        <v>1.0900000000000001</v>
      </c>
    </row>
    <row r="140" spans="1:11" ht="15" customHeight="1" x14ac:dyDescent="0.25">
      <c r="A140" s="29">
        <v>1.1000000000000001</v>
      </c>
      <c r="B140" s="30">
        <v>0.2382433091948403</v>
      </c>
      <c r="C140" s="31">
        <v>0.78559008254815044</v>
      </c>
      <c r="J140" s="25">
        <f t="shared" si="5"/>
        <v>0.16175669080515973</v>
      </c>
      <c r="K140" s="25">
        <f t="shared" si="6"/>
        <v>1.1000000000000001</v>
      </c>
    </row>
    <row r="141" spans="1:11" ht="15" customHeight="1" x14ac:dyDescent="0.25">
      <c r="A141" s="29">
        <v>1.1100000000000001</v>
      </c>
      <c r="B141" s="30">
        <v>0.23727463651589242</v>
      </c>
      <c r="C141" s="31">
        <v>0.78577067128378231</v>
      </c>
      <c r="J141" s="25">
        <f t="shared" si="5"/>
        <v>0.1627253634841076</v>
      </c>
      <c r="K141" s="25">
        <f t="shared" si="6"/>
        <v>1.1100000000000001</v>
      </c>
    </row>
    <row r="142" spans="1:11" ht="15" customHeight="1" x14ac:dyDescent="0.25">
      <c r="A142" s="29">
        <v>1.1200000000000001</v>
      </c>
      <c r="B142" s="30">
        <v>0.23632008831909385</v>
      </c>
      <c r="C142" s="31">
        <v>0.78594427011404733</v>
      </c>
      <c r="J142" s="25">
        <f t="shared" si="5"/>
        <v>0.16367991168090618</v>
      </c>
      <c r="K142" s="25">
        <f t="shared" si="6"/>
        <v>1.1200000000000001</v>
      </c>
    </row>
    <row r="143" spans="1:11" ht="15" customHeight="1" x14ac:dyDescent="0.25">
      <c r="A143" s="29">
        <v>1.1299999999999999</v>
      </c>
      <c r="B143" s="30">
        <v>0.23537933421569526</v>
      </c>
      <c r="C143" s="31">
        <v>0.78611110168939635</v>
      </c>
      <c r="J143" s="25">
        <f t="shared" si="5"/>
        <v>0.16462066578430476</v>
      </c>
      <c r="K143" s="25">
        <f t="shared" si="6"/>
        <v>1.1299999999999999</v>
      </c>
    </row>
    <row r="144" spans="1:11" ht="15" customHeight="1" x14ac:dyDescent="0.25">
      <c r="A144" s="29">
        <v>1.1399999999999999</v>
      </c>
      <c r="B144" s="30">
        <v>0.23445205418401688</v>
      </c>
      <c r="C144" s="31">
        <v>0.78627138012311693</v>
      </c>
      <c r="J144" s="25">
        <f t="shared" si="5"/>
        <v>0.16554794581598314</v>
      </c>
      <c r="K144" s="25">
        <f t="shared" si="6"/>
        <v>1.1399999999999999</v>
      </c>
    </row>
    <row r="145" spans="1:11" ht="15" customHeight="1" x14ac:dyDescent="0.25">
      <c r="A145" s="29">
        <v>1.1499999999999999</v>
      </c>
      <c r="B145" s="30">
        <v>0.23353793816749024</v>
      </c>
      <c r="C145" s="31">
        <v>0.78642531138346472</v>
      </c>
      <c r="J145" s="25">
        <f t="shared" si="5"/>
        <v>0.16646206183250978</v>
      </c>
      <c r="K145" s="25">
        <f t="shared" si="6"/>
        <v>1.1499999999999999</v>
      </c>
    </row>
    <row r="146" spans="1:11" ht="15" customHeight="1" x14ac:dyDescent="0.25">
      <c r="A146" s="29">
        <v>1.1599999999999999</v>
      </c>
      <c r="B146" s="30">
        <v>0.23263668569108592</v>
      </c>
      <c r="C146" s="31">
        <v>0.78657309366497985</v>
      </c>
      <c r="J146" s="25">
        <f t="shared" si="5"/>
        <v>0.1673633143089141</v>
      </c>
      <c r="K146" s="25">
        <f t="shared" si="6"/>
        <v>1.1599999999999999</v>
      </c>
    </row>
    <row r="147" spans="1:11" ht="15" customHeight="1" x14ac:dyDescent="0.25">
      <c r="A147" s="29">
        <v>1.17</v>
      </c>
      <c r="B147" s="30">
        <v>0.23174800549516245</v>
      </c>
      <c r="C147" s="31">
        <v>0.78671491774023528</v>
      </c>
      <c r="J147" s="25">
        <f t="shared" si="5"/>
        <v>0.16825199450483758</v>
      </c>
      <c r="K147" s="25">
        <f t="shared" si="6"/>
        <v>1.17</v>
      </c>
    </row>
    <row r="148" spans="1:11" ht="15" customHeight="1" x14ac:dyDescent="0.25">
      <c r="A148" s="29">
        <v>1.18</v>
      </c>
      <c r="B148" s="30">
        <v>0.23087161518582994</v>
      </c>
      <c r="C148" s="31">
        <v>0.78685096729316295</v>
      </c>
      <c r="J148" s="25">
        <f t="shared" si="5"/>
        <v>0.16912838481417009</v>
      </c>
      <c r="K148" s="25">
        <f t="shared" si="6"/>
        <v>1.18</v>
      </c>
    </row>
    <row r="149" spans="1:11" ht="15" customHeight="1" x14ac:dyDescent="0.25">
      <c r="A149" s="29">
        <v>1.19</v>
      </c>
      <c r="B149" s="30">
        <v>0.23000724090097513</v>
      </c>
      <c r="C149" s="31">
        <v>0.7869814192350475</v>
      </c>
      <c r="J149" s="25">
        <f t="shared" si="5"/>
        <v>0.16999275909902489</v>
      </c>
      <c r="K149" s="25">
        <f t="shared" si="6"/>
        <v>1.19</v>
      </c>
    </row>
    <row r="150" spans="1:11" ht="15" customHeight="1" x14ac:dyDescent="0.25">
      <c r="A150" s="29">
        <v>1.2</v>
      </c>
      <c r="B150" s="30">
        <v>0.22915461699114162</v>
      </c>
      <c r="C150" s="31">
        <v>0.78710644400419216</v>
      </c>
      <c r="J150" s="25">
        <f t="shared" si="5"/>
        <v>0.1708453830088584</v>
      </c>
      <c r="K150" s="25">
        <f t="shared" si="6"/>
        <v>1.2</v>
      </c>
    </row>
    <row r="151" spans="1:11" ht="15" customHeight="1" x14ac:dyDescent="0.25">
      <c r="A151" s="29">
        <v>1.21</v>
      </c>
      <c r="B151" s="30">
        <v>0.22831348571450999</v>
      </c>
      <c r="C151" s="31">
        <v>0.78722620585020631</v>
      </c>
      <c r="J151" s="25">
        <f t="shared" si="5"/>
        <v>0.17168651428549003</v>
      </c>
      <c r="K151" s="25">
        <f t="shared" si="6"/>
        <v>1.21</v>
      </c>
    </row>
    <row r="152" spans="1:11" ht="15" customHeight="1" x14ac:dyDescent="0.25">
      <c r="A152" s="29">
        <v>1.22</v>
      </c>
      <c r="B152" s="30">
        <v>0.22748359694526149</v>
      </c>
      <c r="C152" s="31">
        <v>0.78734086310380158</v>
      </c>
      <c r="J152" s="25">
        <f t="shared" si="5"/>
        <v>0.17251640305473853</v>
      </c>
      <c r="K152" s="25">
        <f t="shared" si="6"/>
        <v>1.22</v>
      </c>
    </row>
    <row r="153" spans="1:11" ht="15" customHeight="1" x14ac:dyDescent="0.25">
      <c r="A153" s="29">
        <v>1.23</v>
      </c>
      <c r="B153" s="30">
        <v>0.2266647078946521</v>
      </c>
      <c r="C153" s="31">
        <v>0.7874505684329236</v>
      </c>
      <c r="J153" s="25">
        <f t="shared" si="5"/>
        <v>0.17333529210534793</v>
      </c>
      <c r="K153" s="25">
        <f t="shared" si="6"/>
        <v>1.23</v>
      </c>
    </row>
    <row r="154" spans="1:11" ht="15" customHeight="1" x14ac:dyDescent="0.25">
      <c r="A154" s="29">
        <v>1.24</v>
      </c>
      <c r="B154" s="30">
        <v>0.22585658284416293</v>
      </c>
      <c r="C154" s="31">
        <v>0.78755546908600349</v>
      </c>
      <c r="J154" s="25">
        <f t="shared" si="5"/>
        <v>0.17414341715583709</v>
      </c>
      <c r="K154" s="25">
        <f t="shared" si="6"/>
        <v>1.24</v>
      </c>
    </row>
    <row r="155" spans="1:11" ht="15" customHeight="1" x14ac:dyDescent="0.25">
      <c r="A155" s="29">
        <v>1.25</v>
      </c>
      <c r="B155" s="30">
        <v>0.22505899289012465</v>
      </c>
      <c r="C155" s="31">
        <v>0.78765570712304978</v>
      </c>
      <c r="J155" s="25">
        <f t="shared" si="5"/>
        <v>0.17494100710987537</v>
      </c>
      <c r="K155" s="25">
        <f t="shared" si="6"/>
        <v>1.25</v>
      </c>
    </row>
    <row r="156" spans="1:11" ht="15" customHeight="1" x14ac:dyDescent="0.25">
      <c r="A156" s="29">
        <v>1.26</v>
      </c>
      <c r="B156" s="30">
        <v>0.22427171569925192</v>
      </c>
      <c r="C156" s="31">
        <v>0.78775141963527506</v>
      </c>
      <c r="J156" s="25">
        <f t="shared" si="5"/>
        <v>0.17572828430074811</v>
      </c>
      <c r="K156" s="25">
        <f t="shared" si="6"/>
        <v>1.26</v>
      </c>
    </row>
    <row r="157" spans="1:11" ht="15" customHeight="1" x14ac:dyDescent="0.25">
      <c r="A157" s="29">
        <v>1.27</v>
      </c>
      <c r="B157" s="30">
        <v>0.22349453527455171</v>
      </c>
      <c r="C157" s="31">
        <v>0.7878427389538889</v>
      </c>
      <c r="J157" s="25">
        <f t="shared" si="5"/>
        <v>0.17650546472544831</v>
      </c>
      <c r="K157" s="25">
        <f t="shared" si="6"/>
        <v>1.27</v>
      </c>
    </row>
    <row r="158" spans="1:11" ht="15" customHeight="1" x14ac:dyDescent="0.25">
      <c r="A158" s="29">
        <v>1.28</v>
      </c>
      <c r="B158" s="30">
        <v>0.2227272417311007</v>
      </c>
      <c r="C158" s="31">
        <v>0.7879297928486676</v>
      </c>
      <c r="J158" s="25">
        <f t="shared" ref="J158:J221" si="7">ABS(B158-$B$20/100)</f>
        <v>0.17727275826889932</v>
      </c>
      <c r="K158" s="25">
        <f t="shared" ref="K158:K221" si="8">A158</f>
        <v>1.28</v>
      </c>
    </row>
    <row r="159" spans="1:11" ht="15" customHeight="1" x14ac:dyDescent="0.25">
      <c r="A159" s="29">
        <v>1.29</v>
      </c>
      <c r="B159" s="30">
        <v>0.22196963108121426</v>
      </c>
      <c r="C159" s="31">
        <v>0.78801270471685891</v>
      </c>
      <c r="J159" s="25">
        <f t="shared" si="7"/>
        <v>0.17803036891878576</v>
      </c>
      <c r="K159" s="25">
        <f t="shared" si="8"/>
        <v>1.29</v>
      </c>
    </row>
    <row r="160" spans="1:11" ht="15" customHeight="1" x14ac:dyDescent="0.25">
      <c r="A160" s="29">
        <v>1.3</v>
      </c>
      <c r="B160" s="30">
        <v>0.22122150502855434</v>
      </c>
      <c r="C160" s="31">
        <v>0.78809159376296167</v>
      </c>
      <c r="J160" s="25">
        <f t="shared" si="7"/>
        <v>0.17877849497144568</v>
      </c>
      <c r="K160" s="25">
        <f t="shared" si="8"/>
        <v>1.3</v>
      </c>
    </row>
    <row r="161" spans="1:11" ht="15" customHeight="1" x14ac:dyDescent="0.25">
      <c r="A161" s="29">
        <v>1.31</v>
      </c>
      <c r="B161" s="30">
        <v>0.22048267077075084</v>
      </c>
      <c r="C161" s="31">
        <v>0.78816657516986643</v>
      </c>
      <c r="J161" s="25">
        <f t="shared" si="7"/>
        <v>0.17951732922924918</v>
      </c>
      <c r="K161" s="25">
        <f t="shared" si="8"/>
        <v>1.31</v>
      </c>
    </row>
    <row r="162" spans="1:11" ht="15" customHeight="1" x14ac:dyDescent="0.25">
      <c r="A162" s="29">
        <v>1.32</v>
      </c>
      <c r="B162" s="30">
        <v>0.21975294081013066</v>
      </c>
      <c r="C162" s="31">
        <v>0.78823776026184045</v>
      </c>
      <c r="J162" s="25">
        <f t="shared" si="7"/>
        <v>0.18024705918986936</v>
      </c>
      <c r="K162" s="25">
        <f t="shared" si="8"/>
        <v>1.32</v>
      </c>
    </row>
    <row r="163" spans="1:11" ht="15" customHeight="1" x14ac:dyDescent="0.25">
      <c r="A163" s="29">
        <v>1.33</v>
      </c>
      <c r="B163" s="30">
        <v>0.2190321327721724</v>
      </c>
      <c r="C163" s="31">
        <v>0.78830525665978612</v>
      </c>
      <c r="J163" s="25">
        <f t="shared" si="7"/>
        <v>0.18096786722782762</v>
      </c>
      <c r="K163" s="25">
        <f t="shared" si="8"/>
        <v>1.33</v>
      </c>
    </row>
    <row r="164" spans="1:11" ht="15" customHeight="1" x14ac:dyDescent="0.25">
      <c r="A164" s="29">
        <v>1.34</v>
      </c>
      <c r="B164" s="30">
        <v>0.21832006923132488</v>
      </c>
      <c r="C164" s="31">
        <v>0.78836916842919158</v>
      </c>
      <c r="J164" s="25">
        <f t="shared" si="7"/>
        <v>0.18167993076867514</v>
      </c>
      <c r="K164" s="25">
        <f t="shared" si="8"/>
        <v>1.34</v>
      </c>
    </row>
    <row r="165" spans="1:11" ht="15" customHeight="1" x14ac:dyDescent="0.25">
      <c r="A165" s="29">
        <v>1.35</v>
      </c>
      <c r="B165" s="30">
        <v>0.21761657754384495</v>
      </c>
      <c r="C165" s="31">
        <v>0.78842959622116482</v>
      </c>
      <c r="J165" s="25">
        <f t="shared" si="7"/>
        <v>0.18238342245615508</v>
      </c>
      <c r="K165" s="25">
        <f t="shared" si="8"/>
        <v>1.35</v>
      </c>
    </row>
    <row r="166" spans="1:11" ht="15" customHeight="1" x14ac:dyDescent="0.25">
      <c r="A166" s="29">
        <v>1.36</v>
      </c>
      <c r="B166" s="30">
        <v>0.21692148968733141</v>
      </c>
      <c r="C166" s="31">
        <v>0.78848663740691616</v>
      </c>
      <c r="J166" s="25">
        <f t="shared" si="7"/>
        <v>0.18307851031266861</v>
      </c>
      <c r="K166" s="25">
        <f t="shared" si="8"/>
        <v>1.36</v>
      </c>
    </row>
    <row r="167" spans="1:11" ht="15" customHeight="1" x14ac:dyDescent="0.25">
      <c r="A167" s="29">
        <v>1.37</v>
      </c>
      <c r="B167" s="30">
        <v>0.2162346421066447</v>
      </c>
      <c r="C167" s="31">
        <v>0.78854038620603628</v>
      </c>
      <c r="J167" s="25">
        <f t="shared" si="7"/>
        <v>0.18376535789335532</v>
      </c>
      <c r="K167" s="25">
        <f t="shared" si="8"/>
        <v>1.37</v>
      </c>
    </row>
    <row r="168" spans="1:11" ht="15" customHeight="1" x14ac:dyDescent="0.25">
      <c r="A168" s="29">
        <v>1.38</v>
      </c>
      <c r="B168" s="30">
        <v>0.21555587556592173</v>
      </c>
      <c r="C168" s="31">
        <v>0.78859093380888945</v>
      </c>
      <c r="J168" s="25">
        <f t="shared" si="7"/>
        <v>0.18444412443407829</v>
      </c>
      <c r="K168" s="25">
        <f t="shared" si="8"/>
        <v>1.38</v>
      </c>
    </row>
    <row r="169" spans="1:11" ht="15" customHeight="1" x14ac:dyDescent="0.25">
      <c r="A169" s="29">
        <v>1.39</v>
      </c>
      <c r="B169" s="30">
        <v>0.21488503500640771</v>
      </c>
      <c r="C169" s="31">
        <v>0.78863836849343905</v>
      </c>
      <c r="J169" s="25">
        <f t="shared" si="7"/>
        <v>0.18511496499359231</v>
      </c>
      <c r="K169" s="25">
        <f t="shared" si="8"/>
        <v>1.39</v>
      </c>
    </row>
    <row r="170" spans="1:11" ht="15" customHeight="1" x14ac:dyDescent="0.25">
      <c r="A170" s="29">
        <v>1.4</v>
      </c>
      <c r="B170" s="30">
        <v>0.21422196940984226</v>
      </c>
      <c r="C170" s="31">
        <v>0.78868277573678158</v>
      </c>
      <c r="J170" s="25">
        <f t="shared" si="7"/>
        <v>0.18577803059015777</v>
      </c>
      <c r="K170" s="25">
        <f t="shared" si="8"/>
        <v>1.4</v>
      </c>
    </row>
    <row r="171" spans="1:11" ht="15" customHeight="1" x14ac:dyDescent="0.25">
      <c r="A171" s="29">
        <v>1.41</v>
      </c>
      <c r="B171" s="30">
        <v>0.21356653166715087</v>
      </c>
      <c r="C171" s="31">
        <v>0.78872423832167271</v>
      </c>
      <c r="J171" s="25">
        <f t="shared" si="7"/>
        <v>0.18643346833284916</v>
      </c>
      <c r="K171" s="25">
        <f t="shared" si="8"/>
        <v>1.41</v>
      </c>
    </row>
    <row r="172" spans="1:11" ht="15" customHeight="1" x14ac:dyDescent="0.25">
      <c r="A172" s="29">
        <v>1.42</v>
      </c>
      <c r="B172" s="30">
        <v>0.21291857845220305</v>
      </c>
      <c r="C172" s="31">
        <v>0.78876283643829193</v>
      </c>
      <c r="J172" s="25">
        <f t="shared" si="7"/>
        <v>0.18708142154779697</v>
      </c>
      <c r="K172" s="25">
        <f t="shared" si="8"/>
        <v>1.42</v>
      </c>
    </row>
    <row r="173" spans="1:11" ht="15" customHeight="1" x14ac:dyDescent="0.25">
      <c r="A173" s="29">
        <v>1.43</v>
      </c>
      <c r="B173" s="30">
        <v>0.21227797010041399</v>
      </c>
      <c r="C173" s="31">
        <v>0.788798647781497</v>
      </c>
      <c r="J173" s="25">
        <f t="shared" si="7"/>
        <v>0.18772202989958603</v>
      </c>
      <c r="K173" s="25">
        <f t="shared" si="8"/>
        <v>1.43</v>
      </c>
    </row>
    <row r="174" spans="1:11" ht="15" customHeight="1" x14ac:dyDescent="0.25">
      <c r="A174" s="29">
        <v>1.44</v>
      </c>
      <c r="B174" s="30">
        <v>0.21164457049197488</v>
      </c>
      <c r="C174" s="31">
        <v>0.78883174764378861</v>
      </c>
      <c r="J174" s="25">
        <f t="shared" si="7"/>
        <v>0.18835542950802514</v>
      </c>
      <c r="K174" s="25">
        <f t="shared" si="8"/>
        <v>1.44</v>
      </c>
    </row>
    <row r="175" spans="1:11" ht="15" customHeight="1" x14ac:dyDescent="0.25">
      <c r="A175" s="29">
        <v>1.45</v>
      </c>
      <c r="B175" s="30">
        <v>0.21101824693950885</v>
      </c>
      <c r="C175" s="31">
        <v>0.78886220900420689</v>
      </c>
      <c r="J175" s="25">
        <f t="shared" si="7"/>
        <v>0.18898175306049117</v>
      </c>
      <c r="K175" s="25">
        <f t="shared" si="8"/>
        <v>1.45</v>
      </c>
    </row>
    <row r="176" spans="1:11" ht="15" customHeight="1" x14ac:dyDescent="0.25">
      <c r="A176" s="29">
        <v>1.46</v>
      </c>
      <c r="B176" s="30">
        <v>0.21039887007995942</v>
      </c>
      <c r="C176" s="31">
        <v>0.78889010261335923</v>
      </c>
      <c r="J176" s="25">
        <f t="shared" si="7"/>
        <v>0.18960112992004061</v>
      </c>
      <c r="K176" s="25">
        <f t="shared" si="8"/>
        <v>1.46</v>
      </c>
    </row>
    <row r="177" spans="1:11" ht="15" customHeight="1" x14ac:dyDescent="0.25">
      <c r="A177" s="29">
        <v>1.47</v>
      </c>
      <c r="B177" s="30">
        <v>0.20978631377052842</v>
      </c>
      <c r="C177" s="31">
        <v>0.78891549707477393</v>
      </c>
      <c r="J177" s="25">
        <f t="shared" si="7"/>
        <v>0.1902136862294716</v>
      </c>
      <c r="K177" s="25">
        <f t="shared" si="8"/>
        <v>1.47</v>
      </c>
    </row>
    <row r="178" spans="1:11" ht="15" customHeight="1" x14ac:dyDescent="0.25">
      <c r="A178" s="29">
        <v>1.48</v>
      </c>
      <c r="B178" s="30">
        <v>0.20918045498848767</v>
      </c>
      <c r="C178" s="31">
        <v>0.78893845892276049</v>
      </c>
      <c r="J178" s="25">
        <f t="shared" si="7"/>
        <v>0.19081954501151235</v>
      </c>
      <c r="K178" s="25">
        <f t="shared" si="8"/>
        <v>1.48</v>
      </c>
    </row>
    <row r="179" spans="1:11" ht="15" customHeight="1" x14ac:dyDescent="0.25">
      <c r="A179" s="29">
        <v>1.49</v>
      </c>
      <c r="B179" s="30">
        <v>0.20858117373469906</v>
      </c>
      <c r="C179" s="31">
        <v>0.78895905269694677</v>
      </c>
      <c r="J179" s="25">
        <f t="shared" si="7"/>
        <v>0.19141882626530096</v>
      </c>
      <c r="K179" s="25">
        <f t="shared" si="8"/>
        <v>1.49</v>
      </c>
    </row>
    <row r="180" spans="1:11" ht="15" customHeight="1" x14ac:dyDescent="0.25">
      <c r="A180" s="29">
        <v>1.5</v>
      </c>
      <c r="B180" s="30">
        <v>0.20798835294068493</v>
      </c>
      <c r="C180" s="31">
        <v>0.78897734101365913</v>
      </c>
      <c r="J180" s="25">
        <f t="shared" si="7"/>
        <v>0.19201164705931509</v>
      </c>
      <c r="K180" s="25">
        <f t="shared" si="8"/>
        <v>1.5</v>
      </c>
    </row>
    <row r="181" spans="1:11" ht="15" customHeight="1" x14ac:dyDescent="0.25">
      <c r="A181" s="29">
        <v>1.51</v>
      </c>
      <c r="B181" s="30">
        <v>0.20740187837909746</v>
      </c>
      <c r="C181" s="31">
        <v>0.78899338463429225</v>
      </c>
      <c r="J181" s="25">
        <f t="shared" si="7"/>
        <v>0.19259812162090256</v>
      </c>
      <c r="K181" s="25">
        <f t="shared" si="8"/>
        <v>1.51</v>
      </c>
    </row>
    <row r="182" spans="1:11" ht="15" customHeight="1" x14ac:dyDescent="0.25">
      <c r="A182" s="29">
        <v>1.52</v>
      </c>
      <c r="B182" s="30">
        <v>0.20682163857744484</v>
      </c>
      <c r="C182" s="31">
        <v>0.78900724253082388</v>
      </c>
      <c r="J182" s="25">
        <f t="shared" si="7"/>
        <v>0.19317836142255518</v>
      </c>
      <c r="K182" s="25">
        <f t="shared" si="8"/>
        <v>1.52</v>
      </c>
    </row>
    <row r="183" spans="1:11" ht="15" customHeight="1" x14ac:dyDescent="0.25">
      <c r="A183" s="29">
        <v>1.53</v>
      </c>
      <c r="B183" s="30">
        <v>0.20624752473493652</v>
      </c>
      <c r="C183" s="31">
        <v>0.78901897194859683</v>
      </c>
      <c r="J183" s="25">
        <f t="shared" si="7"/>
        <v>0.19375247526506351</v>
      </c>
      <c r="K183" s="25">
        <f t="shared" si="8"/>
        <v>1.53</v>
      </c>
    </row>
    <row r="184" spans="1:11" ht="15" customHeight="1" x14ac:dyDescent="0.25">
      <c r="A184" s="29">
        <v>1.54</v>
      </c>
      <c r="B184" s="30">
        <v>0.20567943064231864</v>
      </c>
      <c r="C184" s="31">
        <v>0.78902862846651822</v>
      </c>
      <c r="J184" s="25">
        <f t="shared" si="7"/>
        <v>0.19432056935768138</v>
      </c>
      <c r="K184" s="25">
        <f t="shared" si="8"/>
        <v>1.54</v>
      </c>
    </row>
    <row r="185" spans="1:11" ht="15" customHeight="1" x14ac:dyDescent="0.25">
      <c r="A185" s="29">
        <v>1.55</v>
      </c>
      <c r="B185" s="30">
        <v>0.20511725260457475</v>
      </c>
      <c r="C185" s="31">
        <v>0.78903626605477506</v>
      </c>
      <c r="J185" s="25">
        <f t="shared" si="7"/>
        <v>0.19488274739542527</v>
      </c>
      <c r="K185" s="25">
        <f t="shared" si="8"/>
        <v>1.55</v>
      </c>
    </row>
    <row r="186" spans="1:11" ht="15" customHeight="1" x14ac:dyDescent="0.25">
      <c r="A186" s="29">
        <v>1.56</v>
      </c>
      <c r="B186" s="30">
        <v>0.20456088936637412</v>
      </c>
      <c r="C186" s="31">
        <v>0.78904193713020665</v>
      </c>
      <c r="J186" s="25">
        <f t="shared" si="7"/>
        <v>0.1954391106336259</v>
      </c>
      <c r="K186" s="25">
        <f t="shared" si="8"/>
        <v>1.56</v>
      </c>
    </row>
    <row r="187" spans="1:11" ht="15" customHeight="1" x14ac:dyDescent="0.25">
      <c r="A187" s="29">
        <v>1.57</v>
      </c>
      <c r="B187" s="30">
        <v>0.20401024204015508</v>
      </c>
      <c r="C187" s="31">
        <v>0.78904569260942403</v>
      </c>
      <c r="J187" s="25">
        <f t="shared" si="7"/>
        <v>0.19598975795984494</v>
      </c>
      <c r="K187" s="25">
        <f t="shared" si="8"/>
        <v>1.57</v>
      </c>
    </row>
    <row r="188" spans="1:11" ht="15" customHeight="1" x14ac:dyDescent="0.25">
      <c r="A188" s="29">
        <v>1.58</v>
      </c>
      <c r="B188" s="30">
        <v>0.20346521403673554</v>
      </c>
      <c r="C188" s="31">
        <v>0.7890475819597963</v>
      </c>
      <c r="J188" s="25">
        <f t="shared" si="7"/>
        <v>0.19653478596326449</v>
      </c>
      <c r="K188" s="25">
        <f t="shared" si="8"/>
        <v>1.58</v>
      </c>
    </row>
    <row r="189" spans="1:11" ht="15" customHeight="1" x14ac:dyDescent="0.25">
      <c r="A189" s="29">
        <v>1.59</v>
      </c>
      <c r="B189" s="30">
        <v>0.20292571099834836</v>
      </c>
      <c r="C189" s="31">
        <v>0.78904765324838999</v>
      </c>
      <c r="J189" s="25">
        <f t="shared" si="7"/>
        <v>0.19707428900165166</v>
      </c>
      <c r="K189" s="25">
        <f t="shared" si="8"/>
        <v>1.59</v>
      </c>
    </row>
    <row r="190" spans="1:11" ht="15" customHeight="1" x14ac:dyDescent="0.25">
      <c r="A190" s="29">
        <v>1.6</v>
      </c>
      <c r="B190" s="30">
        <v>0.20239164073400459</v>
      </c>
      <c r="C190" s="31">
        <v>0.78904595318896831</v>
      </c>
      <c r="J190" s="25">
        <f t="shared" si="7"/>
        <v>0.19760835926599543</v>
      </c>
      <c r="K190" s="25">
        <f t="shared" si="8"/>
        <v>1.6</v>
      </c>
    </row>
    <row r="191" spans="1:11" ht="15" customHeight="1" x14ac:dyDescent="0.25">
      <c r="A191" s="29">
        <v>1.61</v>
      </c>
      <c r="B191" s="30">
        <v>0.20186291315708896</v>
      </c>
      <c r="C191" s="31">
        <v>0.78904252718712631</v>
      </c>
      <c r="J191" s="25">
        <f t="shared" si="7"/>
        <v>0.19813708684291106</v>
      </c>
      <c r="K191" s="25">
        <f t="shared" si="8"/>
        <v>1.61</v>
      </c>
    </row>
    <row r="192" spans="1:11" ht="15" customHeight="1" x14ac:dyDescent="0.25">
      <c r="A192" s="29">
        <v>1.62</v>
      </c>
      <c r="B192" s="30">
        <v>0.20133944022510139</v>
      </c>
      <c r="C192" s="31">
        <v>0.78903741938365779</v>
      </c>
      <c r="J192" s="25">
        <f t="shared" si="7"/>
        <v>0.19866055977489863</v>
      </c>
      <c r="K192" s="25">
        <f t="shared" si="8"/>
        <v>1.62</v>
      </c>
    </row>
    <row r="193" spans="1:11" ht="15" customHeight="1" x14ac:dyDescent="0.25">
      <c r="A193" s="29">
        <v>1.63</v>
      </c>
      <c r="B193" s="30">
        <v>0.20082113588145756</v>
      </c>
      <c r="C193" s="31">
        <v>0.78903067269622773</v>
      </c>
      <c r="J193" s="25">
        <f t="shared" si="7"/>
        <v>0.19917886411854246</v>
      </c>
      <c r="K193" s="25">
        <f t="shared" si="8"/>
        <v>1.63</v>
      </c>
    </row>
    <row r="194" spans="1:11" ht="15" customHeight="1" x14ac:dyDescent="0.25">
      <c r="A194" s="29">
        <v>1.64</v>
      </c>
      <c r="B194" s="30">
        <v>0.20030791599926717</v>
      </c>
      <c r="C194" s="31">
        <v>0.78902232885942603</v>
      </c>
      <c r="J194" s="25">
        <f t="shared" si="7"/>
        <v>0.19969208400073285</v>
      </c>
      <c r="K194" s="25">
        <f t="shared" si="8"/>
        <v>1.64</v>
      </c>
    </row>
    <row r="195" spans="1:11" ht="15" customHeight="1" x14ac:dyDescent="0.25">
      <c r="A195" s="29">
        <v>1.65</v>
      </c>
      <c r="B195" s="30">
        <v>0.19979969832701328</v>
      </c>
      <c r="C195" s="31">
        <v>0.78901242846328024</v>
      </c>
      <c r="J195" s="25">
        <f t="shared" si="7"/>
        <v>0.20020030167298675</v>
      </c>
      <c r="K195" s="25">
        <f t="shared" si="8"/>
        <v>1.65</v>
      </c>
    </row>
    <row r="196" spans="1:11" ht="15" customHeight="1" x14ac:dyDescent="0.25">
      <c r="A196" s="29">
        <v>1.66</v>
      </c>
      <c r="B196" s="30">
        <v>0.1992964024360577</v>
      </c>
      <c r="C196" s="31">
        <v>0.78900101099028941</v>
      </c>
      <c r="J196" s="25">
        <f t="shared" si="7"/>
        <v>0.20070359756394232</v>
      </c>
      <c r="K196" s="25">
        <f t="shared" si="8"/>
        <v>1.66</v>
      </c>
    </row>
    <row r="197" spans="1:11" ht="15" customHeight="1" x14ac:dyDescent="0.25">
      <c r="A197" s="29">
        <v>1.67</v>
      </c>
      <c r="B197" s="30">
        <v>0.1987979496699018</v>
      </c>
      <c r="C197" s="31">
        <v>0.78898811485104847</v>
      </c>
      <c r="J197" s="25">
        <f t="shared" si="7"/>
        <v>0.20120205033009822</v>
      </c>
      <c r="K197" s="25">
        <f t="shared" si="8"/>
        <v>1.67</v>
      </c>
    </row>
    <row r="198" spans="1:11" ht="15" customHeight="1" x14ac:dyDescent="0.25">
      <c r="A198" s="29">
        <v>1.68</v>
      </c>
      <c r="B198" s="30">
        <v>0.19830426309513469</v>
      </c>
      <c r="C198" s="31">
        <v>0.7889737774185257</v>
      </c>
      <c r="J198" s="25">
        <f t="shared" si="7"/>
        <v>0.20169573690486534</v>
      </c>
      <c r="K198" s="25">
        <f t="shared" si="8"/>
        <v>1.68</v>
      </c>
    </row>
    <row r="199" spans="1:11" ht="15" customHeight="1" x14ac:dyDescent="0.25">
      <c r="A199" s="29">
        <v>1.69</v>
      </c>
      <c r="B199" s="30">
        <v>0.19781526745400385</v>
      </c>
      <c r="C199" s="31">
        <v>0.78895803506104578</v>
      </c>
      <c r="J199" s="25">
        <f t="shared" si="7"/>
        <v>0.20218473254599617</v>
      </c>
      <c r="K199" s="25">
        <f t="shared" si="8"/>
        <v>1.69</v>
      </c>
    </row>
    <row r="200" spans="1:11" ht="15" customHeight="1" x14ac:dyDescent="0.25">
      <c r="A200" s="29">
        <v>1.7</v>
      </c>
      <c r="B200" s="30">
        <v>0.1973308891185466</v>
      </c>
      <c r="C200" s="31">
        <v>0.78894092317404563</v>
      </c>
      <c r="J200" s="25">
        <f t="shared" si="7"/>
        <v>0.20266911088145342</v>
      </c>
      <c r="K200" s="25">
        <f t="shared" si="8"/>
        <v>1.7</v>
      </c>
    </row>
    <row r="201" spans="1:11" ht="15" customHeight="1" x14ac:dyDescent="0.25">
      <c r="A201" s="29">
        <v>1.71</v>
      </c>
      <c r="B201" s="30">
        <v>0.19685105604622252</v>
      </c>
      <c r="C201" s="31">
        <v>0.78892247621064227</v>
      </c>
      <c r="J201" s="25">
        <f t="shared" si="7"/>
        <v>0.2031489439537775</v>
      </c>
      <c r="K201" s="25">
        <f t="shared" si="8"/>
        <v>1.71</v>
      </c>
    </row>
    <row r="202" spans="1:11" ht="15" customHeight="1" x14ac:dyDescent="0.25">
      <c r="A202" s="29">
        <v>1.72</v>
      </c>
      <c r="B202" s="30">
        <v>0.19637569773699026</v>
      </c>
      <c r="C202" s="31">
        <v>0.78890272771107861</v>
      </c>
      <c r="J202" s="25">
        <f t="shared" si="7"/>
        <v>0.20362430226300976</v>
      </c>
      <c r="K202" s="25">
        <f t="shared" si="8"/>
        <v>1.72</v>
      </c>
    </row>
    <row r="203" spans="1:11" ht="15" customHeight="1" x14ac:dyDescent="0.25">
      <c r="A203" s="29">
        <v>1.73</v>
      </c>
      <c r="B203" s="30">
        <v>0.19590474519177409</v>
      </c>
      <c r="C203" s="31">
        <v>0.7888817103310809</v>
      </c>
      <c r="J203" s="25">
        <f t="shared" si="7"/>
        <v>0.20409525480822593</v>
      </c>
      <c r="K203" s="25">
        <f t="shared" si="8"/>
        <v>1.73</v>
      </c>
    </row>
    <row r="204" spans="1:11" ht="15" customHeight="1" x14ac:dyDescent="0.25">
      <c r="A204" s="29">
        <v>1.74</v>
      </c>
      <c r="B204" s="30">
        <v>0.19543813087226836</v>
      </c>
      <c r="C204" s="31">
        <v>0.78885945586918504</v>
      </c>
      <c r="J204" s="25">
        <f t="shared" si="7"/>
        <v>0.20456186912773167</v>
      </c>
      <c r="K204" s="25">
        <f t="shared" si="8"/>
        <v>1.74</v>
      </c>
    </row>
    <row r="205" spans="1:11" ht="15" customHeight="1" x14ac:dyDescent="0.25">
      <c r="A205" s="29">
        <v>1.75</v>
      </c>
      <c r="B205" s="30">
        <v>0.19497578866203025</v>
      </c>
      <c r="C205" s="31">
        <v>0.78883599529306825</v>
      </c>
      <c r="J205" s="25">
        <f t="shared" si="7"/>
        <v>0.20502421133796978</v>
      </c>
      <c r="K205" s="25">
        <f t="shared" si="8"/>
        <v>1.75</v>
      </c>
    </row>
    <row r="206" spans="1:11" ht="15" customHeight="1" x14ac:dyDescent="0.25">
      <c r="A206" s="29">
        <v>1.76</v>
      </c>
      <c r="B206" s="30">
        <v>0.19451765382881223</v>
      </c>
      <c r="C206" s="31">
        <v>0.78881135876493236</v>
      </c>
      <c r="J206" s="25">
        <f t="shared" si="7"/>
        <v>0.2054823461711878</v>
      </c>
      <c r="K206" s="25">
        <f t="shared" si="8"/>
        <v>1.76</v>
      </c>
    </row>
    <row r="207" spans="1:11" ht="15" customHeight="1" x14ac:dyDescent="0.25">
      <c r="A207" s="29">
        <v>1.77</v>
      </c>
      <c r="B207" s="30">
        <v>0.19406366298808897</v>
      </c>
      <c r="C207" s="31">
        <v>0.78878557566597496</v>
      </c>
      <c r="J207" s="25">
        <f t="shared" si="7"/>
        <v>0.20593633701191105</v>
      </c>
      <c r="K207" s="25">
        <f t="shared" si="8"/>
        <v>1.77</v>
      </c>
    </row>
    <row r="208" spans="1:11" ht="15" customHeight="1" x14ac:dyDescent="0.25">
      <c r="A208" s="29">
        <v>1.78</v>
      </c>
      <c r="B208" s="30">
        <v>0.19361375406773551</v>
      </c>
      <c r="C208" s="31">
        <v>0.78875867461998772</v>
      </c>
      <c r="J208" s="25">
        <f t="shared" si="7"/>
        <v>0.20638624593226451</v>
      </c>
      <c r="K208" s="25">
        <f t="shared" si="8"/>
        <v>1.78</v>
      </c>
    </row>
    <row r="209" spans="1:11" ht="15" customHeight="1" x14ac:dyDescent="0.25">
      <c r="A209" s="29">
        <v>1.79</v>
      </c>
      <c r="B209" s="30">
        <v>0.19316786627381274</v>
      </c>
      <c r="C209" s="31">
        <v>0.78873068351611819</v>
      </c>
      <c r="J209" s="25">
        <f t="shared" si="7"/>
        <v>0.20683213372618728</v>
      </c>
      <c r="K209" s="25">
        <f t="shared" si="8"/>
        <v>1.79</v>
      </c>
    </row>
    <row r="210" spans="1:11" ht="15" customHeight="1" x14ac:dyDescent="0.25">
      <c r="A210" s="29">
        <v>1.8</v>
      </c>
      <c r="B210" s="30">
        <v>0.1927259400574225</v>
      </c>
      <c r="C210" s="31">
        <v>0.78870162953082934</v>
      </c>
      <c r="J210" s="25">
        <f t="shared" si="7"/>
        <v>0.20727405994257753</v>
      </c>
      <c r="K210" s="25">
        <f t="shared" si="8"/>
        <v>1.8</v>
      </c>
    </row>
    <row r="211" spans="1:11" ht="15" customHeight="1" x14ac:dyDescent="0.25">
      <c r="A211" s="29">
        <v>1.81</v>
      </c>
      <c r="B211" s="30">
        <v>0.19228791708259099</v>
      </c>
      <c r="C211" s="31">
        <v>0.78867153914908716</v>
      </c>
      <c r="J211" s="25">
        <f t="shared" si="7"/>
        <v>0.20771208291740903</v>
      </c>
      <c r="K211" s="25">
        <f t="shared" si="8"/>
        <v>1.81</v>
      </c>
    </row>
    <row r="212" spans="1:11" ht="15" customHeight="1" x14ac:dyDescent="0.25">
      <c r="A212" s="29">
        <v>1.82</v>
      </c>
      <c r="B212" s="30">
        <v>0.19185374019514573</v>
      </c>
      <c r="C212" s="31">
        <v>0.78864043818481255</v>
      </c>
      <c r="J212" s="25">
        <f t="shared" si="7"/>
        <v>0.20814625980485429</v>
      </c>
      <c r="K212" s="25">
        <f t="shared" si="8"/>
        <v>1.82</v>
      </c>
    </row>
    <row r="213" spans="1:11" ht="15" customHeight="1" x14ac:dyDescent="0.25">
      <c r="A213" s="29">
        <v>1.83</v>
      </c>
      <c r="B213" s="30">
        <v>0.19142335339254885</v>
      </c>
      <c r="C213" s="31">
        <v>0.78860835180062205</v>
      </c>
      <c r="J213" s="25">
        <f t="shared" si="7"/>
        <v>0.20857664660745118</v>
      </c>
      <c r="K213" s="25">
        <f t="shared" si="8"/>
        <v>1.83</v>
      </c>
    </row>
    <row r="214" spans="1:11" ht="15" customHeight="1" x14ac:dyDescent="0.25">
      <c r="A214" s="29">
        <v>1.84</v>
      </c>
      <c r="B214" s="30">
        <v>0.19099670179465358</v>
      </c>
      <c r="C214" s="31">
        <v>0.78857530452688818</v>
      </c>
      <c r="J214" s="25">
        <f t="shared" si="7"/>
        <v>0.20900329820534644</v>
      </c>
      <c r="K214" s="25">
        <f t="shared" si="8"/>
        <v>1.84</v>
      </c>
    </row>
    <row r="215" spans="1:11" ht="15" customHeight="1" x14ac:dyDescent="0.25">
      <c r="A215" s="29">
        <v>1.85</v>
      </c>
      <c r="B215" s="30">
        <v>0.19057373161535066</v>
      </c>
      <c r="C215" s="31">
        <v>0.78854132028014834</v>
      </c>
      <c r="J215" s="25">
        <f t="shared" si="7"/>
        <v>0.20942626838464937</v>
      </c>
      <c r="K215" s="25">
        <f t="shared" si="8"/>
        <v>1.85</v>
      </c>
    </row>
    <row r="216" spans="1:11" ht="15" customHeight="1" x14ac:dyDescent="0.25">
      <c r="A216" s="29">
        <v>1.86</v>
      </c>
      <c r="B216" s="30">
        <v>0.19015439013507379</v>
      </c>
      <c r="C216" s="31">
        <v>0.78850642238088287</v>
      </c>
      <c r="J216" s="25">
        <f t="shared" si="7"/>
        <v>0.20984560986492623</v>
      </c>
      <c r="K216" s="25">
        <f t="shared" si="8"/>
        <v>1.86</v>
      </c>
    </row>
    <row r="217" spans="1:11" ht="15" customHeight="1" x14ac:dyDescent="0.25">
      <c r="A217" s="29">
        <v>1.87</v>
      </c>
      <c r="B217" s="30">
        <v>0.18973862567413327</v>
      </c>
      <c r="C217" s="31">
        <v>0.78847063357069458</v>
      </c>
      <c r="J217" s="25">
        <f t="shared" si="7"/>
        <v>0.21026137432586675</v>
      </c>
      <c r="K217" s="25">
        <f t="shared" si="8"/>
        <v>1.87</v>
      </c>
    </row>
    <row r="218" spans="1:11" ht="15" customHeight="1" x14ac:dyDescent="0.25">
      <c r="A218" s="29">
        <v>1.88</v>
      </c>
      <c r="B218" s="30">
        <v>0.18932638756684964</v>
      </c>
      <c r="C218" s="31">
        <v>0.78843397602890408</v>
      </c>
      <c r="J218" s="25">
        <f t="shared" si="7"/>
        <v>0.21067361243315039</v>
      </c>
      <c r="K218" s="25">
        <f t="shared" si="8"/>
        <v>1.88</v>
      </c>
    </row>
    <row r="219" spans="1:11" ht="15" customHeight="1" x14ac:dyDescent="0.25">
      <c r="A219" s="29">
        <v>1.89</v>
      </c>
      <c r="B219" s="30">
        <v>0.18891762613645882</v>
      </c>
      <c r="C219" s="31">
        <v>0.78839647138859448</v>
      </c>
      <c r="J219" s="25">
        <f t="shared" si="7"/>
        <v>0.2110823738635412</v>
      </c>
      <c r="K219" s="25">
        <f t="shared" si="8"/>
        <v>1.89</v>
      </c>
    </row>
    <row r="220" spans="1:11" ht="15" customHeight="1" x14ac:dyDescent="0.25">
      <c r="A220" s="29">
        <v>1.9</v>
      </c>
      <c r="B220" s="30">
        <v>0.18851229267076222</v>
      </c>
      <c r="C220" s="31">
        <v>0.78835814075211508</v>
      </c>
      <c r="J220" s="25">
        <f t="shared" si="7"/>
        <v>0.2114877073292378</v>
      </c>
      <c r="K220" s="25">
        <f t="shared" si="8"/>
        <v>1.9</v>
      </c>
    </row>
    <row r="221" spans="1:11" ht="15" customHeight="1" x14ac:dyDescent="0.25">
      <c r="A221" s="29">
        <v>1.91</v>
      </c>
      <c r="B221" s="30">
        <v>0.18811033939849681</v>
      </c>
      <c r="C221" s="31">
        <v>0.78831900470607597</v>
      </c>
      <c r="J221" s="25">
        <f t="shared" si="7"/>
        <v>0.21188966060150322</v>
      </c>
      <c r="K221" s="25">
        <f t="shared" si="8"/>
        <v>1.91</v>
      </c>
    </row>
    <row r="222" spans="1:11" ht="15" customHeight="1" x14ac:dyDescent="0.25">
      <c r="A222" s="29">
        <v>1.92</v>
      </c>
      <c r="B222" s="30">
        <v>0.18771171946639917</v>
      </c>
      <c r="C222" s="31">
        <v>0.78827908333584451</v>
      </c>
      <c r="J222" s="25">
        <f t="shared" ref="J222:J280" si="9">ABS(B222-$B$20/100)</f>
        <v>0.21228828053360085</v>
      </c>
      <c r="K222" s="25">
        <f t="shared" ref="K222:K280" si="10">A222</f>
        <v>1.92</v>
      </c>
    </row>
    <row r="223" spans="1:11" ht="15" customHeight="1" x14ac:dyDescent="0.25">
      <c r="A223" s="29">
        <v>1.93</v>
      </c>
      <c r="B223" s="30">
        <v>0.18731638691694127</v>
      </c>
      <c r="C223" s="31">
        <v>0.78823839623956682</v>
      </c>
      <c r="J223" s="25">
        <f t="shared" si="9"/>
        <v>0.21268361308305875</v>
      </c>
      <c r="K223" s="25">
        <f t="shared" si="10"/>
        <v>1.93</v>
      </c>
    </row>
    <row r="224" spans="1:11" ht="15" customHeight="1" x14ac:dyDescent="0.25">
      <c r="A224" s="29">
        <v>1.94</v>
      </c>
      <c r="B224" s="30">
        <v>0.18692429666671428</v>
      </c>
      <c r="C224" s="31">
        <v>0.78819696254173366</v>
      </c>
      <c r="J224" s="25">
        <f t="shared" si="9"/>
        <v>0.21307570333328574</v>
      </c>
      <c r="K224" s="25">
        <f t="shared" si="10"/>
        <v>1.94</v>
      </c>
    </row>
    <row r="225" spans="1:11" ht="15" customHeight="1" x14ac:dyDescent="0.25">
      <c r="A225" s="29">
        <v>1.95</v>
      </c>
      <c r="B225" s="30">
        <v>0.18653540448543784</v>
      </c>
      <c r="C225" s="31">
        <v>0.78815480090630219</v>
      </c>
      <c r="J225" s="25">
        <f t="shared" si="9"/>
        <v>0.21346459551456218</v>
      </c>
      <c r="K225" s="25">
        <f t="shared" si="10"/>
        <v>1.95</v>
      </c>
    </row>
    <row r="226" spans="1:11" ht="15" customHeight="1" x14ac:dyDescent="0.25">
      <c r="A226" s="29">
        <v>1.96</v>
      </c>
      <c r="B226" s="30">
        <v>0.18614966697557628</v>
      </c>
      <c r="C226" s="31">
        <v>0.78811192954939779</v>
      </c>
      <c r="J226" s="25">
        <f t="shared" si="9"/>
        <v>0.21385033302442374</v>
      </c>
      <c r="K226" s="25">
        <f t="shared" si="10"/>
        <v>1.96</v>
      </c>
    </row>
    <row r="227" spans="1:11" ht="15" customHeight="1" x14ac:dyDescent="0.25">
      <c r="A227" s="29">
        <v>1.97</v>
      </c>
      <c r="B227" s="30">
        <v>0.18576704155253804</v>
      </c>
      <c r="C227" s="31">
        <v>0.78806836625160415</v>
      </c>
      <c r="J227" s="25">
        <f t="shared" si="9"/>
        <v>0.21423295844746199</v>
      </c>
      <c r="K227" s="25">
        <f t="shared" si="10"/>
        <v>1.97</v>
      </c>
    </row>
    <row r="228" spans="1:11" ht="15" customHeight="1" x14ac:dyDescent="0.25">
      <c r="A228" s="29">
        <v>1.98</v>
      </c>
      <c r="B228" s="30">
        <v>0.18538748642544212</v>
      </c>
      <c r="C228" s="31">
        <v>0.78802412836986357</v>
      </c>
      <c r="J228" s="25">
        <f t="shared" si="9"/>
        <v>0.21461251357455791</v>
      </c>
      <c r="K228" s="25">
        <f t="shared" si="10"/>
        <v>1.98</v>
      </c>
    </row>
    <row r="229" spans="1:11" ht="15" customHeight="1" x14ac:dyDescent="0.25">
      <c r="A229" s="29">
        <v>1.99</v>
      </c>
      <c r="B229" s="30">
        <v>0.18501096057842967</v>
      </c>
      <c r="C229" s="31">
        <v>0.78797923284899629</v>
      </c>
      <c r="J229" s="25">
        <f t="shared" si="9"/>
        <v>0.21498903942157035</v>
      </c>
      <c r="K229" s="25">
        <f t="shared" si="10"/>
        <v>1.99</v>
      </c>
    </row>
    <row r="230" spans="1:11" ht="15" customHeight="1" x14ac:dyDescent="0.25">
      <c r="A230" s="29">
        <v>2</v>
      </c>
      <c r="B230" s="30">
        <v>0.18463742375250583</v>
      </c>
      <c r="C230" s="31">
        <v>0.7879336962328567</v>
      </c>
      <c r="J230" s="25">
        <f t="shared" si="9"/>
        <v>0.21536257624749419</v>
      </c>
      <c r="K230" s="25">
        <f t="shared" si="10"/>
        <v>2</v>
      </c>
    </row>
    <row r="231" spans="1:11" ht="15" customHeight="1" x14ac:dyDescent="0.25">
      <c r="A231" s="29">
        <v>2.0099999999999998</v>
      </c>
      <c r="B231" s="30">
        <v>0.18426683642789146</v>
      </c>
      <c r="C231" s="31">
        <v>0.78788753467513917</v>
      </c>
      <c r="J231" s="25">
        <f t="shared" si="9"/>
        <v>0.21573316357210856</v>
      </c>
      <c r="K231" s="25">
        <f t="shared" si="10"/>
        <v>2.0099999999999998</v>
      </c>
    </row>
    <row r="232" spans="1:11" ht="15" customHeight="1" x14ac:dyDescent="0.25">
      <c r="A232" s="29">
        <v>2.02</v>
      </c>
      <c r="B232" s="30">
        <v>0.18389915980687038</v>
      </c>
      <c r="C232" s="31">
        <v>0.7878407639498427</v>
      </c>
      <c r="J232" s="25">
        <f t="shared" si="9"/>
        <v>0.21610084019312964</v>
      </c>
      <c r="K232" s="25">
        <f t="shared" si="10"/>
        <v>2.02</v>
      </c>
    </row>
    <row r="233" spans="1:11" ht="15" customHeight="1" x14ac:dyDescent="0.25">
      <c r="A233" s="29">
        <v>2.0299999999999998</v>
      </c>
      <c r="B233" s="30">
        <v>0.18353435579711447</v>
      </c>
      <c r="C233" s="31">
        <v>0.78779339946141114</v>
      </c>
      <c r="J233" s="25">
        <f t="shared" si="9"/>
        <v>0.21646564420288555</v>
      </c>
      <c r="K233" s="25">
        <f t="shared" si="10"/>
        <v>2.0299999999999998</v>
      </c>
    </row>
    <row r="234" spans="1:11" ht="15" customHeight="1" x14ac:dyDescent="0.25">
      <c r="A234" s="29">
        <v>2.04</v>
      </c>
      <c r="B234" s="30">
        <v>0.18317238699547211</v>
      </c>
      <c r="C234" s="31">
        <v>0.78774545625456127</v>
      </c>
      <c r="J234" s="25">
        <f t="shared" si="9"/>
        <v>0.21682761300452791</v>
      </c>
      <c r="K234" s="25">
        <f t="shared" si="10"/>
        <v>2.04</v>
      </c>
    </row>
    <row r="235" spans="1:11" ht="15" customHeight="1" x14ac:dyDescent="0.25">
      <c r="A235" s="29">
        <v>2.0499999999999998</v>
      </c>
      <c r="B235" s="30">
        <v>0.18281321667220407</v>
      </c>
      <c r="C235" s="31">
        <v>0.78769694902380227</v>
      </c>
      <c r="J235" s="25">
        <f t="shared" si="9"/>
        <v>0.21718678332779595</v>
      </c>
      <c r="K235" s="25">
        <f t="shared" si="10"/>
        <v>2.0499999999999998</v>
      </c>
    </row>
    <row r="236" spans="1:11" ht="15" customHeight="1" x14ac:dyDescent="0.25">
      <c r="A236" s="29">
        <v>2.06</v>
      </c>
      <c r="B236" s="30">
        <v>0.18245680875565323</v>
      </c>
      <c r="C236" s="31">
        <v>0.78764789212266639</v>
      </c>
      <c r="J236" s="25">
        <f t="shared" si="9"/>
        <v>0.21754319124434679</v>
      </c>
      <c r="K236" s="25">
        <f t="shared" si="10"/>
        <v>2.06</v>
      </c>
    </row>
    <row r="237" spans="1:11" ht="15" customHeight="1" x14ac:dyDescent="0.25">
      <c r="A237" s="29">
        <v>2.0699999999999998</v>
      </c>
      <c r="B237" s="30">
        <v>0.18210312781733473</v>
      </c>
      <c r="C237" s="31">
        <v>0.78759829957265814</v>
      </c>
      <c r="J237" s="25">
        <f t="shared" si="9"/>
        <v>0.21789687218266529</v>
      </c>
      <c r="K237" s="25">
        <f t="shared" si="10"/>
        <v>2.0699999999999998</v>
      </c>
    </row>
    <row r="238" spans="1:11" ht="15" customHeight="1" x14ac:dyDescent="0.25">
      <c r="A238" s="29">
        <v>2.08</v>
      </c>
      <c r="B238" s="30">
        <v>0.18175213905743073</v>
      </c>
      <c r="C238" s="31">
        <v>0.78754818507192936</v>
      </c>
      <c r="J238" s="25">
        <f t="shared" si="9"/>
        <v>0.21824786094256929</v>
      </c>
      <c r="K238" s="25">
        <f t="shared" si="10"/>
        <v>2.08</v>
      </c>
    </row>
    <row r="239" spans="1:11" ht="15" customHeight="1" x14ac:dyDescent="0.25">
      <c r="A239" s="29">
        <v>2.09</v>
      </c>
      <c r="B239" s="30">
        <v>0.18140380829068042</v>
      </c>
      <c r="C239" s="31">
        <v>0.78749756200369181</v>
      </c>
      <c r="J239" s="25">
        <f t="shared" si="9"/>
        <v>0.2185961917093196</v>
      </c>
      <c r="K239" s="25">
        <f t="shared" si="10"/>
        <v>2.09</v>
      </c>
    </row>
    <row r="240" spans="1:11" ht="15" customHeight="1" x14ac:dyDescent="0.25">
      <c r="A240" s="29">
        <v>2.1</v>
      </c>
      <c r="B240" s="30">
        <v>0.1810581019326501</v>
      </c>
      <c r="C240" s="31">
        <v>0.78744644344437909</v>
      </c>
      <c r="J240" s="25">
        <f t="shared" si="9"/>
        <v>0.21894189806734993</v>
      </c>
      <c r="K240" s="25">
        <f t="shared" si="10"/>
        <v>2.1</v>
      </c>
    </row>
    <row r="241" spans="1:11" ht="15" customHeight="1" x14ac:dyDescent="0.25">
      <c r="A241" s="29">
        <v>2.11</v>
      </c>
      <c r="B241" s="30">
        <v>0.18071498698637242</v>
      </c>
      <c r="C241" s="31">
        <v>0.78739484217155842</v>
      </c>
      <c r="J241" s="25">
        <f t="shared" si="9"/>
        <v>0.2192850130136276</v>
      </c>
      <c r="K241" s="25">
        <f t="shared" si="10"/>
        <v>2.11</v>
      </c>
    </row>
    <row r="242" spans="1:11" ht="15" customHeight="1" x14ac:dyDescent="0.25">
      <c r="A242" s="29">
        <v>2.12</v>
      </c>
      <c r="B242" s="30">
        <v>0.18037443102934322</v>
      </c>
      <c r="C242" s="31">
        <v>0.78734277067161385</v>
      </c>
      <c r="J242" s="25">
        <f t="shared" si="9"/>
        <v>0.2196255689706568</v>
      </c>
      <c r="K242" s="25">
        <f t="shared" si="10"/>
        <v>2.12</v>
      </c>
    </row>
    <row r="243" spans="1:11" ht="15" customHeight="1" x14ac:dyDescent="0.25">
      <c r="A243" s="29">
        <v>2.13</v>
      </c>
      <c r="B243" s="30">
        <v>0.180036402200865</v>
      </c>
      <c r="C243" s="31">
        <v>0.78729024114719393</v>
      </c>
      <c r="J243" s="25">
        <f t="shared" si="9"/>
        <v>0.21996359779913502</v>
      </c>
      <c r="K243" s="25">
        <f t="shared" si="10"/>
        <v>2.13</v>
      </c>
    </row>
    <row r="244" spans="1:11" ht="15" customHeight="1" x14ac:dyDescent="0.25">
      <c r="A244" s="29">
        <v>2.14</v>
      </c>
      <c r="B244" s="30">
        <v>0.17970086918972533</v>
      </c>
      <c r="C244" s="31">
        <v>0.78723726552444329</v>
      </c>
      <c r="J244" s="25">
        <f t="shared" si="9"/>
        <v>0.22029913081027469</v>
      </c>
      <c r="K244" s="25">
        <f t="shared" si="10"/>
        <v>2.14</v>
      </c>
    </row>
    <row r="245" spans="1:11" ht="15" customHeight="1" x14ac:dyDescent="0.25">
      <c r="A245" s="29">
        <v>2.15</v>
      </c>
      <c r="B245" s="30">
        <v>0.17936780122220169</v>
      </c>
      <c r="C245" s="31">
        <v>0.78718385546002245</v>
      </c>
      <c r="J245" s="25">
        <f t="shared" si="9"/>
        <v>0.22063219877779833</v>
      </c>
      <c r="K245" s="25">
        <f t="shared" si="10"/>
        <v>2.15</v>
      </c>
    </row>
    <row r="246" spans="1:11" ht="15" customHeight="1" x14ac:dyDescent="0.25">
      <c r="A246" s="29">
        <v>2.16</v>
      </c>
      <c r="B246" s="30">
        <v>0.17903716805038003</v>
      </c>
      <c r="C246" s="31">
        <v>0.78713002234791696</v>
      </c>
      <c r="J246" s="25">
        <f t="shared" si="9"/>
        <v>0.22096283194961999</v>
      </c>
      <c r="K246" s="25">
        <f t="shared" si="10"/>
        <v>2.16</v>
      </c>
    </row>
    <row r="247" spans="1:11" ht="15" customHeight="1" x14ac:dyDescent="0.25">
      <c r="A247" s="29">
        <v>2.17</v>
      </c>
      <c r="B247" s="30">
        <v>0.17870893994078052</v>
      </c>
      <c r="C247" s="31">
        <v>0.78707577732605394</v>
      </c>
      <c r="J247" s="25">
        <f t="shared" si="9"/>
        <v>0.2212910600592195</v>
      </c>
      <c r="K247" s="25">
        <f t="shared" si="10"/>
        <v>2.17</v>
      </c>
    </row>
    <row r="248" spans="1:11" ht="15" customHeight="1" x14ac:dyDescent="0.25">
      <c r="A248" s="29">
        <v>2.1800000000000002</v>
      </c>
      <c r="B248" s="30">
        <v>0.17838308766327837</v>
      </c>
      <c r="C248" s="31">
        <v>0.78702113128272311</v>
      </c>
      <c r="J248" s="25">
        <f t="shared" si="9"/>
        <v>0.22161691233672165</v>
      </c>
      <c r="K248" s="25">
        <f t="shared" si="10"/>
        <v>2.1800000000000002</v>
      </c>
    </row>
    <row r="249" spans="1:11" ht="15" customHeight="1" x14ac:dyDescent="0.25">
      <c r="A249" s="29">
        <v>2.19</v>
      </c>
      <c r="B249" s="30">
        <v>0.17805958248031289</v>
      </c>
      <c r="C249" s="31">
        <v>0.78696609486281166</v>
      </c>
      <c r="J249" s="25">
        <f t="shared" si="9"/>
        <v>0.22194041751968713</v>
      </c>
      <c r="K249" s="25">
        <f t="shared" si="10"/>
        <v>2.19</v>
      </c>
    </row>
    <row r="250" spans="1:11" ht="15" customHeight="1" x14ac:dyDescent="0.25">
      <c r="A250" s="29">
        <v>2.2000000000000002</v>
      </c>
      <c r="B250" s="30">
        <v>0.1777383961363744</v>
      </c>
      <c r="C250" s="31">
        <v>0.78691067847386331</v>
      </c>
      <c r="J250" s="25">
        <f t="shared" si="9"/>
        <v>0.22226160386362562</v>
      </c>
      <c r="K250" s="25">
        <f t="shared" si="10"/>
        <v>2.2000000000000002</v>
      </c>
    </row>
    <row r="251" spans="1:11" ht="15" customHeight="1" x14ac:dyDescent="0.25">
      <c r="A251" s="29">
        <v>2.21</v>
      </c>
      <c r="B251" s="30">
        <v>0.17741950084776195</v>
      </c>
      <c r="C251" s="31">
        <v>0.78685489229195915</v>
      </c>
      <c r="J251" s="25">
        <f t="shared" si="9"/>
        <v>0.22258049915223807</v>
      </c>
      <c r="K251" s="25">
        <f t="shared" si="10"/>
        <v>2.21</v>
      </c>
    </row>
    <row r="252" spans="1:11" ht="15" customHeight="1" x14ac:dyDescent="0.25">
      <c r="A252" s="29">
        <v>2.2200000000000002</v>
      </c>
      <c r="B252" s="30">
        <v>0.17710286929260316</v>
      </c>
      <c r="C252" s="31">
        <v>0.78679874626743673</v>
      </c>
      <c r="J252" s="25">
        <f t="shared" si="9"/>
        <v>0.22289713070739686</v>
      </c>
      <c r="K252" s="25">
        <f t="shared" si="10"/>
        <v>2.2200000000000002</v>
      </c>
    </row>
    <row r="253" spans="1:11" ht="15" customHeight="1" x14ac:dyDescent="0.25">
      <c r="A253" s="29">
        <v>2.23</v>
      </c>
      <c r="B253" s="30">
        <v>0.17678847460112776</v>
      </c>
      <c r="C253" s="31">
        <v>0.78674225013043819</v>
      </c>
      <c r="J253" s="25">
        <f t="shared" si="9"/>
        <v>0.22321152539887226</v>
      </c>
      <c r="K253" s="25">
        <f t="shared" si="10"/>
        <v>2.23</v>
      </c>
    </row>
    <row r="254" spans="1:11" ht="15" customHeight="1" x14ac:dyDescent="0.25">
      <c r="A254" s="29">
        <v>2.2400000000000002</v>
      </c>
      <c r="B254" s="30">
        <v>0.17647629034618892</v>
      </c>
      <c r="C254" s="31">
        <v>0.78668541339631171</v>
      </c>
      <c r="J254" s="25">
        <f t="shared" si="9"/>
        <v>0.2235237096538111</v>
      </c>
      <c r="K254" s="25">
        <f t="shared" si="10"/>
        <v>2.2400000000000002</v>
      </c>
    </row>
    <row r="255" spans="1:11" ht="15" customHeight="1" x14ac:dyDescent="0.25">
      <c r="A255" s="29">
        <v>2.25</v>
      </c>
      <c r="B255" s="30">
        <v>0.17616629053402327</v>
      </c>
      <c r="C255" s="31">
        <v>0.78662824537085341</v>
      </c>
      <c r="J255" s="25">
        <f t="shared" si="9"/>
        <v>0.22383370946597675</v>
      </c>
      <c r="K255" s="25">
        <f t="shared" si="10"/>
        <v>2.25</v>
      </c>
    </row>
    <row r="256" spans="1:11" ht="15" customHeight="1" x14ac:dyDescent="0.25">
      <c r="A256" s="29">
        <v>2.2599999999999998</v>
      </c>
      <c r="B256" s="30">
        <v>0.17585844959524363</v>
      </c>
      <c r="C256" s="31">
        <v>0.78657075515540464</v>
      </c>
      <c r="J256" s="25">
        <f t="shared" si="9"/>
        <v>0.22414155040475639</v>
      </c>
      <c r="K256" s="25">
        <f t="shared" si="10"/>
        <v>2.2599999999999998</v>
      </c>
    </row>
    <row r="257" spans="1:11" ht="15" customHeight="1" x14ac:dyDescent="0.25">
      <c r="A257" s="29">
        <v>2.27</v>
      </c>
      <c r="B257" s="30">
        <v>0.1755527423760572</v>
      </c>
      <c r="C257" s="31">
        <v>0.78651295165180735</v>
      </c>
      <c r="J257" s="25">
        <f t="shared" si="9"/>
        <v>0.22444725762394283</v>
      </c>
      <c r="K257" s="25">
        <f t="shared" si="10"/>
        <v>2.27</v>
      </c>
    </row>
    <row r="258" spans="1:11" ht="15" customHeight="1" x14ac:dyDescent="0.25">
      <c r="A258" s="29">
        <v>2.2799999999999998</v>
      </c>
      <c r="B258" s="30">
        <v>0.17524914412970322</v>
      </c>
      <c r="C258" s="31">
        <v>0.78645484356722251</v>
      </c>
      <c r="J258" s="25">
        <f t="shared" si="9"/>
        <v>0.22475085587029681</v>
      </c>
      <c r="K258" s="25">
        <f t="shared" si="10"/>
        <v>2.2799999999999998</v>
      </c>
    </row>
    <row r="259" spans="1:11" ht="15" customHeight="1" x14ac:dyDescent="0.25">
      <c r="A259" s="29">
        <v>2.29</v>
      </c>
      <c r="B259" s="30">
        <v>0.17494763050810253</v>
      </c>
      <c r="C259" s="31">
        <v>0.7863964394188121</v>
      </c>
      <c r="J259" s="25">
        <f t="shared" si="9"/>
        <v>0.2250523694918975</v>
      </c>
      <c r="K259" s="25">
        <f t="shared" si="10"/>
        <v>2.29</v>
      </c>
    </row>
    <row r="260" spans="1:11" ht="15" customHeight="1" x14ac:dyDescent="0.25">
      <c r="A260" s="29">
        <v>2.2999999999999998</v>
      </c>
      <c r="B260" s="30">
        <v>0.17464817755371459</v>
      </c>
      <c r="C260" s="31">
        <v>0.78633774753829766</v>
      </c>
      <c r="J260" s="25">
        <f t="shared" si="9"/>
        <v>0.22535182244628543</v>
      </c>
      <c r="K260" s="25">
        <f t="shared" si="10"/>
        <v>2.2999999999999998</v>
      </c>
    </row>
    <row r="261" spans="1:11" ht="15" customHeight="1" x14ac:dyDescent="0.25">
      <c r="A261" s="29">
        <v>2.31</v>
      </c>
      <c r="B261" s="30">
        <v>0.17435076169159369</v>
      </c>
      <c r="C261" s="31">
        <v>0.78627877607638619</v>
      </c>
      <c r="J261" s="25">
        <f t="shared" si="9"/>
        <v>0.22564923830840633</v>
      </c>
      <c r="K261" s="25">
        <f t="shared" si="10"/>
        <v>2.31</v>
      </c>
    </row>
    <row r="262" spans="1:11" ht="15" customHeight="1" x14ac:dyDescent="0.25">
      <c r="A262" s="29">
        <v>2.3199999999999998</v>
      </c>
      <c r="B262" s="30">
        <v>0.17405535972164157</v>
      </c>
      <c r="C262" s="31">
        <v>0.78621953300708092</v>
      </c>
      <c r="J262" s="25">
        <f t="shared" si="9"/>
        <v>0.22594464027835845</v>
      </c>
      <c r="K262" s="25">
        <f t="shared" si="10"/>
        <v>2.3199999999999998</v>
      </c>
    </row>
    <row r="263" spans="1:11" ht="15" customHeight="1" x14ac:dyDescent="0.25">
      <c r="A263" s="29">
        <v>2.33</v>
      </c>
      <c r="B263" s="30">
        <v>0.17376194881104792</v>
      </c>
      <c r="C263" s="31">
        <v>0.78616002613187375</v>
      </c>
      <c r="J263" s="25">
        <f t="shared" si="9"/>
        <v>0.2262380511889521</v>
      </c>
      <c r="K263" s="25">
        <f t="shared" si="10"/>
        <v>2.33</v>
      </c>
    </row>
    <row r="264" spans="1:11" ht="15" customHeight="1" x14ac:dyDescent="0.25">
      <c r="A264" s="29">
        <v>2.34</v>
      </c>
      <c r="B264" s="30">
        <v>0.173470506486915</v>
      </c>
      <c r="C264" s="31">
        <v>0.78610026308382142</v>
      </c>
      <c r="J264" s="25">
        <f t="shared" si="9"/>
        <v>0.22652949351308502</v>
      </c>
      <c r="K264" s="25">
        <f t="shared" si="10"/>
        <v>2.34</v>
      </c>
    </row>
    <row r="265" spans="1:11" ht="15" customHeight="1" x14ac:dyDescent="0.25">
      <c r="A265" s="29">
        <v>2.35</v>
      </c>
      <c r="B265" s="30">
        <v>0.17318101062906152</v>
      </c>
      <c r="C265" s="31">
        <v>0.78604025133151478</v>
      </c>
      <c r="J265" s="25">
        <f t="shared" si="9"/>
        <v>0.2268189893709385</v>
      </c>
      <c r="K265" s="25">
        <f t="shared" si="10"/>
        <v>2.35</v>
      </c>
    </row>
    <row r="266" spans="1:11" ht="15" customHeight="1" x14ac:dyDescent="0.25">
      <c r="A266" s="29">
        <v>2.36</v>
      </c>
      <c r="B266" s="30">
        <v>0.17289343946299918</v>
      </c>
      <c r="C266" s="31">
        <v>0.78597999818293751</v>
      </c>
      <c r="J266" s="25">
        <f t="shared" si="9"/>
        <v>0.22710656053700085</v>
      </c>
      <c r="K266" s="25">
        <f t="shared" si="10"/>
        <v>2.36</v>
      </c>
    </row>
    <row r="267" spans="1:11" ht="15" customHeight="1" x14ac:dyDescent="0.25">
      <c r="A267" s="29">
        <v>2.37</v>
      </c>
      <c r="B267" s="30">
        <v>0.17260777155307835</v>
      </c>
      <c r="C267" s="31">
        <v>0.7859195107892275</v>
      </c>
      <c r="J267" s="25">
        <f t="shared" si="9"/>
        <v>0.22739222844692167</v>
      </c>
      <c r="K267" s="25">
        <f t="shared" si="10"/>
        <v>2.37</v>
      </c>
    </row>
    <row r="268" spans="1:11" ht="15" customHeight="1" x14ac:dyDescent="0.25">
      <c r="A268" s="29">
        <v>2.38</v>
      </c>
      <c r="B268" s="30">
        <v>0.17232398579579764</v>
      </c>
      <c r="C268" s="31">
        <v>0.78585879614832999</v>
      </c>
      <c r="J268" s="25">
        <f t="shared" si="9"/>
        <v>0.22767601420420239</v>
      </c>
      <c r="K268" s="25">
        <f t="shared" si="10"/>
        <v>2.38</v>
      </c>
    </row>
    <row r="269" spans="1:11" ht="15" customHeight="1" x14ac:dyDescent="0.25">
      <c r="A269" s="29">
        <v>2.39</v>
      </c>
      <c r="B269" s="30">
        <v>0.17204206141327241</v>
      </c>
      <c r="C269" s="31">
        <v>0.78579786110856054</v>
      </c>
      <c r="J269" s="25">
        <f t="shared" si="9"/>
        <v>0.22795793858672761</v>
      </c>
      <c r="K269" s="25">
        <f t="shared" si="10"/>
        <v>2.39</v>
      </c>
    </row>
    <row r="270" spans="1:11" ht="15" customHeight="1" x14ac:dyDescent="0.25">
      <c r="A270" s="29">
        <v>2.4</v>
      </c>
      <c r="B270" s="30">
        <v>0.1717619779468591</v>
      </c>
      <c r="C270" s="31">
        <v>0.78573671237206877</v>
      </c>
      <c r="J270" s="25">
        <f t="shared" si="9"/>
        <v>0.22823802205314092</v>
      </c>
      <c r="K270" s="25">
        <f t="shared" si="10"/>
        <v>2.4</v>
      </c>
    </row>
    <row r="271" spans="1:11" ht="15" customHeight="1" x14ac:dyDescent="0.25">
      <c r="A271" s="29">
        <v>2.41</v>
      </c>
      <c r="B271" s="30">
        <v>0.17148371525092945</v>
      </c>
      <c r="C271" s="31">
        <v>0.78567535649821485</v>
      </c>
      <c r="J271" s="25">
        <f t="shared" si="9"/>
        <v>0.22851628474907057</v>
      </c>
      <c r="K271" s="25">
        <f t="shared" si="10"/>
        <v>2.41</v>
      </c>
    </row>
    <row r="272" spans="1:11" ht="15" customHeight="1" x14ac:dyDescent="0.25">
      <c r="A272" s="29">
        <v>2.42</v>
      </c>
      <c r="B272" s="30">
        <v>0.17120725348679094</v>
      </c>
      <c r="C272" s="31">
        <v>0.78561379990685309</v>
      </c>
      <c r="J272" s="25">
        <f t="shared" si="9"/>
        <v>0.22879274651320908</v>
      </c>
      <c r="K272" s="25">
        <f t="shared" si="10"/>
        <v>2.42</v>
      </c>
    </row>
    <row r="273" spans="1:11" ht="15" customHeight="1" x14ac:dyDescent="0.25">
      <c r="A273" s="29">
        <v>2.4300000000000002</v>
      </c>
      <c r="B273" s="30">
        <v>0.17093257311675078</v>
      </c>
      <c r="C273" s="31">
        <v>0.78555204888153252</v>
      </c>
      <c r="J273" s="25">
        <f t="shared" si="9"/>
        <v>0.22906742688324924</v>
      </c>
      <c r="K273" s="25">
        <f t="shared" si="10"/>
        <v>2.4300000000000002</v>
      </c>
    </row>
    <row r="274" spans="1:11" ht="15" customHeight="1" x14ac:dyDescent="0.25">
      <c r="A274" s="29">
        <v>2.44</v>
      </c>
      <c r="B274" s="30">
        <v>0.17065965489831747</v>
      </c>
      <c r="C274" s="31">
        <v>0.78549010957261378</v>
      </c>
      <c r="J274" s="25">
        <f t="shared" si="9"/>
        <v>0.22934034510168255</v>
      </c>
      <c r="K274" s="25">
        <f t="shared" si="10"/>
        <v>2.44</v>
      </c>
    </row>
    <row r="275" spans="1:11" ht="15" customHeight="1" x14ac:dyDescent="0.25">
      <c r="A275" s="29">
        <v>2.4500000000000002</v>
      </c>
      <c r="B275" s="30">
        <v>0.17038847987853742</v>
      </c>
      <c r="C275" s="31">
        <v>0.785427988000302</v>
      </c>
      <c r="J275" s="25">
        <f t="shared" si="9"/>
        <v>0.2296115201214626</v>
      </c>
      <c r="K275" s="25">
        <f t="shared" si="10"/>
        <v>2.4500000000000002</v>
      </c>
    </row>
    <row r="276" spans="1:11" ht="15" customHeight="1" x14ac:dyDescent="0.25">
      <c r="A276" s="29">
        <v>2.46</v>
      </c>
      <c r="B276" s="30">
        <v>0.17011902938846288</v>
      </c>
      <c r="C276" s="31">
        <v>0.78536569005760648</v>
      </c>
      <c r="J276" s="25">
        <f t="shared" si="9"/>
        <v>0.22988097061153714</v>
      </c>
      <c r="K276" s="25">
        <f t="shared" si="10"/>
        <v>2.46</v>
      </c>
    </row>
    <row r="277" spans="1:11" ht="15" customHeight="1" x14ac:dyDescent="0.25">
      <c r="A277" s="29">
        <v>2.4700000000000002</v>
      </c>
      <c r="B277" s="30">
        <v>0.16985128503774724</v>
      </c>
      <c r="C277" s="31">
        <v>0.78530322151321796</v>
      </c>
      <c r="J277" s="25">
        <f t="shared" si="9"/>
        <v>0.23014871496225278</v>
      </c>
      <c r="K277" s="25">
        <f t="shared" si="10"/>
        <v>2.4700000000000002</v>
      </c>
    </row>
    <row r="278" spans="1:11" ht="15" customHeight="1" x14ac:dyDescent="0.25">
      <c r="A278" s="29">
        <v>2.48</v>
      </c>
      <c r="B278" s="30">
        <v>0.16958522870936446</v>
      </c>
      <c r="C278" s="31">
        <v>0.78524058801431784</v>
      </c>
      <c r="J278" s="25">
        <f t="shared" si="9"/>
        <v>0.23041477129063556</v>
      </c>
      <c r="K278" s="25">
        <f t="shared" si="10"/>
        <v>2.48</v>
      </c>
    </row>
    <row r="279" spans="1:11" ht="15" customHeight="1" x14ac:dyDescent="0.25">
      <c r="A279" s="29">
        <v>2.4900000000000002</v>
      </c>
      <c r="B279" s="30">
        <v>0.16932084255444962</v>
      </c>
      <c r="C279" s="31">
        <v>0.78517779508931074</v>
      </c>
      <c r="J279" s="25">
        <f t="shared" si="9"/>
        <v>0.2306791574455504</v>
      </c>
      <c r="K279" s="25">
        <f t="shared" si="10"/>
        <v>2.4900000000000002</v>
      </c>
    </row>
    <row r="280" spans="1:11" ht="15" customHeight="1" x14ac:dyDescent="0.25">
      <c r="A280" s="32">
        <v>2.5</v>
      </c>
      <c r="B280" s="33">
        <v>0.16905810898725607</v>
      </c>
      <c r="C280" s="34">
        <v>0.78511484815048893</v>
      </c>
      <c r="J280" s="25">
        <f t="shared" si="9"/>
        <v>0.23094189101274396</v>
      </c>
      <c r="K280" s="25">
        <f t="shared" si="10"/>
        <v>2.5</v>
      </c>
    </row>
  </sheetData>
  <mergeCells count="4">
    <mergeCell ref="A1:A2"/>
    <mergeCell ref="C18:C19"/>
    <mergeCell ref="C21:C22"/>
    <mergeCell ref="A8:A9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4"/>
  <sheetViews>
    <sheetView workbookViewId="0">
      <selection activeCell="N17" sqref="N17"/>
    </sheetView>
  </sheetViews>
  <sheetFormatPr defaultRowHeight="15" customHeight="1" x14ac:dyDescent="0.25"/>
  <cols>
    <col min="1" max="1" width="32.28515625" customWidth="1"/>
    <col min="3" max="3" width="30.140625" bestFit="1" customWidth="1"/>
    <col min="5" max="5" width="9.140625" customWidth="1"/>
  </cols>
  <sheetData>
    <row r="1" spans="1:15" ht="15" customHeight="1" x14ac:dyDescent="0.25">
      <c r="A1" s="80" t="s">
        <v>55</v>
      </c>
    </row>
    <row r="2" spans="1:15" ht="15" customHeight="1" x14ac:dyDescent="0.25">
      <c r="A2" s="80"/>
      <c r="C2" t="s">
        <v>0</v>
      </c>
      <c r="E2" s="8">
        <v>1</v>
      </c>
      <c r="F2" s="8">
        <v>2</v>
      </c>
      <c r="G2" s="8">
        <v>3</v>
      </c>
      <c r="H2" s="8">
        <v>4</v>
      </c>
      <c r="I2" s="8">
        <v>5</v>
      </c>
      <c r="J2" s="8">
        <v>6</v>
      </c>
      <c r="K2" s="8">
        <v>7</v>
      </c>
      <c r="L2" s="8">
        <v>8</v>
      </c>
      <c r="M2" s="8" t="s">
        <v>103</v>
      </c>
      <c r="N2" t="s">
        <v>2</v>
      </c>
      <c r="O2" t="s">
        <v>15</v>
      </c>
    </row>
    <row r="3" spans="1:15" ht="15" customHeight="1" x14ac:dyDescent="0.25">
      <c r="C3" t="s">
        <v>26</v>
      </c>
      <c r="D3" s="1" t="s">
        <v>11</v>
      </c>
      <c r="E3" s="2">
        <v>0.52868749999999987</v>
      </c>
      <c r="F3" s="2">
        <v>0.91743750000000002</v>
      </c>
      <c r="G3" s="2">
        <v>1.2655000000000001</v>
      </c>
      <c r="H3" s="2">
        <v>1.6353958333333327</v>
      </c>
      <c r="I3" s="2">
        <v>1.9437291666666665</v>
      </c>
      <c r="J3" s="2">
        <v>2.2155416666666663</v>
      </c>
      <c r="K3" s="2">
        <v>2.5180416666666665</v>
      </c>
      <c r="L3" s="2">
        <v>2.7956041666666671</v>
      </c>
      <c r="M3" s="2">
        <v>3.1556875000000009</v>
      </c>
      <c r="N3" s="1" t="s">
        <v>104</v>
      </c>
      <c r="O3" t="s">
        <v>42</v>
      </c>
    </row>
    <row r="4" spans="1:15" ht="15" customHeight="1" x14ac:dyDescent="0.25">
      <c r="C4" s="3" t="s">
        <v>5</v>
      </c>
      <c r="D4" s="3" t="s">
        <v>12</v>
      </c>
      <c r="E4" s="2">
        <v>0.18988256328527628</v>
      </c>
      <c r="F4" s="2">
        <v>0.51525951357153688</v>
      </c>
      <c r="G4" s="2">
        <v>0.83071831606934499</v>
      </c>
      <c r="H4" s="2">
        <v>0.94003787933985505</v>
      </c>
      <c r="I4" s="2">
        <v>0.97565145415800825</v>
      </c>
      <c r="J4" s="2">
        <v>0.9890409620488283</v>
      </c>
      <c r="K4" s="2">
        <v>0.99470052453844637</v>
      </c>
      <c r="L4" s="2">
        <v>0.99730049511242003</v>
      </c>
      <c r="M4" s="2">
        <v>0.99856953956468197</v>
      </c>
      <c r="N4" s="5" t="s">
        <v>4</v>
      </c>
      <c r="O4" t="s">
        <v>42</v>
      </c>
    </row>
    <row r="5" spans="1:15" ht="15" customHeight="1" x14ac:dyDescent="0.25">
      <c r="A5" s="38" t="s">
        <v>44</v>
      </c>
      <c r="B5" s="17">
        <v>0.1</v>
      </c>
      <c r="C5" s="1" t="s">
        <v>6</v>
      </c>
      <c r="D5" s="1" t="s">
        <v>8</v>
      </c>
      <c r="E5" s="2">
        <v>0.2</v>
      </c>
      <c r="F5" s="2">
        <v>0.2</v>
      </c>
      <c r="G5" s="2">
        <v>0.2</v>
      </c>
      <c r="H5" s="2">
        <v>0.2</v>
      </c>
      <c r="I5" s="2">
        <v>0.2</v>
      </c>
      <c r="J5" s="2">
        <v>0.2</v>
      </c>
      <c r="K5" s="2">
        <v>0.2</v>
      </c>
      <c r="L5" s="2">
        <v>0.2</v>
      </c>
      <c r="M5" s="2">
        <v>0.2</v>
      </c>
      <c r="N5" s="4" t="s">
        <v>4</v>
      </c>
      <c r="O5" t="s">
        <v>43</v>
      </c>
    </row>
    <row r="6" spans="1:15" ht="15" customHeight="1" x14ac:dyDescent="0.35">
      <c r="C6" s="11" t="s">
        <v>7</v>
      </c>
      <c r="D6" s="11" t="s">
        <v>23</v>
      </c>
      <c r="E6" s="19">
        <v>1</v>
      </c>
      <c r="F6">
        <f>E6*EXP(-E5)</f>
        <v>0.81873075307798182</v>
      </c>
      <c r="G6">
        <f t="shared" ref="G6:L6" si="0">F6*EXP(-F5)</f>
        <v>0.67032004603563922</v>
      </c>
      <c r="H6">
        <f t="shared" si="0"/>
        <v>0.54881163609402639</v>
      </c>
      <c r="I6">
        <f t="shared" si="0"/>
        <v>0.44932896411722151</v>
      </c>
      <c r="J6">
        <f t="shared" si="0"/>
        <v>0.36787944117144222</v>
      </c>
      <c r="K6">
        <f t="shared" si="0"/>
        <v>0.30119421191220203</v>
      </c>
      <c r="L6">
        <f t="shared" si="0"/>
        <v>0.24659696394160641</v>
      </c>
      <c r="M6" s="20">
        <f>L6*EXP(-L5)/(1-EXP(-M5))</f>
        <v>1.1137935497768741</v>
      </c>
      <c r="N6" s="7" t="s">
        <v>4</v>
      </c>
      <c r="O6" t="s">
        <v>16</v>
      </c>
    </row>
    <row r="7" spans="1:15" ht="15" customHeight="1" x14ac:dyDescent="0.35">
      <c r="C7" s="12" t="s">
        <v>10</v>
      </c>
      <c r="D7" s="15" t="s">
        <v>21</v>
      </c>
      <c r="E7">
        <f>SUMPRODUCT(E6:M6,E3:M3,E4:M4)</f>
        <v>8.6457264291539886</v>
      </c>
      <c r="N7" s="1" t="s">
        <v>105</v>
      </c>
    </row>
    <row r="8" spans="1:15" ht="15" customHeight="1" x14ac:dyDescent="0.25">
      <c r="A8" s="80" t="s">
        <v>62</v>
      </c>
      <c r="C8" s="3" t="s">
        <v>3</v>
      </c>
      <c r="D8" s="3" t="s">
        <v>13</v>
      </c>
      <c r="E8" s="2">
        <v>4.0436359999999998E-3</v>
      </c>
      <c r="F8" s="2">
        <v>4.8546620999999998E-2</v>
      </c>
      <c r="G8" s="2">
        <v>0.35489582200000003</v>
      </c>
      <c r="H8" s="2">
        <v>0.72466872699999996</v>
      </c>
      <c r="I8" s="2">
        <v>0.90894166899999995</v>
      </c>
      <c r="J8" s="2">
        <v>0.97144023599999996</v>
      </c>
      <c r="K8" s="2">
        <v>0.98972695300000002</v>
      </c>
      <c r="L8" s="2">
        <v>0.99659088699999998</v>
      </c>
      <c r="M8" s="2">
        <v>0.99806452199999995</v>
      </c>
      <c r="N8" s="4" t="s">
        <v>4</v>
      </c>
      <c r="O8" t="s">
        <v>45</v>
      </c>
    </row>
    <row r="9" spans="1:15" ht="15" customHeight="1" x14ac:dyDescent="0.25">
      <c r="A9" s="80"/>
      <c r="C9" t="s">
        <v>20</v>
      </c>
      <c r="D9" t="s">
        <v>19</v>
      </c>
      <c r="E9" s="6">
        <f>B5</f>
        <v>0.1</v>
      </c>
      <c r="N9" s="4" t="s">
        <v>4</v>
      </c>
    </row>
    <row r="10" spans="1:15" ht="15" customHeight="1" x14ac:dyDescent="0.35">
      <c r="C10" s="13" t="s">
        <v>17</v>
      </c>
      <c r="D10" s="13" t="s">
        <v>24</v>
      </c>
      <c r="E10" s="20">
        <v>1</v>
      </c>
      <c r="F10">
        <f>E10*EXP(-E5-$E$9*E8)</f>
        <v>0.81839975508951579</v>
      </c>
      <c r="G10">
        <f t="shared" ref="G10:L10" si="1">F10*EXP(-F5-$E$9*F8)</f>
        <v>0.66680406909640177</v>
      </c>
      <c r="H10">
        <f t="shared" si="1"/>
        <v>0.52689783648290989</v>
      </c>
      <c r="I10">
        <f t="shared" si="1"/>
        <v>0.40123199388411179</v>
      </c>
      <c r="J10">
        <f t="shared" si="1"/>
        <v>0.29995894985656085</v>
      </c>
      <c r="K10">
        <f t="shared" si="1"/>
        <v>0.22285060358771858</v>
      </c>
      <c r="L10">
        <f t="shared" si="1"/>
        <v>0.16526147434211816</v>
      </c>
      <c r="M10" s="20">
        <f>L10*EXP(-L5-$E$9*L8)/(1-EXP(-M5-$E$9*M8))</f>
        <v>0.47278883928200716</v>
      </c>
      <c r="N10" s="4" t="s">
        <v>4</v>
      </c>
    </row>
    <row r="11" spans="1:15" ht="15" customHeight="1" x14ac:dyDescent="0.35">
      <c r="C11" s="14" t="s">
        <v>18</v>
      </c>
      <c r="D11" s="14" t="s">
        <v>22</v>
      </c>
      <c r="E11">
        <f>SUMPRODUCT(E10:M10,E3:M3,E4:M4)</f>
        <v>5.9252300739334878</v>
      </c>
      <c r="N11" s="1" t="s">
        <v>105</v>
      </c>
    </row>
    <row r="12" spans="1:15" ht="15" customHeight="1" x14ac:dyDescent="0.25">
      <c r="C12" s="14" t="s">
        <v>51</v>
      </c>
      <c r="D12" s="14" t="s">
        <v>25</v>
      </c>
      <c r="E12">
        <f>E11/E7</f>
        <v>0.68533628984063166</v>
      </c>
      <c r="N12" s="4" t="s">
        <v>4</v>
      </c>
    </row>
    <row r="13" spans="1:15" ht="15" customHeight="1" x14ac:dyDescent="0.25">
      <c r="C13" s="14" t="s">
        <v>54</v>
      </c>
      <c r="D13" s="14" t="s">
        <v>53</v>
      </c>
      <c r="E13">
        <f>E10*E3*$E$9*E8*(1-EXP(-$E$9*E8-E5))/($E$9*E8+E5)</f>
        <v>1.9372262843376736E-4</v>
      </c>
      <c r="F13">
        <f t="shared" ref="F13:M13" si="2">F10*F3*$E$9*F8*(1-EXP(-$E$9*F8-F5))/($E$9*F8+F5)</f>
        <v>3.2959186610397725E-3</v>
      </c>
      <c r="G13">
        <f t="shared" si="2"/>
        <v>2.6682615564540248E-2</v>
      </c>
      <c r="H13">
        <f t="shared" si="2"/>
        <v>5.4659536821670462E-2</v>
      </c>
      <c r="I13">
        <f t="shared" si="2"/>
        <v>6.1507859870212421E-2</v>
      </c>
      <c r="J13">
        <f t="shared" si="2"/>
        <v>5.5850928657019398E-2</v>
      </c>
      <c r="K13">
        <f t="shared" si="2"/>
        <v>4.8005090742236592E-2</v>
      </c>
      <c r="L13">
        <f t="shared" si="2"/>
        <v>3.9784853213727378E-2</v>
      </c>
      <c r="M13">
        <f t="shared" si="2"/>
        <v>0.12865982806513587</v>
      </c>
      <c r="N13" t="s">
        <v>104</v>
      </c>
    </row>
    <row r="14" spans="1:15" ht="15" customHeight="1" x14ac:dyDescent="0.25">
      <c r="C14" s="14" t="s">
        <v>50</v>
      </c>
      <c r="D14" s="14" t="s">
        <v>52</v>
      </c>
      <c r="E14">
        <f>SUM(E13:M13)</f>
        <v>0.41864035422401591</v>
      </c>
      <c r="N14" t="s">
        <v>104</v>
      </c>
    </row>
    <row r="15" spans="1:15" ht="15" customHeight="1" x14ac:dyDescent="0.25">
      <c r="C15" s="81" t="s">
        <v>118</v>
      </c>
      <c r="D15" s="68" t="s">
        <v>116</v>
      </c>
      <c r="E15" s="17">
        <v>4.2758580000000004</v>
      </c>
      <c r="N15" t="s">
        <v>108</v>
      </c>
      <c r="O15" t="s">
        <v>45</v>
      </c>
    </row>
    <row r="16" spans="1:15" ht="15" customHeight="1" x14ac:dyDescent="0.25">
      <c r="C16" s="81"/>
      <c r="E16" s="25"/>
      <c r="N16" s="7"/>
    </row>
    <row r="17" spans="1:28" ht="15" customHeight="1" x14ac:dyDescent="0.25">
      <c r="C17" s="81"/>
      <c r="D17" s="10"/>
      <c r="N17" s="7"/>
    </row>
    <row r="18" spans="1:28" ht="15" customHeight="1" x14ac:dyDescent="0.25">
      <c r="C18" s="81"/>
      <c r="D18" s="1"/>
      <c r="N18" s="7"/>
    </row>
    <row r="19" spans="1:28" ht="15" customHeight="1" x14ac:dyDescent="0.25">
      <c r="A19" s="21" t="s">
        <v>56</v>
      </c>
      <c r="C19" s="1"/>
      <c r="D19" s="1"/>
      <c r="F19" s="43">
        <v>0</v>
      </c>
    </row>
    <row r="20" spans="1:28" ht="15" customHeight="1" x14ac:dyDescent="0.25">
      <c r="A20" s="39" t="s">
        <v>57</v>
      </c>
      <c r="B20" s="17">
        <v>40</v>
      </c>
      <c r="C20" s="1" t="s">
        <v>58</v>
      </c>
      <c r="D20" s="1"/>
    </row>
    <row r="21" spans="1:28" ht="15" customHeight="1" x14ac:dyDescent="0.25">
      <c r="A21" s="38" t="s">
        <v>59</v>
      </c>
      <c r="B21" s="42">
        <f>VLOOKUP(J31,J34:K284,2,FALSE)</f>
        <v>0.37</v>
      </c>
      <c r="C21" s="1"/>
      <c r="D21" s="1"/>
    </row>
    <row r="22" spans="1:28" ht="15" customHeight="1" x14ac:dyDescent="0.25">
      <c r="C22" s="1"/>
      <c r="D22" s="1"/>
    </row>
    <row r="23" spans="1:28" ht="15" customHeight="1" x14ac:dyDescent="0.35">
      <c r="C23" s="81" t="s">
        <v>117</v>
      </c>
      <c r="D23" s="69" t="s">
        <v>73</v>
      </c>
      <c r="E23">
        <f>VLOOKUP(B5,A34:E284,5,FALSE)</f>
        <v>25.335442413469096</v>
      </c>
      <c r="N23" t="s">
        <v>66</v>
      </c>
    </row>
    <row r="24" spans="1:28" ht="15" customHeight="1" x14ac:dyDescent="0.25">
      <c r="C24" s="81"/>
    </row>
    <row r="26" spans="1:28" ht="15" customHeight="1" x14ac:dyDescent="0.25">
      <c r="A26" s="80" t="s">
        <v>119</v>
      </c>
    </row>
    <row r="27" spans="1:28" ht="15" customHeight="1" x14ac:dyDescent="0.25">
      <c r="A27" s="80"/>
      <c r="C27" s="64" t="str">
        <f>CONCATENATE("Equilibrium SSB at F at ",B20,"% SPR")</f>
        <v>Equilibrium SSB at F at 40% SPR</v>
      </c>
      <c r="D27" s="67" t="str">
        <f>CONCATENATE("SSB F",B20,"%")</f>
        <v>SSB F40%</v>
      </c>
      <c r="E27">
        <f>VLOOKUP(B21,A34:E284,5,FALSE)</f>
        <v>14.868351219196937</v>
      </c>
      <c r="N27" t="s">
        <v>66</v>
      </c>
    </row>
    <row r="28" spans="1:28" ht="15" customHeight="1" x14ac:dyDescent="0.25">
      <c r="A28" s="80"/>
      <c r="C28" s="10"/>
    </row>
    <row r="29" spans="1:28" ht="15" customHeight="1" x14ac:dyDescent="0.25">
      <c r="C29" s="10"/>
      <c r="J29" s="61" t="s">
        <v>102</v>
      </c>
      <c r="K29" s="61"/>
      <c r="L29" s="61"/>
    </row>
    <row r="30" spans="1:28" ht="15" customHeight="1" x14ac:dyDescent="0.25">
      <c r="C30" s="10"/>
      <c r="J30" t="s">
        <v>61</v>
      </c>
    </row>
    <row r="31" spans="1:28" s="25" customFormat="1" ht="15" customHeight="1" x14ac:dyDescent="0.25">
      <c r="A31" s="65" t="s">
        <v>113</v>
      </c>
      <c r="B31" s="66"/>
      <c r="C31" s="66"/>
      <c r="D31" s="66"/>
      <c r="E31"/>
      <c r="F31"/>
      <c r="G31"/>
      <c r="J31" s="25">
        <f>MIN(J34:J284)</f>
        <v>2.1962788064296968E-3</v>
      </c>
      <c r="AB31"/>
    </row>
    <row r="32" spans="1:28" ht="15" customHeight="1" x14ac:dyDescent="0.35">
      <c r="A32" s="35" t="s">
        <v>19</v>
      </c>
      <c r="B32" s="36" t="s">
        <v>25</v>
      </c>
      <c r="C32" s="36" t="s">
        <v>52</v>
      </c>
      <c r="D32" s="37" t="s">
        <v>22</v>
      </c>
      <c r="E32" s="41" t="s">
        <v>73</v>
      </c>
      <c r="J32" t="s">
        <v>60</v>
      </c>
      <c r="K32" t="s">
        <v>19</v>
      </c>
    </row>
    <row r="33" spans="1:28" s="25" customFormat="1" ht="15" customHeight="1" x14ac:dyDescent="0.25">
      <c r="A33" s="26"/>
      <c r="B33" s="49">
        <f>E12</f>
        <v>0.68533628984063166</v>
      </c>
      <c r="C33" s="49">
        <f>E14</f>
        <v>0.41864035422401591</v>
      </c>
      <c r="D33" s="50">
        <f>E11</f>
        <v>5.9252300739334878</v>
      </c>
      <c r="E33"/>
      <c r="F33"/>
      <c r="G33"/>
      <c r="AB33"/>
    </row>
    <row r="34" spans="1:28" ht="15" customHeight="1" x14ac:dyDescent="0.25">
      <c r="A34" s="29">
        <v>1E-4</v>
      </c>
      <c r="B34" s="30">
        <f t="dataTable" ref="B34:D284" dt2D="0" dtr="0" r1="B5"/>
        <v>0.99952159084272474</v>
      </c>
      <c r="C34" s="30">
        <v>6.8128969288715636E-4</v>
      </c>
      <c r="D34" s="31">
        <v>8.6415902344589846</v>
      </c>
      <c r="E34">
        <f>D34*$E$15</f>
        <v>36.950212736733327</v>
      </c>
      <c r="J34" s="25">
        <f>ABS(B34-$B$20/100)</f>
        <v>0.59952159084272472</v>
      </c>
      <c r="K34" s="25">
        <f t="shared" ref="K34:K97" si="3">A34</f>
        <v>1E-4</v>
      </c>
    </row>
    <row r="35" spans="1:28" ht="15" customHeight="1" x14ac:dyDescent="0.25">
      <c r="A35" s="29">
        <v>0.01</v>
      </c>
      <c r="B35" s="30">
        <v>0.95448419702497456</v>
      </c>
      <c r="C35" s="30">
        <v>6.43343462730398E-2</v>
      </c>
      <c r="D35" s="31">
        <v>8.2522092484286453</v>
      </c>
      <c r="E35">
        <f t="shared" ref="E35:E98" si="4">D35*$E$15</f>
        <v>35.285274932567617</v>
      </c>
      <c r="J35" s="25">
        <f t="shared" ref="J35:J98" si="5">ABS(B35-$B$20/100)</f>
        <v>0.55448419702497453</v>
      </c>
      <c r="K35" s="25">
        <f t="shared" si="3"/>
        <v>0.01</v>
      </c>
    </row>
    <row r="36" spans="1:28" ht="15" customHeight="1" x14ac:dyDescent="0.25">
      <c r="A36" s="29">
        <v>0.02</v>
      </c>
      <c r="B36" s="30">
        <v>0.91323765685305125</v>
      </c>
      <c r="C36" s="30">
        <v>0.12173192642859101</v>
      </c>
      <c r="D36" s="31">
        <v>7.8956029459530868</v>
      </c>
      <c r="E36">
        <f t="shared" si="4"/>
        <v>33.760477021277076</v>
      </c>
      <c r="J36" s="25">
        <f t="shared" si="5"/>
        <v>0.51323765685305123</v>
      </c>
      <c r="K36" s="25">
        <f t="shared" si="3"/>
        <v>0.02</v>
      </c>
    </row>
    <row r="37" spans="1:28" ht="15" customHeight="1" x14ac:dyDescent="0.25">
      <c r="A37" s="29">
        <v>0.03</v>
      </c>
      <c r="B37" s="30">
        <v>0.87569913806345145</v>
      </c>
      <c r="C37" s="30">
        <v>0.17314724253319588</v>
      </c>
      <c r="D37" s="31">
        <v>7.5710551819425493</v>
      </c>
      <c r="E37">
        <f t="shared" si="4"/>
        <v>32.37275686815051</v>
      </c>
      <c r="J37" s="25">
        <f t="shared" si="5"/>
        <v>0.47569913806345143</v>
      </c>
      <c r="K37" s="25">
        <f t="shared" si="3"/>
        <v>0.03</v>
      </c>
    </row>
    <row r="38" spans="1:28" ht="15" customHeight="1" x14ac:dyDescent="0.25">
      <c r="A38" s="29">
        <v>0.04</v>
      </c>
      <c r="B38" s="30">
        <v>0.84140098817357856</v>
      </c>
      <c r="C38" s="30">
        <v>0.21937345502736541</v>
      </c>
      <c r="D38" s="31">
        <v>7.2745227609685905</v>
      </c>
      <c r="E38">
        <f t="shared" si="4"/>
        <v>31.104826343669639</v>
      </c>
      <c r="J38" s="25">
        <f t="shared" si="5"/>
        <v>0.44140098817357853</v>
      </c>
      <c r="K38" s="25">
        <f t="shared" si="3"/>
        <v>0.04</v>
      </c>
    </row>
    <row r="39" spans="1:28" ht="15" customHeight="1" x14ac:dyDescent="0.25">
      <c r="A39" s="29">
        <v>0.05</v>
      </c>
      <c r="B39" s="30">
        <v>0.80995044719986264</v>
      </c>
      <c r="C39" s="30">
        <v>0.26107472664256853</v>
      </c>
      <c r="D39" s="31">
        <v>7.0026099876609447</v>
      </c>
      <c r="E39">
        <f t="shared" si="4"/>
        <v>29.942165936619954</v>
      </c>
      <c r="J39" s="25">
        <f t="shared" si="5"/>
        <v>0.40995044719986262</v>
      </c>
      <c r="K39" s="25">
        <f t="shared" si="3"/>
        <v>0.05</v>
      </c>
    </row>
    <row r="40" spans="1:28" ht="15" customHeight="1" x14ac:dyDescent="0.25">
      <c r="A40" s="29">
        <v>0.06</v>
      </c>
      <c r="B40" s="30">
        <v>0.78101525965315455</v>
      </c>
      <c r="C40" s="30">
        <v>0.29881110713728715</v>
      </c>
      <c r="D40" s="31">
        <v>6.7524442719558433</v>
      </c>
      <c r="E40">
        <f t="shared" si="4"/>
        <v>28.872492859796569</v>
      </c>
      <c r="J40" s="25">
        <f t="shared" si="5"/>
        <v>0.38101525965315453</v>
      </c>
      <c r="K40" s="25">
        <f t="shared" si="3"/>
        <v>0.06</v>
      </c>
    </row>
    <row r="41" spans="1:28" ht="15" customHeight="1" x14ac:dyDescent="0.25">
      <c r="A41" s="29">
        <v>7.0000000000000007E-2</v>
      </c>
      <c r="B41" s="30">
        <v>0.75431247955756053</v>
      </c>
      <c r="C41" s="30">
        <v>0.33305789025881521</v>
      </c>
      <c r="D41" s="31">
        <v>6.5215793403514786</v>
      </c>
      <c r="E41">
        <f t="shared" si="4"/>
        <v>27.885347195076594</v>
      </c>
      <c r="J41" s="25">
        <f t="shared" si="5"/>
        <v>0.35431247955756051</v>
      </c>
      <c r="K41" s="25">
        <f t="shared" si="3"/>
        <v>7.0000000000000007E-2</v>
      </c>
    </row>
    <row r="42" spans="1:28" ht="15" customHeight="1" x14ac:dyDescent="0.25">
      <c r="A42" s="29">
        <v>0.08</v>
      </c>
      <c r="B42" s="30">
        <v>0.72959967133015535</v>
      </c>
      <c r="C42" s="30">
        <v>0.36422082325420319</v>
      </c>
      <c r="D42" s="31">
        <v>6.3079191611211876</v>
      </c>
      <c r="E42">
        <f t="shared" si="4"/>
        <v>26.97176660843332</v>
      </c>
      <c r="J42" s="25">
        <f t="shared" si="5"/>
        <v>0.32959967133015533</v>
      </c>
      <c r="K42" s="25">
        <f t="shared" si="3"/>
        <v>0.08</v>
      </c>
    </row>
    <row r="43" spans="1:28" ht="15" customHeight="1" x14ac:dyDescent="0.25">
      <c r="A43" s="29">
        <v>0.09</v>
      </c>
      <c r="B43" s="30">
        <v>0.7066679289726443</v>
      </c>
      <c r="C43" s="30">
        <v>0.39264816896870791</v>
      </c>
      <c r="D43" s="31">
        <v>6.1096575901543044</v>
      </c>
      <c r="E43">
        <f t="shared" si="4"/>
        <v>26.124028284122005</v>
      </c>
      <c r="J43" s="25">
        <f t="shared" si="5"/>
        <v>0.30666792897264428</v>
      </c>
      <c r="K43" s="25">
        <f t="shared" si="3"/>
        <v>0.09</v>
      </c>
    </row>
    <row r="44" spans="1:28" ht="15" customHeight="1" x14ac:dyDescent="0.25">
      <c r="A44" s="29">
        <v>0.1</v>
      </c>
      <c r="B44" s="30">
        <v>0.68533628984063166</v>
      </c>
      <c r="C44" s="30">
        <v>0.41864035422401591</v>
      </c>
      <c r="D44" s="31">
        <v>5.9252300739334878</v>
      </c>
      <c r="E44">
        <f t="shared" si="4"/>
        <v>25.335442413469096</v>
      </c>
      <c r="J44" s="25">
        <f t="shared" si="5"/>
        <v>0.28533628984063164</v>
      </c>
      <c r="K44" s="25">
        <f t="shared" si="3"/>
        <v>0.1</v>
      </c>
    </row>
    <row r="45" spans="1:28" ht="15" customHeight="1" x14ac:dyDescent="0.25">
      <c r="A45" s="29">
        <v>0.11</v>
      </c>
      <c r="B45" s="30">
        <v>0.66544722847070559</v>
      </c>
      <c r="C45" s="30">
        <v>0.44245774905277546</v>
      </c>
      <c r="D45" s="31">
        <v>5.7532746903964522</v>
      </c>
      <c r="E45">
        <f t="shared" si="4"/>
        <v>24.600185611129195</v>
      </c>
      <c r="J45" s="25">
        <f t="shared" si="5"/>
        <v>0.26544722847070557</v>
      </c>
      <c r="K45" s="25">
        <f t="shared" si="3"/>
        <v>0.11</v>
      </c>
    </row>
    <row r="46" spans="1:28" ht="15" customHeight="1" x14ac:dyDescent="0.25">
      <c r="A46" s="29">
        <v>0.12</v>
      </c>
      <c r="B46" s="30">
        <v>0.64686299448063744</v>
      </c>
      <c r="C46" s="30">
        <v>0.46432698537526651</v>
      </c>
      <c r="D46" s="31">
        <v>5.5926004874229376</v>
      </c>
      <c r="E46">
        <f t="shared" si="4"/>
        <v>23.913165534951268</v>
      </c>
      <c r="J46" s="25">
        <f t="shared" si="5"/>
        <v>0.24686299448063742</v>
      </c>
      <c r="K46" s="25">
        <f t="shared" si="3"/>
        <v>0.12</v>
      </c>
    </row>
    <row r="47" spans="1:28" ht="15" customHeight="1" x14ac:dyDescent="0.25">
      <c r="A47" s="29">
        <v>0.13</v>
      </c>
      <c r="B47" s="30">
        <v>0.62946261569958595</v>
      </c>
      <c r="C47" s="30">
        <v>0.48444612475875548</v>
      </c>
      <c r="D47" s="31">
        <v>5.4421615727183106</v>
      </c>
      <c r="E47">
        <f t="shared" si="4"/>
        <v>23.269910098000171</v>
      </c>
      <c r="J47" s="25">
        <f t="shared" si="5"/>
        <v>0.22946261569958593</v>
      </c>
      <c r="K47" s="25">
        <f t="shared" si="3"/>
        <v>0.13</v>
      </c>
    </row>
    <row r="48" spans="1:28" ht="15" customHeight="1" x14ac:dyDescent="0.25">
      <c r="A48" s="29">
        <v>0.14000000000000001</v>
      </c>
      <c r="B48" s="30">
        <v>0.6131394297182754</v>
      </c>
      <c r="C48" s="30">
        <v>0.50298891211688024</v>
      </c>
      <c r="D48" s="31">
        <v>5.3010357722716979</v>
      </c>
      <c r="E48">
        <f t="shared" si="4"/>
        <v>22.66647621515412</v>
      </c>
      <c r="J48" s="25">
        <f t="shared" si="5"/>
        <v>0.21313942971827537</v>
      </c>
      <c r="K48" s="25">
        <f t="shared" si="3"/>
        <v>0.14000000000000001</v>
      </c>
    </row>
    <row r="49" spans="1:11" ht="15" customHeight="1" x14ac:dyDescent="0.25">
      <c r="A49" s="29">
        <v>0.15</v>
      </c>
      <c r="B49" s="30">
        <v>0.59779903828564174</v>
      </c>
      <c r="C49" s="30">
        <v>0.52010829811866577</v>
      </c>
      <c r="D49" s="31">
        <v>5.1684069446290097</v>
      </c>
      <c r="E49">
        <f t="shared" si="4"/>
        <v>22.099374181447509</v>
      </c>
      <c r="J49" s="25">
        <f t="shared" si="5"/>
        <v>0.19779903828564172</v>
      </c>
      <c r="K49" s="25">
        <f t="shared" si="3"/>
        <v>0.15</v>
      </c>
    </row>
    <row r="50" spans="1:11" ht="15" customHeight="1" x14ac:dyDescent="0.25">
      <c r="A50" s="29">
        <v>0.16</v>
      </c>
      <c r="B50" s="30">
        <v>0.58335760241424339</v>
      </c>
      <c r="C50" s="30">
        <v>0.53593937249685797</v>
      </c>
      <c r="D50" s="31">
        <v>5.0435502408407284</v>
      </c>
      <c r="E50">
        <f t="shared" si="4"/>
        <v>21.565504645700756</v>
      </c>
      <c r="J50" s="25">
        <f t="shared" si="5"/>
        <v>0.18335760241424337</v>
      </c>
      <c r="K50" s="25">
        <f t="shared" si="3"/>
        <v>0.16</v>
      </c>
    </row>
    <row r="51" spans="1:11" ht="15" customHeight="1" x14ac:dyDescent="0.25">
      <c r="A51" s="29">
        <v>0.17</v>
      </c>
      <c r="B51" s="30">
        <v>0.56974041379787388</v>
      </c>
      <c r="C51" s="30">
        <v>0.55060181972622135</v>
      </c>
      <c r="D51" s="31">
        <v>4.9258197533294084</v>
      </c>
      <c r="E51">
        <f t="shared" si="4"/>
        <v>21.062105798831578</v>
      </c>
      <c r="J51" s="25">
        <f t="shared" si="5"/>
        <v>0.16974041379787386</v>
      </c>
      <c r="K51" s="25">
        <f t="shared" si="3"/>
        <v>0.17</v>
      </c>
    </row>
    <row r="52" spans="1:11" ht="15" customHeight="1" x14ac:dyDescent="0.25">
      <c r="A52" s="29">
        <v>0.18</v>
      </c>
      <c r="B52" s="30">
        <v>0.55688069168838961</v>
      </c>
      <c r="C52" s="30">
        <v>0.56420198509193298</v>
      </c>
      <c r="D52" s="31">
        <v>4.8146381140158638</v>
      </c>
      <c r="E52">
        <f t="shared" si="4"/>
        <v>20.586708896919646</v>
      </c>
      <c r="J52" s="25">
        <f t="shared" si="5"/>
        <v>0.15688069168838958</v>
      </c>
      <c r="K52" s="25">
        <f t="shared" si="3"/>
        <v>0.18</v>
      </c>
    </row>
    <row r="53" spans="1:11" ht="15" customHeight="1" x14ac:dyDescent="0.25">
      <c r="A53" s="29">
        <v>0.19</v>
      </c>
      <c r="B53" s="30">
        <v>0.54471856479999958</v>
      </c>
      <c r="C53" s="30">
        <v>0.57683462112432093</v>
      </c>
      <c r="D53" s="31">
        <v>4.7094876921421855</v>
      </c>
      <c r="E53">
        <f t="shared" si="4"/>
        <v>20.137100624347703</v>
      </c>
      <c r="J53" s="25">
        <f t="shared" si="5"/>
        <v>0.14471856479999956</v>
      </c>
      <c r="K53" s="25">
        <f t="shared" si="3"/>
        <v>0.19</v>
      </c>
    </row>
    <row r="54" spans="1:11" ht="15" customHeight="1" x14ac:dyDescent="0.25">
      <c r="A54" s="29">
        <v>0.2</v>
      </c>
      <c r="B54" s="30">
        <v>0.53320020588797934</v>
      </c>
      <c r="C54" s="30">
        <v>0.5885843703885929</v>
      </c>
      <c r="D54" s="31">
        <v>4.6099031120760507</v>
      </c>
      <c r="E54">
        <f t="shared" si="4"/>
        <v>19.711291100995279</v>
      </c>
      <c r="J54" s="25">
        <f t="shared" si="5"/>
        <v>0.13320020588797932</v>
      </c>
      <c r="K54" s="25">
        <f t="shared" si="3"/>
        <v>0.2</v>
      </c>
    </row>
    <row r="55" spans="1:11" ht="15" customHeight="1" x14ac:dyDescent="0.25">
      <c r="A55" s="29">
        <v>0.21</v>
      </c>
      <c r="B55" s="30">
        <v>0.52227709295577129</v>
      </c>
      <c r="C55" s="30">
        <v>0.59952702969842908</v>
      </c>
      <c r="D55" s="31">
        <v>4.5154648659094265</v>
      </c>
      <c r="E55">
        <f t="shared" si="4"/>
        <v>19.307486570617751</v>
      </c>
      <c r="J55" s="25">
        <f t="shared" si="5"/>
        <v>0.12227709295577127</v>
      </c>
      <c r="K55" s="25">
        <f t="shared" si="3"/>
        <v>0.21</v>
      </c>
    </row>
    <row r="56" spans="1:11" ht="15" customHeight="1" x14ac:dyDescent="0.25">
      <c r="A56" s="29">
        <v>0.22</v>
      </c>
      <c r="B56" s="30">
        <v>0.51190537600119057</v>
      </c>
      <c r="C56" s="30">
        <v>0.60973063224063184</v>
      </c>
      <c r="D56" s="31">
        <v>4.4257938385195033</v>
      </c>
      <c r="E56">
        <f t="shared" si="4"/>
        <v>18.924065990784328</v>
      </c>
      <c r="J56" s="25">
        <f t="shared" si="5"/>
        <v>0.11190537600119055</v>
      </c>
      <c r="K56" s="25">
        <f t="shared" si="3"/>
        <v>0.22</v>
      </c>
    </row>
    <row r="57" spans="1:11" ht="15" customHeight="1" x14ac:dyDescent="0.25">
      <c r="A57" s="29">
        <v>0.23</v>
      </c>
      <c r="B57" s="30">
        <v>0.50204533213265934</v>
      </c>
      <c r="C57" s="30">
        <v>0.6192563773111408</v>
      </c>
      <c r="D57" s="31">
        <v>4.3405465966527252</v>
      </c>
      <c r="E57">
        <f t="shared" si="4"/>
        <v>18.55956088967033</v>
      </c>
      <c r="J57" s="25">
        <f t="shared" si="5"/>
        <v>0.10204533213265932</v>
      </c>
      <c r="K57" s="25">
        <f t="shared" si="3"/>
        <v>0.23</v>
      </c>
    </row>
    <row r="58" spans="1:11" ht="15" customHeight="1" x14ac:dyDescent="0.25">
      <c r="A58" s="29">
        <v>0.24</v>
      </c>
      <c r="B58" s="30">
        <v>0.4926608950054514</v>
      </c>
      <c r="C58" s="30">
        <v>0.62815943196308066</v>
      </c>
      <c r="D58" s="31">
        <v>4.2594113205592894</v>
      </c>
      <c r="E58">
        <f t="shared" si="4"/>
        <v>18.212637970304005</v>
      </c>
      <c r="J58" s="25">
        <f t="shared" si="5"/>
        <v>9.2660895005451382E-2</v>
      </c>
      <c r="K58" s="25">
        <f t="shared" si="3"/>
        <v>0.24</v>
      </c>
    </row>
    <row r="59" spans="1:11" ht="15" customHeight="1" x14ac:dyDescent="0.25">
      <c r="A59" s="29">
        <v>0.25</v>
      </c>
      <c r="B59" s="30">
        <v>0.48371924702369723</v>
      </c>
      <c r="C59" s="30">
        <v>0.63648962454709368</v>
      </c>
      <c r="D59" s="31">
        <v>4.182104278283246</v>
      </c>
      <c r="E59">
        <f t="shared" si="4"/>
        <v>17.882084035131644</v>
      </c>
      <c r="J59" s="25">
        <f t="shared" si="5"/>
        <v>8.3719247023697207E-2</v>
      </c>
      <c r="K59" s="25">
        <f t="shared" si="3"/>
        <v>0.25</v>
      </c>
    </row>
    <row r="60" spans="1:11" ht="15" customHeight="1" x14ac:dyDescent="0.25">
      <c r="A60" s="29">
        <v>0.26</v>
      </c>
      <c r="B60" s="30">
        <v>0.47519046476178278</v>
      </c>
      <c r="C60" s="30">
        <v>0.64429204664858242</v>
      </c>
      <c r="D60" s="31">
        <v>4.1083667600729123</v>
      </c>
      <c r="E60">
        <f t="shared" si="4"/>
        <v>17.566792877991844</v>
      </c>
      <c r="J60" s="25">
        <f t="shared" si="5"/>
        <v>7.519046476178276E-2</v>
      </c>
      <c r="K60" s="25">
        <f t="shared" si="3"/>
        <v>0.26</v>
      </c>
    </row>
    <row r="61" spans="1:11" ht="15" customHeight="1" x14ac:dyDescent="0.25">
      <c r="A61" s="29">
        <v>0.27</v>
      </c>
      <c r="B61" s="30">
        <v>0.46704720968245955</v>
      </c>
      <c r="C61" s="30">
        <v>0.65160757711605088</v>
      </c>
      <c r="D61" s="31">
        <v>4.037962404414265</v>
      </c>
      <c r="E61">
        <f t="shared" si="4"/>
        <v>17.265753850613972</v>
      </c>
      <c r="J61" s="25">
        <f t="shared" si="5"/>
        <v>6.704720968245953E-2</v>
      </c>
      <c r="K61" s="25">
        <f t="shared" si="3"/>
        <v>0.27</v>
      </c>
    </row>
    <row r="62" spans="1:11" ht="15" customHeight="1" x14ac:dyDescent="0.25">
      <c r="A62" s="29">
        <v>0.28000000000000003</v>
      </c>
      <c r="B62" s="30">
        <v>0.45926445754849993</v>
      </c>
      <c r="C62" s="30">
        <v>0.65847333959100185</v>
      </c>
      <c r="D62" s="31">
        <v>3.970674858598136</v>
      </c>
      <c r="E62">
        <f t="shared" si="4"/>
        <v>16.978041859535711</v>
      </c>
      <c r="J62" s="25">
        <f t="shared" si="5"/>
        <v>5.9264457548499905E-2</v>
      </c>
      <c r="K62" s="25">
        <f t="shared" si="3"/>
        <v>0.28000000000000003</v>
      </c>
    </row>
    <row r="63" spans="1:11" ht="15" customHeight="1" x14ac:dyDescent="0.25">
      <c r="A63" s="29">
        <v>0.28999999999999998</v>
      </c>
      <c r="B63" s="30">
        <v>0.45181926100204461</v>
      </c>
      <c r="C63" s="30">
        <v>0.66492310308541891</v>
      </c>
      <c r="D63" s="31">
        <v>3.9063057260462011</v>
      </c>
      <c r="E63">
        <f t="shared" si="4"/>
        <v>16.702808589160458</v>
      </c>
      <c r="J63" s="25">
        <f t="shared" si="5"/>
        <v>5.1819261002044592E-2</v>
      </c>
      <c r="K63" s="25">
        <f t="shared" si="3"/>
        <v>0.28999999999999998</v>
      </c>
    </row>
    <row r="64" spans="1:11" ht="15" customHeight="1" x14ac:dyDescent="0.25">
      <c r="A64" s="29">
        <v>0.3</v>
      </c>
      <c r="B64" s="30">
        <v>0.44469054066934505</v>
      </c>
      <c r="C64" s="30">
        <v>0.67098763362390867</v>
      </c>
      <c r="D64" s="31">
        <v>3.844672760259733</v>
      </c>
      <c r="E64">
        <f t="shared" si="4"/>
        <v>16.439274779338664</v>
      </c>
      <c r="J64" s="25">
        <f t="shared" si="5"/>
        <v>4.4690540669345025E-2</v>
      </c>
      <c r="K64" s="25">
        <f t="shared" si="3"/>
        <v>0.3</v>
      </c>
    </row>
    <row r="65" spans="1:11" ht="15" customHeight="1" x14ac:dyDescent="0.25">
      <c r="A65" s="29">
        <v>0.31</v>
      </c>
      <c r="B65" s="30">
        <v>0.43785890087636159</v>
      </c>
      <c r="C65" s="30">
        <v>0.67669500370839575</v>
      </c>
      <c r="D65" s="31">
        <v>3.7856082715470758</v>
      </c>
      <c r="E65">
        <f t="shared" si="4"/>
        <v>16.186723412760738</v>
      </c>
      <c r="J65" s="25">
        <f t="shared" si="5"/>
        <v>3.7858900876361568E-2</v>
      </c>
      <c r="K65" s="25">
        <f t="shared" si="3"/>
        <v>0.31</v>
      </c>
    </row>
    <row r="66" spans="1:11" ht="15" customHeight="1" x14ac:dyDescent="0.25">
      <c r="A66" s="29">
        <v>0.32</v>
      </c>
      <c r="B66" s="30">
        <v>0.43130646666254246</v>
      </c>
      <c r="C66" s="30">
        <v>0.68207086532196659</v>
      </c>
      <c r="D66" s="31">
        <v>3.7289577178893669</v>
      </c>
      <c r="E66">
        <f t="shared" si="4"/>
        <v>15.944493689698994</v>
      </c>
      <c r="J66" s="25">
        <f t="shared" si="5"/>
        <v>3.1306466662542443E-2</v>
      </c>
      <c r="K66" s="25">
        <f t="shared" si="3"/>
        <v>0.32</v>
      </c>
    </row>
    <row r="67" spans="1:11" ht="15" customHeight="1" x14ac:dyDescent="0.25">
      <c r="A67" s="29">
        <v>0.33</v>
      </c>
      <c r="B67" s="30">
        <v>0.42501673927986727</v>
      </c>
      <c r="C67" s="30">
        <v>0.68713869132399574</v>
      </c>
      <c r="D67" s="31">
        <v>3.6745784556247987</v>
      </c>
      <c r="E67">
        <f t="shared" si="4"/>
        <v>15.711975686110941</v>
      </c>
      <c r="J67" s="25">
        <f t="shared" si="5"/>
        <v>2.5016739279867251E-2</v>
      </c>
      <c r="K67" s="25">
        <f t="shared" si="3"/>
        <v>0.33</v>
      </c>
    </row>
    <row r="68" spans="1:11" ht="15" customHeight="1" x14ac:dyDescent="0.25">
      <c r="A68" s="29">
        <v>0.34</v>
      </c>
      <c r="B68" s="30">
        <v>0.41897446778074526</v>
      </c>
      <c r="C68" s="30">
        <v>0.69191998936830301</v>
      </c>
      <c r="D68" s="31">
        <v>3.6223386292327158</v>
      </c>
      <c r="E68">
        <f t="shared" si="4"/>
        <v>15.488605606513742</v>
      </c>
      <c r="J68" s="25">
        <f t="shared" si="5"/>
        <v>1.8974467780745241E-2</v>
      </c>
      <c r="K68" s="25">
        <f t="shared" si="3"/>
        <v>0.34</v>
      </c>
    </row>
    <row r="69" spans="1:11" ht="15" customHeight="1" x14ac:dyDescent="0.25">
      <c r="A69" s="29">
        <v>0.35</v>
      </c>
      <c r="B69" s="30">
        <v>0.41316553464675532</v>
      </c>
      <c r="C69" s="30">
        <v>0.69643449187361295</v>
      </c>
      <c r="D69" s="31">
        <v>3.5721161825109902</v>
      </c>
      <c r="E69">
        <f t="shared" si="4"/>
        <v>15.273861555919078</v>
      </c>
      <c r="J69" s="25">
        <f t="shared" si="5"/>
        <v>1.3165534646755295E-2</v>
      </c>
      <c r="K69" s="25">
        <f t="shared" si="3"/>
        <v>0.35</v>
      </c>
    </row>
    <row r="70" spans="1:11" ht="15" customHeight="1" x14ac:dyDescent="0.25">
      <c r="A70" s="29">
        <v>0.36</v>
      </c>
      <c r="B70" s="30">
        <v>0.40757685370266106</v>
      </c>
      <c r="C70" s="30">
        <v>0.70070032506996671</v>
      </c>
      <c r="D70" s="31">
        <v>3.5237979759685256</v>
      </c>
      <c r="E70">
        <f t="shared" si="4"/>
        <v>15.06725976592883</v>
      </c>
      <c r="J70" s="25">
        <f t="shared" si="5"/>
        <v>7.576853702661035E-3</v>
      </c>
      <c r="K70" s="25">
        <f t="shared" si="3"/>
        <v>0.36</v>
      </c>
    </row>
    <row r="71" spans="1:11" ht="15" customHeight="1" x14ac:dyDescent="0.25">
      <c r="A71" s="29">
        <v>0.37</v>
      </c>
      <c r="B71" s="30">
        <v>0.40219627880642972</v>
      </c>
      <c r="C71" s="30">
        <v>0.70473415971899789</v>
      </c>
      <c r="D71" s="31">
        <v>3.4772789973841358</v>
      </c>
      <c r="E71">
        <f t="shared" si="4"/>
        <v>14.868351219196937</v>
      </c>
      <c r="J71" s="25">
        <f t="shared" si="5"/>
        <v>2.1962788064296968E-3</v>
      </c>
      <c r="K71" s="25">
        <f t="shared" si="3"/>
        <v>0.37</v>
      </c>
    </row>
    <row r="72" spans="1:11" ht="15" customHeight="1" x14ac:dyDescent="0.25">
      <c r="A72" s="29">
        <v>0.38</v>
      </c>
      <c r="B72" s="30">
        <v>0.39701252201407877</v>
      </c>
      <c r="C72" s="30">
        <v>0.70855134574633194</v>
      </c>
      <c r="D72" s="31">
        <v>3.4324616542822004</v>
      </c>
      <c r="E72">
        <f t="shared" si="4"/>
        <v>14.676718624155782</v>
      </c>
      <c r="J72" s="25">
        <f t="shared" si="5"/>
        <v>2.9874779859212497E-3</v>
      </c>
      <c r="K72" s="25">
        <f t="shared" si="3"/>
        <v>0.38</v>
      </c>
    </row>
    <row r="73" spans="1:11" ht="15" customHeight="1" x14ac:dyDescent="0.25">
      <c r="A73" s="29">
        <v>0.39</v>
      </c>
      <c r="B73" s="30">
        <v>0.3920150800945556</v>
      </c>
      <c r="C73" s="30">
        <v>0.71216603271964074</v>
      </c>
      <c r="D73" s="31">
        <v>3.3892551386004168</v>
      </c>
      <c r="E73">
        <f t="shared" si="4"/>
        <v>14.491973698425703</v>
      </c>
      <c r="J73" s="25">
        <f t="shared" si="5"/>
        <v>7.9849199054444209E-3</v>
      </c>
      <c r="K73" s="25">
        <f t="shared" si="3"/>
        <v>0.39</v>
      </c>
    </row>
    <row r="74" spans="1:11" ht="15" customHeight="1" x14ac:dyDescent="0.25">
      <c r="A74" s="29">
        <v>0.4</v>
      </c>
      <c r="B74" s="30">
        <v>0.38719416841978377</v>
      </c>
      <c r="C74" s="30">
        <v>0.71559127784690002</v>
      </c>
      <c r="D74" s="31">
        <v>3.3475748551212252</v>
      </c>
      <c r="E74">
        <f t="shared" si="4"/>
        <v>14.313754724868932</v>
      </c>
      <c r="J74" s="25">
        <f t="shared" si="5"/>
        <v>1.2805831580216254E-2</v>
      </c>
      <c r="K74" s="25">
        <f t="shared" si="3"/>
        <v>0.4</v>
      </c>
    </row>
    <row r="75" spans="1:11" ht="15" customHeight="1" x14ac:dyDescent="0.25">
      <c r="A75" s="29">
        <v>0.41</v>
      </c>
      <c r="B75" s="30">
        <v>0.3825406613828321</v>
      </c>
      <c r="C75" s="30">
        <v>0.71883914294866724</v>
      </c>
      <c r="D75" s="31">
        <v>3.307341906343598</v>
      </c>
      <c r="E75">
        <f t="shared" si="4"/>
        <v>14.141724348974526</v>
      </c>
      <c r="J75" s="25">
        <f t="shared" si="5"/>
        <v>1.7459338617167919E-2</v>
      </c>
      <c r="K75" s="25">
        <f t="shared" si="3"/>
        <v>0.41</v>
      </c>
    </row>
    <row r="76" spans="1:11" ht="15" customHeight="1" x14ac:dyDescent="0.25">
      <c r="A76" s="29">
        <v>0.42</v>
      </c>
      <c r="B76" s="30">
        <v>0.37804603860644587</v>
      </c>
      <c r="C76" s="30">
        <v>0.72192078166957041</v>
      </c>
      <c r="D76" s="31">
        <v>3.2684826274167182</v>
      </c>
      <c r="E76">
        <f t="shared" si="4"/>
        <v>13.975567590300795</v>
      </c>
      <c r="J76" s="25">
        <f t="shared" si="5"/>
        <v>2.1953961393554156E-2</v>
      </c>
      <c r="K76" s="25">
        <f t="shared" si="3"/>
        <v>0.42</v>
      </c>
    </row>
    <row r="77" spans="1:11" ht="15" customHeight="1" x14ac:dyDescent="0.25">
      <c r="A77" s="29">
        <v>0.43</v>
      </c>
      <c r="B77" s="30">
        <v>0.37370233629784722</v>
      </c>
      <c r="C77" s="30">
        <v>0.72484651803252975</v>
      </c>
      <c r="D77" s="31">
        <v>3.2309281655668896</v>
      </c>
      <c r="E77">
        <f t="shared" si="4"/>
        <v>13.81499004416451</v>
      </c>
      <c r="J77" s="25">
        <f t="shared" si="5"/>
        <v>2.6297663702152807E-2</v>
      </c>
      <c r="K77" s="25">
        <f t="shared" si="3"/>
        <v>0.43</v>
      </c>
    </row>
    <row r="78" spans="1:11" ht="15" customHeight="1" x14ac:dyDescent="0.25">
      <c r="A78" s="29">
        <v>0.44</v>
      </c>
      <c r="B78" s="30">
        <v>0.36950210318622317</v>
      </c>
      <c r="C78" s="30">
        <v>0.72762591730038206</v>
      </c>
      <c r="D78" s="31">
        <v>3.194614099145114</v>
      </c>
      <c r="E78">
        <f t="shared" si="4"/>
        <v>13.659716252742429</v>
      </c>
      <c r="J78" s="25">
        <f t="shared" si="5"/>
        <v>3.0497896813776848E-2</v>
      </c>
      <c r="K78" s="25">
        <f t="shared" si="3"/>
        <v>0.44</v>
      </c>
    </row>
    <row r="79" spans="1:11" ht="15" customHeight="1" x14ac:dyDescent="0.25">
      <c r="A79" s="29">
        <v>0.45</v>
      </c>
      <c r="B79" s="30">
        <v>0.36543836054868317</v>
      </c>
      <c r="C79" s="30">
        <v>0.73026784998995797</v>
      </c>
      <c r="D79" s="31">
        <v>3.1594800920224544</v>
      </c>
      <c r="E79">
        <f t="shared" si="4"/>
        <v>13.509488227314948</v>
      </c>
      <c r="J79" s="25">
        <f t="shared" si="5"/>
        <v>3.456163945131685E-2</v>
      </c>
      <c r="K79" s="25">
        <f t="shared" si="3"/>
        <v>0.45</v>
      </c>
    </row>
    <row r="80" spans="1:11" ht="15" customHeight="1" x14ac:dyDescent="0.25">
      <c r="A80" s="29">
        <v>0.46</v>
      </c>
      <c r="B80" s="30">
        <v>0.36150456589037933</v>
      </c>
      <c r="C80" s="30">
        <v>0.73278054978041451</v>
      </c>
      <c r="D80" s="31">
        <v>3.1254695795782919</v>
      </c>
      <c r="E80">
        <f t="shared" si="4"/>
        <v>13.364064105596476</v>
      </c>
      <c r="J80" s="25">
        <f t="shared" si="5"/>
        <v>3.8495434109620696E-2</v>
      </c>
      <c r="K80" s="25">
        <f t="shared" si="3"/>
        <v>0.46</v>
      </c>
    </row>
    <row r="81" spans="1:11" ht="15" customHeight="1" x14ac:dyDescent="0.25">
      <c r="A81" s="29">
        <v>0.47</v>
      </c>
      <c r="B81" s="30">
        <v>0.35769457989634645</v>
      </c>
      <c r="C81" s="30">
        <v>0.73517166596827765</v>
      </c>
      <c r="D81" s="31">
        <v>3.0925294829749754</v>
      </c>
      <c r="E81">
        <f t="shared" si="4"/>
        <v>13.223216930014413</v>
      </c>
      <c r="J81" s="25">
        <f t="shared" si="5"/>
        <v>4.2305420103653568E-2</v>
      </c>
      <c r="K81" s="25">
        <f t="shared" si="3"/>
        <v>0.47</v>
      </c>
    </row>
    <row r="82" spans="1:11" ht="15" customHeight="1" x14ac:dyDescent="0.25">
      <c r="A82" s="29">
        <v>0.48</v>
      </c>
      <c r="B82" s="30">
        <v>0.35400263631762141</v>
      </c>
      <c r="C82" s="30">
        <v>0.73744831104416164</v>
      </c>
      <c r="D82" s="31">
        <v>3.0606099488014471</v>
      </c>
      <c r="E82">
        <f t="shared" si="4"/>
        <v>13.08673353446226</v>
      </c>
      <c r="J82" s="25">
        <f t="shared" si="5"/>
        <v>4.5997363682378611E-2</v>
      </c>
      <c r="K82" s="25">
        <f t="shared" si="3"/>
        <v>0.48</v>
      </c>
    </row>
    <row r="83" spans="1:11" ht="15" customHeight="1" x14ac:dyDescent="0.25">
      <c r="A83" s="29">
        <v>0.49</v>
      </c>
      <c r="B83" s="30">
        <v>0.35042331449334041</v>
      </c>
      <c r="C83" s="30">
        <v>0.73961710389878788</v>
      </c>
      <c r="D83" s="31">
        <v>3.029664111506813</v>
      </c>
      <c r="E83">
        <f t="shared" si="4"/>
        <v>12.9544135284993</v>
      </c>
      <c r="J83" s="25">
        <f t="shared" si="5"/>
        <v>4.9576685506659612E-2</v>
      </c>
      <c r="K83" s="25">
        <f t="shared" si="3"/>
        <v>0.49</v>
      </c>
    </row>
    <row r="84" spans="1:11" ht="15" customHeight="1" x14ac:dyDescent="0.25">
      <c r="A84" s="29">
        <v>0.5</v>
      </c>
      <c r="B84" s="30">
        <v>0.34695151424461262</v>
      </c>
      <c r="C84" s="30">
        <v>0.7416842091072724</v>
      </c>
      <c r="D84" s="31">
        <v>2.9996478763396439</v>
      </c>
      <c r="E84">
        <f t="shared" si="4"/>
        <v>12.826068369229878</v>
      </c>
      <c r="J84" s="25">
        <f t="shared" si="5"/>
        <v>5.3048485755387398E-2</v>
      </c>
      <c r="K84" s="25">
        <f t="shared" si="3"/>
        <v>0.5</v>
      </c>
    </row>
    <row r="85" spans="1:11" ht="15" customHeight="1" x14ac:dyDescent="0.25">
      <c r="A85" s="29">
        <v>0.51</v>
      </c>
      <c r="B85" s="30">
        <v>0.34358243290575535</v>
      </c>
      <c r="C85" s="30">
        <v>0.74365537268946535</v>
      </c>
      <c r="D85" s="31">
        <v>2.9705197207663159</v>
      </c>
      <c r="E85">
        <f t="shared" si="4"/>
        <v>12.701520512196419</v>
      </c>
      <c r="J85" s="25">
        <f t="shared" si="5"/>
        <v>5.6417567094244669E-2</v>
      </c>
      <c r="K85" s="25">
        <f t="shared" si="3"/>
        <v>0.51</v>
      </c>
    </row>
    <row r="86" spans="1:11" ht="15" customHeight="1" x14ac:dyDescent="0.25">
      <c r="A86" s="29">
        <v>0.52</v>
      </c>
      <c r="B86" s="30">
        <v>0.34031154428453309</v>
      </c>
      <c r="C86" s="30">
        <v>0.74553595469935863</v>
      </c>
      <c r="D86" s="31">
        <v>2.9422405125669959</v>
      </c>
      <c r="E86">
        <f t="shared" si="4"/>
        <v>12.580602633583691</v>
      </c>
      <c r="J86" s="25">
        <f t="shared" si="5"/>
        <v>5.9688455715466937E-2</v>
      </c>
      <c r="K86" s="25">
        <f t="shared" si="3"/>
        <v>0.52</v>
      </c>
    </row>
    <row r="87" spans="1:11" ht="15" customHeight="1" x14ac:dyDescent="0.25">
      <c r="A87" s="29">
        <v>0.53</v>
      </c>
      <c r="B87" s="30">
        <v>0.33713457936589597</v>
      </c>
      <c r="C87" s="30">
        <v>0.74733095895737112</v>
      </c>
      <c r="D87" s="31">
        <v>2.9147733430054399</v>
      </c>
      <c r="E87">
        <f t="shared" si="4"/>
        <v>12.463156916876555</v>
      </c>
      <c r="J87" s="25">
        <f t="shared" si="5"/>
        <v>6.2865420634104052E-2</v>
      </c>
      <c r="K87" s="25">
        <f t="shared" si="3"/>
        <v>0.53</v>
      </c>
    </row>
    <row r="88" spans="1:11" ht="15" customHeight="1" x14ac:dyDescent="0.25">
      <c r="A88" s="29">
        <v>0.54</v>
      </c>
      <c r="B88" s="30">
        <v>0.3340475085937758</v>
      </c>
      <c r="C88" s="30">
        <v>0.74904506020489758</v>
      </c>
      <c r="D88" s="31">
        <v>2.8880833736422518</v>
      </c>
      <c r="E88">
        <f t="shared" si="4"/>
        <v>12.349034397855213</v>
      </c>
      <c r="J88" s="25">
        <f t="shared" si="5"/>
        <v>6.5952491406224223E-2</v>
      </c>
      <c r="K88" s="25">
        <f t="shared" si="3"/>
        <v>0.54</v>
      </c>
    </row>
    <row r="89" spans="1:11" ht="15" customHeight="1" x14ac:dyDescent="0.25">
      <c r="A89" s="29">
        <v>0.55000000000000004</v>
      </c>
      <c r="B89" s="30">
        <v>0.33104652558316783</v>
      </c>
      <c r="C89" s="30">
        <v>0.75068262893023951</v>
      </c>
      <c r="D89" s="31">
        <v>2.8621376955139963</v>
      </c>
      <c r="E89">
        <f t="shared" si="4"/>
        <v>12.238094362465086</v>
      </c>
      <c r="J89" s="25">
        <f t="shared" si="5"/>
        <v>6.8953474416832194E-2</v>
      </c>
      <c r="K89" s="25">
        <f t="shared" si="3"/>
        <v>0.55000000000000004</v>
      </c>
    </row>
    <row r="90" spans="1:11" ht="15" customHeight="1" x14ac:dyDescent="0.25">
      <c r="A90" s="29">
        <v>0.56000000000000005</v>
      </c>
      <c r="B90" s="30">
        <v>0.32812803213029046</v>
      </c>
      <c r="C90" s="30">
        <v>0.75224775408838829</v>
      </c>
      <c r="D90" s="31">
        <v>2.8369051995351415</v>
      </c>
      <c r="E90">
        <f t="shared" si="4"/>
        <v>12.130203792673932</v>
      </c>
      <c r="J90" s="25">
        <f t="shared" si="5"/>
        <v>7.1871967869709563E-2</v>
      </c>
      <c r="K90" s="25">
        <f t="shared" si="3"/>
        <v>0.56000000000000005</v>
      </c>
    </row>
    <row r="91" spans="1:11" ht="15" customHeight="1" x14ac:dyDescent="0.25">
      <c r="A91" s="29">
        <v>0.56999999999999995</v>
      </c>
      <c r="B91" s="30">
        <v>0.32528862440236567</v>
      </c>
      <c r="C91" s="30">
        <v>0.75374426391359517</v>
      </c>
      <c r="D91" s="31">
        <v>2.8123564570986779</v>
      </c>
      <c r="E91">
        <f t="shared" si="4"/>
        <v>12.02523685593704</v>
      </c>
      <c r="J91" s="25">
        <f t="shared" si="5"/>
        <v>7.4711375597634355E-2</v>
      </c>
      <c r="K91" s="25">
        <f t="shared" si="3"/>
        <v>0.56999999999999995</v>
      </c>
    </row>
    <row r="92" spans="1:11" ht="15" customHeight="1" x14ac:dyDescent="0.25">
      <c r="A92" s="29">
        <v>0.57999999999999996</v>
      </c>
      <c r="B92" s="30">
        <v>0.32252508020073262</v>
      </c>
      <c r="C92" s="30">
        <v>0.75517574500289719</v>
      </c>
      <c r="D92" s="31">
        <v>2.7884636099564837</v>
      </c>
      <c r="E92">
        <f t="shared" si="4"/>
        <v>11.923074434341311</v>
      </c>
      <c r="J92" s="25">
        <f t="shared" si="5"/>
        <v>7.7474919799267405E-2</v>
      </c>
      <c r="K92" s="25">
        <f t="shared" si="3"/>
        <v>0.57999999999999996</v>
      </c>
    </row>
    <row r="93" spans="1:11" ht="15" customHeight="1" x14ac:dyDescent="0.25">
      <c r="A93" s="29">
        <v>0.59</v>
      </c>
      <c r="B93" s="30">
        <v>0.31983434720177595</v>
      </c>
      <c r="C93" s="30">
        <v>0.75654555983034633</v>
      </c>
      <c r="D93" s="31">
        <v>2.7652002685536075</v>
      </c>
      <c r="E93">
        <f t="shared" si="4"/>
        <v>11.823603689897093</v>
      </c>
      <c r="J93" s="25">
        <f t="shared" si="5"/>
        <v>8.0165652798224074E-2</v>
      </c>
      <c r="K93" s="25">
        <f t="shared" si="3"/>
        <v>0.59</v>
      </c>
    </row>
    <row r="94" spans="1:11" ht="15" customHeight="1" x14ac:dyDescent="0.25">
      <c r="A94" s="29">
        <v>0.6</v>
      </c>
      <c r="B94" s="30">
        <v>0.31721353208972275</v>
      </c>
      <c r="C94" s="30">
        <v>0.75785686283539866</v>
      </c>
      <c r="D94" s="31">
        <v>2.7425414180734027</v>
      </c>
      <c r="E94">
        <f t="shared" si="4"/>
        <v>11.726717662800505</v>
      </c>
      <c r="J94" s="25">
        <f t="shared" si="5"/>
        <v>8.2786467910277273E-2</v>
      </c>
      <c r="K94" s="25">
        <f t="shared" si="3"/>
        <v>0.6</v>
      </c>
    </row>
    <row r="95" spans="1:11" ht="15" customHeight="1" x14ac:dyDescent="0.25">
      <c r="A95" s="29">
        <v>0.61</v>
      </c>
      <c r="B95" s="30">
        <v>0.31465989050385901</v>
      </c>
      <c r="C95" s="30">
        <v>0.75911261521442286</v>
      </c>
      <c r="D95" s="31">
        <v>2.7204633315239142</v>
      </c>
      <c r="E95">
        <f t="shared" si="4"/>
        <v>11.632314899803182</v>
      </c>
      <c r="J95" s="25">
        <f t="shared" si="5"/>
        <v>8.5340109496141014E-2</v>
      </c>
      <c r="K95" s="25">
        <f t="shared" si="3"/>
        <v>0.61</v>
      </c>
    </row>
    <row r="96" spans="1:11" ht="15" customHeight="1" x14ac:dyDescent="0.25">
      <c r="A96" s="29">
        <v>0.62</v>
      </c>
      <c r="B96" s="30">
        <v>0.31217081773028965</v>
      </c>
      <c r="C96" s="30">
        <v>0.76031559853142527</v>
      </c>
      <c r="D96" s="31">
        <v>2.6989434892613779</v>
      </c>
      <c r="E96">
        <f t="shared" si="4"/>
        <v>11.540299110106178</v>
      </c>
      <c r="J96" s="25">
        <f t="shared" si="5"/>
        <v>8.7829182269710371E-2</v>
      </c>
      <c r="K96" s="25">
        <f t="shared" si="3"/>
        <v>0.62</v>
      </c>
    </row>
    <row r="97" spans="1:11" ht="15" customHeight="1" x14ac:dyDescent="0.25">
      <c r="A97" s="29">
        <v>0.63</v>
      </c>
      <c r="B97" s="30">
        <v>0.30974384007510952</v>
      </c>
      <c r="C97" s="30">
        <v>0.76146842725260622</v>
      </c>
      <c r="D97" s="31">
        <v>2.6779605044050205</v>
      </c>
      <c r="E97">
        <f t="shared" si="4"/>
        <v>11.450578846444243</v>
      </c>
      <c r="J97" s="25">
        <f t="shared" si="5"/>
        <v>9.02561599248905E-2</v>
      </c>
      <c r="K97" s="25">
        <f t="shared" si="3"/>
        <v>0.63</v>
      </c>
    </row>
    <row r="98" spans="1:11" ht="15" customHeight="1" x14ac:dyDescent="0.25">
      <c r="A98" s="29">
        <v>0.64</v>
      </c>
      <c r="B98" s="30">
        <v>0.30737660686187879</v>
      </c>
      <c r="C98" s="30">
        <v>0.76257356029915857</v>
      </c>
      <c r="D98" s="31">
        <v>2.6574940536494207</v>
      </c>
      <c r="E98">
        <f t="shared" si="4"/>
        <v>11.363067209249305</v>
      </c>
      <c r="J98" s="25">
        <f t="shared" si="5"/>
        <v>9.2623393138121235E-2</v>
      </c>
      <c r="K98" s="25">
        <f t="shared" ref="K98:K161" si="6">A98</f>
        <v>0.64</v>
      </c>
    </row>
    <row r="99" spans="1:11" ht="15" customHeight="1" x14ac:dyDescent="0.25">
      <c r="A99" s="29">
        <v>0.65</v>
      </c>
      <c r="B99" s="30">
        <v>0.30506688300168544</v>
      </c>
      <c r="C99" s="30">
        <v>0.76363331170357773</v>
      </c>
      <c r="D99" s="31">
        <v>2.6375248130272997</v>
      </c>
      <c r="E99">
        <f t="shared" ref="E99:E162" si="7">D99*$E$15</f>
        <v>11.277681571981285</v>
      </c>
      <c r="J99" s="25">
        <f t="shared" ref="J99:J162" si="8">ABS(B99-$B$20/100)</f>
        <v>9.4933116998314582E-2</v>
      </c>
      <c r="K99" s="25">
        <f t="shared" si="6"/>
        <v>0.65</v>
      </c>
    </row>
    <row r="100" spans="1:11" ht="15" customHeight="1" x14ac:dyDescent="0.25">
      <c r="A100" s="29">
        <v>0.66</v>
      </c>
      <c r="B100" s="30">
        <v>0.3028125420888938</v>
      </c>
      <c r="C100" s="30">
        <v>0.76464986044659855</v>
      </c>
      <c r="D100" s="31">
        <v>2.6180343982172536</v>
      </c>
      <c r="E100">
        <f t="shared" si="7"/>
        <v>11.194343325892431</v>
      </c>
      <c r="J100" s="25">
        <f t="shared" si="8"/>
        <v>9.7187457911106223E-2</v>
      </c>
      <c r="K100" s="25">
        <f t="shared" si="6"/>
        <v>0.66</v>
      </c>
    </row>
    <row r="101" spans="1:11" ht="15" customHeight="1" x14ac:dyDescent="0.25">
      <c r="A101" s="29">
        <v>0.67</v>
      </c>
      <c r="B101" s="30">
        <v>0.30061155998000555</v>
      </c>
      <c r="C101" s="30">
        <v>0.76562525954456917</v>
      </c>
      <c r="D101" s="31">
        <v>2.5990053090283434</v>
      </c>
      <c r="E101">
        <f t="shared" si="7"/>
        <v>11.112977642651316</v>
      </c>
      <c r="J101" s="25">
        <f t="shared" si="8"/>
        <v>9.9388440019994473E-2</v>
      </c>
      <c r="K101" s="25">
        <f t="shared" si="6"/>
        <v>0.67</v>
      </c>
    </row>
    <row r="102" spans="1:11" ht="15" customHeight="1" x14ac:dyDescent="0.25">
      <c r="A102" s="29">
        <v>0.68</v>
      </c>
      <c r="B102" s="30">
        <v>0.29846200881694074</v>
      </c>
      <c r="C102" s="30">
        <v>0.76656144445053254</v>
      </c>
      <c r="D102" s="31">
        <v>2.5804208777270152</v>
      </c>
      <c r="E102">
        <f t="shared" si="7"/>
        <v>11.03351325339608</v>
      </c>
      <c r="J102" s="25">
        <f t="shared" si="8"/>
        <v>0.10153799118305928</v>
      </c>
      <c r="K102" s="25">
        <f t="shared" si="6"/>
        <v>0.68</v>
      </c>
    </row>
    <row r="103" spans="1:11" ht="15" customHeight="1" x14ac:dyDescent="0.25">
      <c r="A103" s="29">
        <v>0.69</v>
      </c>
      <c r="B103" s="30">
        <v>0.29636205145952904</v>
      </c>
      <c r="C103" s="30">
        <v>0.76746024082639364</v>
      </c>
      <c r="D103" s="31">
        <v>2.5622652209019448</v>
      </c>
      <c r="E103">
        <f t="shared" si="7"/>
        <v>10.955882242915349</v>
      </c>
      <c r="J103" s="25">
        <f t="shared" si="8"/>
        <v>0.10363794854047098</v>
      </c>
      <c r="K103" s="25">
        <f t="shared" si="6"/>
        <v>0.69</v>
      </c>
    </row>
    <row r="104" spans="1:11" ht="15" customHeight="1" x14ac:dyDescent="0.25">
      <c r="A104" s="29">
        <v>0.7</v>
      </c>
      <c r="B104" s="30">
        <v>0.29430993629514718</v>
      </c>
      <c r="C104" s="30">
        <v>0.76832337173830079</v>
      </c>
      <c r="D104" s="31">
        <v>2.5445231945895808</v>
      </c>
      <c r="E104">
        <f t="shared" si="7"/>
        <v>10.880019857771417</v>
      </c>
      <c r="J104" s="25">
        <f t="shared" si="8"/>
        <v>0.10569006370485284</v>
      </c>
      <c r="K104" s="25">
        <f t="shared" si="6"/>
        <v>0.7</v>
      </c>
    </row>
    <row r="105" spans="1:11" ht="15" customHeight="1" x14ac:dyDescent="0.25">
      <c r="A105" s="29">
        <v>0.71</v>
      </c>
      <c r="B105" s="30">
        <v>0.29230399239626115</v>
      </c>
      <c r="C105" s="30">
        <v>0.76915246432259821</v>
      </c>
      <c r="D105" s="31">
        <v>2.5271803524075813</v>
      </c>
      <c r="E105">
        <f t="shared" si="7"/>
        <v>10.805864327284777</v>
      </c>
      <c r="J105" s="25">
        <f t="shared" si="8"/>
        <v>0.10769600760373887</v>
      </c>
      <c r="K105" s="25">
        <f t="shared" si="6"/>
        <v>0.71</v>
      </c>
    </row>
    <row r="106" spans="1:11" ht="15" customHeight="1" x14ac:dyDescent="0.25">
      <c r="A106" s="29">
        <v>0.72</v>
      </c>
      <c r="B106" s="30">
        <v>0.29034262499918539</v>
      </c>
      <c r="C106" s="30">
        <v>0.76994905596544971</v>
      </c>
      <c r="D106" s="31">
        <v>2.5102229064654029</v>
      </c>
      <c r="E106">
        <f t="shared" si="7"/>
        <v>10.733356696393345</v>
      </c>
      <c r="J106" s="25">
        <f t="shared" si="8"/>
        <v>0.10965737500081463</v>
      </c>
      <c r="K106" s="25">
        <f t="shared" si="6"/>
        <v>0.72</v>
      </c>
    </row>
    <row r="107" spans="1:11" ht="15" customHeight="1" x14ac:dyDescent="0.25">
      <c r="A107" s="29">
        <v>0.73</v>
      </c>
      <c r="B107" s="30">
        <v>0.28842431127967433</v>
      </c>
      <c r="C107" s="30">
        <v>0.77071460003537207</v>
      </c>
      <c r="D107" s="31">
        <v>2.4936376908412172</v>
      </c>
      <c r="E107">
        <f t="shared" si="7"/>
        <v>10.662440669484946</v>
      </c>
      <c r="J107" s="25">
        <f t="shared" si="8"/>
        <v>0.11157568872032569</v>
      </c>
      <c r="K107" s="25">
        <f t="shared" si="6"/>
        <v>0.73</v>
      </c>
    </row>
    <row r="108" spans="1:11" ht="15" customHeight="1" x14ac:dyDescent="0.25">
      <c r="A108" s="29">
        <v>0.74</v>
      </c>
      <c r="B108" s="30">
        <v>0.28654759640304611</v>
      </c>
      <c r="C108" s="30">
        <v>0.77145047120445109</v>
      </c>
      <c r="D108" s="31">
        <v>2.4774121274323662</v>
      </c>
      <c r="E108">
        <f t="shared" si="7"/>
        <v>10.593062464378704</v>
      </c>
      <c r="J108" s="25">
        <f t="shared" si="8"/>
        <v>0.11345240359695391</v>
      </c>
      <c r="K108" s="25">
        <f t="shared" si="6"/>
        <v>0.74</v>
      </c>
    </row>
    <row r="109" spans="1:11" ht="15" customHeight="1" x14ac:dyDescent="0.25">
      <c r="A109" s="29">
        <v>0.75</v>
      </c>
      <c r="B109" s="30">
        <v>0.28471108982842003</v>
      </c>
      <c r="C109" s="30">
        <v>0.77215797039086076</v>
      </c>
      <c r="D109" s="31">
        <v>2.4615341940028062</v>
      </c>
      <c r="E109">
        <f t="shared" si="7"/>
        <v>10.525170675700451</v>
      </c>
      <c r="J109" s="25">
        <f t="shared" si="8"/>
        <v>0.11528891017157999</v>
      </c>
      <c r="K109" s="25">
        <f t="shared" si="6"/>
        <v>0.75</v>
      </c>
    </row>
    <row r="110" spans="1:11" ht="15" customHeight="1" x14ac:dyDescent="0.25">
      <c r="A110" s="29">
        <v>0.76</v>
      </c>
      <c r="B110" s="30">
        <v>0.28291346184836469</v>
      </c>
      <c r="C110" s="30">
        <v>0.77283832935248276</v>
      </c>
      <c r="D110" s="31">
        <v>2.4459923942658555</v>
      </c>
      <c r="E110">
        <f t="shared" si="7"/>
        <v>10.458716146960812</v>
      </c>
      <c r="J110" s="25">
        <f t="shared" si="8"/>
        <v>0.11708653815163533</v>
      </c>
      <c r="K110" s="25">
        <f t="shared" si="6"/>
        <v>0.76</v>
      </c>
    </row>
    <row r="111" spans="1:11" ht="15" customHeight="1" x14ac:dyDescent="0.25">
      <c r="A111" s="29">
        <v>0.77</v>
      </c>
      <c r="B111" s="30">
        <v>0.28115344034679329</v>
      </c>
      <c r="C111" s="30">
        <v>0.7734927149588372</v>
      </c>
      <c r="D111" s="31">
        <v>2.4307757298538402</v>
      </c>
      <c r="E111">
        <f t="shared" si="7"/>
        <v>10.393651850701382</v>
      </c>
      <c r="J111" s="25">
        <f t="shared" si="8"/>
        <v>0.11884655965320673</v>
      </c>
      <c r="K111" s="25">
        <f t="shared" si="6"/>
        <v>0.77</v>
      </c>
    </row>
    <row r="112" spans="1:11" ht="15" customHeight="1" x14ac:dyDescent="0.25">
      <c r="A112" s="29">
        <v>0.78</v>
      </c>
      <c r="B112" s="30">
        <v>0.27942980775936105</v>
      </c>
      <c r="C112" s="30">
        <v>0.77412223316622819</v>
      </c>
      <c r="D112" s="31">
        <v>2.4158736740385263</v>
      </c>
      <c r="E112">
        <f t="shared" si="7"/>
        <v>10.329932776127025</v>
      </c>
      <c r="J112" s="25">
        <f t="shared" si="8"/>
        <v>0.12057019224063897</v>
      </c>
      <c r="K112" s="25">
        <f t="shared" si="6"/>
        <v>0.78</v>
      </c>
    </row>
    <row r="113" spans="1:11" ht="15" customHeight="1" x14ac:dyDescent="0.25">
      <c r="A113" s="29">
        <v>0.79</v>
      </c>
      <c r="B113" s="30">
        <v>0.27774139822188915</v>
      </c>
      <c r="C113" s="30">
        <v>0.77472793271887741</v>
      </c>
      <c r="D113" s="31">
        <v>2.4012761470771697</v>
      </c>
      <c r="E113">
        <f t="shared" si="7"/>
        <v>10.267515823689093</v>
      </c>
      <c r="J113" s="25">
        <f t="shared" si="8"/>
        <v>0.12225860177811088</v>
      </c>
      <c r="K113" s="25">
        <f t="shared" si="6"/>
        <v>0.79</v>
      </c>
    </row>
    <row r="114" spans="1:11" ht="15" customHeight="1" x14ac:dyDescent="0.25">
      <c r="A114" s="29">
        <v>0.8</v>
      </c>
      <c r="B114" s="30">
        <v>0.27608709489350897</v>
      </c>
      <c r="C114" s="30">
        <v>0.77531080859692181</v>
      </c>
      <c r="D114" s="31">
        <v>2.3869734930691555</v>
      </c>
      <c r="E114">
        <f t="shared" si="7"/>
        <v>10.206359706127694</v>
      </c>
      <c r="J114" s="25">
        <f t="shared" si="8"/>
        <v>0.12391290510649106</v>
      </c>
      <c r="K114" s="25">
        <f t="shared" si="6"/>
        <v>0.8</v>
      </c>
    </row>
    <row r="115" spans="1:11" ht="15" customHeight="1" x14ac:dyDescent="0.25">
      <c r="A115" s="29">
        <v>0.81</v>
      </c>
      <c r="B115" s="30">
        <v>0.27446582744227782</v>
      </c>
      <c r="C115" s="30">
        <v>0.77587180523039656</v>
      </c>
      <c r="D115" s="31">
        <v>2.3729564582173195</v>
      </c>
      <c r="E115">
        <f t="shared" si="7"/>
        <v>10.146424855520193</v>
      </c>
      <c r="J115" s="25">
        <f t="shared" si="8"/>
        <v>0.1255341725577222</v>
      </c>
      <c r="K115" s="25">
        <f t="shared" si="6"/>
        <v>0.81</v>
      </c>
    </row>
    <row r="116" spans="1:11" ht="15" customHeight="1" x14ac:dyDescent="0.25">
      <c r="A116" s="29">
        <v>0.82</v>
      </c>
      <c r="B116" s="30">
        <v>0.2728765696819842</v>
      </c>
      <c r="C116" s="30">
        <v>0.77641181949675209</v>
      </c>
      <c r="D116" s="31">
        <v>2.3592161703964107</v>
      </c>
      <c r="E116">
        <f t="shared" si="7"/>
        <v>10.087673335918858</v>
      </c>
      <c r="J116" s="25">
        <f t="shared" si="8"/>
        <v>0.12712343031801582</v>
      </c>
      <c r="K116" s="25">
        <f t="shared" si="6"/>
        <v>0.82</v>
      </c>
    </row>
    <row r="117" spans="1:11" ht="15" customHeight="1" x14ac:dyDescent="0.25">
      <c r="A117" s="29">
        <v>0.83</v>
      </c>
      <c r="B117" s="30">
        <v>0.27131833734974026</v>
      </c>
      <c r="C117" s="30">
        <v>0.77693170351801288</v>
      </c>
      <c r="D117" s="31">
        <v>2.3457441199387672</v>
      </c>
      <c r="E117">
        <f t="shared" si="7"/>
        <v>10.030068761193139</v>
      </c>
      <c r="J117" s="25">
        <f t="shared" si="8"/>
        <v>0.12868166265025976</v>
      </c>
      <c r="K117" s="25">
        <f t="shared" si="6"/>
        <v>0.83</v>
      </c>
    </row>
    <row r="118" spans="1:11" ht="15" customHeight="1" x14ac:dyDescent="0.25">
      <c r="A118" s="29">
        <v>0.84</v>
      </c>
      <c r="B118" s="30">
        <v>0.26979018601476712</v>
      </c>
      <c r="C118" s="30">
        <v>0.7774322672723738</v>
      </c>
      <c r="D118" s="31">
        <v>2.332532141554243</v>
      </c>
      <c r="E118">
        <f t="shared" si="7"/>
        <v>9.9735762177218437</v>
      </c>
      <c r="J118" s="25">
        <f t="shared" si="8"/>
        <v>0.1302098139852329</v>
      </c>
      <c r="K118" s="25">
        <f t="shared" si="6"/>
        <v>0.84</v>
      </c>
    </row>
    <row r="119" spans="1:11" ht="15" customHeight="1" x14ac:dyDescent="0.25">
      <c r="A119" s="29">
        <v>0.85</v>
      </c>
      <c r="B119" s="30">
        <v>0.26829120910951293</v>
      </c>
      <c r="C119" s="30">
        <v>0.77791428103382987</v>
      </c>
      <c r="D119" s="31">
        <v>2.3195723973077951</v>
      </c>
      <c r="E119">
        <f t="shared" si="7"/>
        <v>9.9181621916077152</v>
      </c>
      <c r="J119" s="25">
        <f t="shared" si="8"/>
        <v>0.13170879089048709</v>
      </c>
      <c r="K119" s="25">
        <f t="shared" si="6"/>
        <v>0.85</v>
      </c>
    </row>
    <row r="120" spans="1:11" ht="15" customHeight="1" x14ac:dyDescent="0.25">
      <c r="A120" s="29">
        <v>0.86</v>
      </c>
      <c r="B120" s="30">
        <v>0.26682053607491374</v>
      </c>
      <c r="C120" s="30">
        <v>0.77837847765236123</v>
      </c>
      <c r="D120" s="31">
        <v>2.3068573605839169</v>
      </c>
      <c r="E120">
        <f t="shared" si="7"/>
        <v>9.8637945001116272</v>
      </c>
      <c r="J120" s="25">
        <f t="shared" si="8"/>
        <v>0.13317946392508628</v>
      </c>
      <c r="K120" s="25">
        <f t="shared" si="6"/>
        <v>0.86</v>
      </c>
    </row>
    <row r="121" spans="1:11" ht="15" customHeight="1" x14ac:dyDescent="0.25">
      <c r="A121" s="29">
        <v>0.87</v>
      </c>
      <c r="B121" s="30">
        <v>0.26537733061222968</v>
      </c>
      <c r="C121" s="30">
        <v>0.77882555468617642</v>
      </c>
      <c r="D121" s="31">
        <v>2.2943798009724898</v>
      </c>
      <c r="E121">
        <f t="shared" si="7"/>
        <v>9.8104422270266287</v>
      </c>
      <c r="J121" s="25">
        <f t="shared" si="8"/>
        <v>0.13462266938777034</v>
      </c>
      <c r="K121" s="25">
        <f t="shared" si="6"/>
        <v>0.87</v>
      </c>
    </row>
    <row r="122" spans="1:11" ht="15" customHeight="1" x14ac:dyDescent="0.25">
      <c r="A122" s="29">
        <v>0.88</v>
      </c>
      <c r="B122" s="30">
        <v>0.26396078903444975</v>
      </c>
      <c r="C122" s="30">
        <v>0.77925617639663602</v>
      </c>
      <c r="D122" s="31">
        <v>2.2821327700154828</v>
      </c>
      <c r="E122">
        <f t="shared" si="7"/>
        <v>9.7580756617328621</v>
      </c>
      <c r="J122" s="25">
        <f t="shared" si="8"/>
        <v>0.13603921096555027</v>
      </c>
      <c r="K122" s="25">
        <f t="shared" si="6"/>
        <v>0.88</v>
      </c>
    </row>
    <row r="123" spans="1:11" ht="15" customHeight="1" x14ac:dyDescent="0.25">
      <c r="A123" s="29">
        <v>0.89</v>
      </c>
      <c r="B123" s="30">
        <v>0.2625701387107745</v>
      </c>
      <c r="C123" s="30">
        <v>0.77967097561561727</v>
      </c>
      <c r="D123" s="31">
        <v>2.2701095877583719</v>
      </c>
      <c r="E123">
        <f t="shared" si="7"/>
        <v>9.7066662416933376</v>
      </c>
      <c r="J123" s="25">
        <f t="shared" si="8"/>
        <v>0.13742986128922552</v>
      </c>
      <c r="K123" s="25">
        <f t="shared" si="6"/>
        <v>0.89</v>
      </c>
    </row>
    <row r="124" spans="1:11" ht="15" customHeight="1" x14ac:dyDescent="0.25">
      <c r="A124" s="29">
        <v>0.9</v>
      </c>
      <c r="B124" s="30">
        <v>0.26120463659816789</v>
      </c>
      <c r="C124" s="30">
        <v>0.78007055549435156</v>
      </c>
      <c r="D124" s="31">
        <v>2.2583038300543432</v>
      </c>
      <c r="E124">
        <f t="shared" si="7"/>
        <v>9.6561864981685055</v>
      </c>
      <c r="J124" s="25">
        <f t="shared" si="8"/>
        <v>0.13879536340183213</v>
      </c>
      <c r="K124" s="25">
        <f t="shared" si="6"/>
        <v>0.9</v>
      </c>
    </row>
    <row r="125" spans="1:11" ht="15" customHeight="1" x14ac:dyDescent="0.25">
      <c r="A125" s="29">
        <v>0.91</v>
      </c>
      <c r="B125" s="30">
        <v>0.25986356785439996</v>
      </c>
      <c r="C125" s="30">
        <v>0.78045549114204249</v>
      </c>
      <c r="D125" s="31">
        <v>2.2467093165730367</v>
      </c>
      <c r="E125">
        <f t="shared" si="7"/>
        <v>9.6066100049433523</v>
      </c>
      <c r="J125" s="25">
        <f t="shared" si="8"/>
        <v>0.14013643214560007</v>
      </c>
      <c r="K125" s="25">
        <f t="shared" si="6"/>
        <v>0.91</v>
      </c>
    </row>
    <row r="126" spans="1:11" ht="15" customHeight="1" x14ac:dyDescent="0.25">
      <c r="A126" s="29">
        <v>0.92</v>
      </c>
      <c r="B126" s="30">
        <v>0.25854624452740771</v>
      </c>
      <c r="C126" s="30">
        <v>0.7808263311619531</v>
      </c>
      <c r="D126" s="31">
        <v>2.2353200994691185</v>
      </c>
      <c r="E126">
        <f t="shared" si="7"/>
        <v>9.5579113298758269</v>
      </c>
      <c r="J126" s="25">
        <f t="shared" si="8"/>
        <v>0.14145375547259231</v>
      </c>
      <c r="K126" s="25">
        <f t="shared" si="6"/>
        <v>0.92</v>
      </c>
    </row>
    <row r="127" spans="1:11" ht="15" customHeight="1" x14ac:dyDescent="0.25">
      <c r="A127" s="29">
        <v>0.93</v>
      </c>
      <c r="B127" s="30">
        <v>0.25725200431616851</v>
      </c>
      <c r="C127" s="30">
        <v>0.78118359909206103</v>
      </c>
      <c r="D127" s="31">
        <v>2.2241304526691339</v>
      </c>
      <c r="E127">
        <f t="shared" si="7"/>
        <v>9.5100659890889379</v>
      </c>
      <c r="J127" s="25">
        <f t="shared" si="8"/>
        <v>0.14274799568383151</v>
      </c>
      <c r="K127" s="25">
        <f t="shared" si="6"/>
        <v>0.93</v>
      </c>
    </row>
    <row r="128" spans="1:11" ht="15" customHeight="1" x14ac:dyDescent="0.25">
      <c r="A128" s="29">
        <v>0.94</v>
      </c>
      <c r="B128" s="30">
        <v>0.25598020939862121</v>
      </c>
      <c r="C128" s="30">
        <v>0.78152779475683642</v>
      </c>
      <c r="D128" s="31">
        <v>2.2131348617380318</v>
      </c>
      <c r="E128">
        <f t="shared" si="7"/>
        <v>9.4630504036414571</v>
      </c>
      <c r="J128" s="25">
        <f t="shared" si="8"/>
        <v>0.14401979060137882</v>
      </c>
      <c r="K128" s="25">
        <f t="shared" si="6"/>
        <v>0.94</v>
      </c>
    </row>
    <row r="129" spans="1:11" ht="15" customHeight="1" x14ac:dyDescent="0.25">
      <c r="A129" s="29">
        <v>0.95</v>
      </c>
      <c r="B129" s="30">
        <v>0.25473024532248623</v>
      </c>
      <c r="C129" s="30">
        <v>0.78185939553621842</v>
      </c>
      <c r="D129" s="31">
        <v>2.2023280142894985</v>
      </c>
      <c r="E129">
        <f t="shared" si="7"/>
        <v>9.4168418585238669</v>
      </c>
      <c r="J129" s="25">
        <f t="shared" si="8"/>
        <v>0.1452697546775138</v>
      </c>
      <c r="K129" s="25">
        <f t="shared" si="6"/>
        <v>0.95</v>
      </c>
    </row>
    <row r="130" spans="1:11" ht="15" customHeight="1" x14ac:dyDescent="0.25">
      <c r="A130" s="29">
        <v>0.96</v>
      </c>
      <c r="B130" s="30">
        <v>0.25350151995511894</v>
      </c>
      <c r="C130" s="30">
        <v>0.7821788575574028</v>
      </c>
      <c r="D130" s="31">
        <v>2.1917047909066789</v>
      </c>
      <c r="E130">
        <f t="shared" si="7"/>
        <v>9.3714184638366511</v>
      </c>
      <c r="J130" s="25">
        <f t="shared" si="8"/>
        <v>0.14649848004488109</v>
      </c>
      <c r="K130" s="25">
        <f t="shared" si="6"/>
        <v>0.96</v>
      </c>
    </row>
    <row r="131" spans="1:11" ht="15" customHeight="1" x14ac:dyDescent="0.25">
      <c r="A131" s="29">
        <v>0.97</v>
      </c>
      <c r="B131" s="30">
        <v>0.2522934624888033</v>
      </c>
      <c r="C131" s="30">
        <v>0.78248661681464127</v>
      </c>
      <c r="D131" s="31">
        <v>2.1812602565422172</v>
      </c>
      <c r="E131">
        <f t="shared" si="7"/>
        <v>9.3267591180180922</v>
      </c>
      <c r="J131" s="25">
        <f t="shared" si="8"/>
        <v>0.14770653751119672</v>
      </c>
      <c r="K131" s="25">
        <f t="shared" si="6"/>
        <v>0.97</v>
      </c>
    </row>
    <row r="132" spans="1:11" ht="15" customHeight="1" x14ac:dyDescent="0.25">
      <c r="A132" s="29">
        <v>0.98</v>
      </c>
      <c r="B132" s="30">
        <v>0.25110552249813722</v>
      </c>
      <c r="C132" s="30">
        <v>0.78278309022187265</v>
      </c>
      <c r="D132" s="31">
        <v>2.1709896523686663</v>
      </c>
      <c r="E132">
        <f t="shared" si="7"/>
        <v>9.2828434729977811</v>
      </c>
      <c r="J132" s="25">
        <f t="shared" si="8"/>
        <v>0.1488944775018628</v>
      </c>
      <c r="K132" s="25">
        <f t="shared" si="6"/>
        <v>0.98</v>
      </c>
    </row>
    <row r="133" spans="1:11" ht="15" customHeight="1" x14ac:dyDescent="0.25">
      <c r="A133" s="29">
        <v>0.99</v>
      </c>
      <c r="B133" s="30">
        <v>0.24993716904638399</v>
      </c>
      <c r="C133" s="30">
        <v>0.78306867660264945</v>
      </c>
      <c r="D133" s="31">
        <v>2.1608883880522503</v>
      </c>
      <c r="E133">
        <f t="shared" si="7"/>
        <v>9.23965190116032</v>
      </c>
      <c r="J133" s="25">
        <f t="shared" si="8"/>
        <v>0.15006283095361603</v>
      </c>
      <c r="K133" s="25">
        <f t="shared" si="6"/>
        <v>0.99</v>
      </c>
    </row>
    <row r="134" spans="1:11" ht="15" customHeight="1" x14ac:dyDescent="0.25">
      <c r="A134" s="29">
        <v>1</v>
      </c>
      <c r="B134" s="30">
        <v>0.24878788983788414</v>
      </c>
      <c r="C134" s="30">
        <v>0.78334375762150366</v>
      </c>
      <c r="D134" s="31">
        <v>2.1509520344248458</v>
      </c>
      <c r="E134">
        <f t="shared" si="7"/>
        <v>9.1971654640117535</v>
      </c>
      <c r="J134" s="25">
        <f t="shared" si="8"/>
        <v>0.15121211016211589</v>
      </c>
      <c r="K134" s="25">
        <f t="shared" si="6"/>
        <v>1</v>
      </c>
    </row>
    <row r="135" spans="1:11" ht="15" customHeight="1" x14ac:dyDescent="0.25">
      <c r="A135" s="29">
        <v>1.01</v>
      </c>
      <c r="B135" s="30">
        <v>0.24765719041380529</v>
      </c>
      <c r="C135" s="30">
        <v>0.78360869866059335</v>
      </c>
      <c r="D135" s="31">
        <v>2.1411763165306583</v>
      </c>
      <c r="E135">
        <f t="shared" si="7"/>
        <v>9.1553658824481481</v>
      </c>
      <c r="J135" s="25">
        <f t="shared" si="8"/>
        <v>0.15234280958619473</v>
      </c>
      <c r="K135" s="25">
        <f t="shared" si="6"/>
        <v>1.01</v>
      </c>
    </row>
    <row r="136" spans="1:11" ht="15" customHeight="1" x14ac:dyDescent="0.25">
      <c r="A136" s="29">
        <v>1.02</v>
      </c>
      <c r="B136" s="30">
        <v>0.24654459338869789</v>
      </c>
      <c r="C136" s="30">
        <v>0.78386384964519984</v>
      </c>
      <c r="D136" s="31">
        <v>2.1315571070256891</v>
      </c>
      <c r="E136">
        <f t="shared" si="7"/>
        <v>9.1142355085326496</v>
      </c>
      <c r="J136" s="25">
        <f t="shared" si="8"/>
        <v>0.15345540661130214</v>
      </c>
      <c r="K136" s="25">
        <f t="shared" si="6"/>
        <v>1.02</v>
      </c>
    </row>
    <row r="137" spans="1:11" ht="15" customHeight="1" x14ac:dyDescent="0.25">
      <c r="A137" s="29">
        <v>1.03</v>
      </c>
      <c r="B137" s="30">
        <v>0.24544963772548459</v>
      </c>
      <c r="C137" s="30">
        <v>0.78410954582138837</v>
      </c>
      <c r="D137" s="31">
        <v>2.1220904199094939</v>
      </c>
      <c r="E137">
        <f t="shared" si="7"/>
        <v>9.0737572986933692</v>
      </c>
      <c r="J137" s="25">
        <f t="shared" si="8"/>
        <v>0.15455036227451543</v>
      </c>
      <c r="K137" s="25">
        <f t="shared" si="6"/>
        <v>1.03</v>
      </c>
    </row>
    <row r="138" spans="1:11" ht="15" customHeight="1" x14ac:dyDescent="0.25">
      <c r="A138" s="29">
        <v>1.04</v>
      </c>
      <c r="B138" s="30">
        <v>0.24437187804666854</v>
      </c>
      <c r="C138" s="30">
        <v>0.7843461084889104</v>
      </c>
      <c r="D138" s="31">
        <v>2.1127724045700775</v>
      </c>
      <c r="E138">
        <f t="shared" si="7"/>
        <v>9.0339147882602031</v>
      </c>
      <c r="J138" s="25">
        <f t="shared" si="8"/>
        <v>0.15562812195333148</v>
      </c>
      <c r="K138" s="25">
        <f t="shared" si="6"/>
        <v>1.04</v>
      </c>
    </row>
    <row r="139" spans="1:11" ht="15" customHeight="1" x14ac:dyDescent="0.25">
      <c r="A139" s="29">
        <v>1.05</v>
      </c>
      <c r="B139" s="30">
        <v>0.243310883979691</v>
      </c>
      <c r="C139" s="30">
        <v>0.78457384569221311</v>
      </c>
      <c r="D139" s="31">
        <v>2.1035993401240343</v>
      </c>
      <c r="E139">
        <f t="shared" si="7"/>
        <v>8.994692067264074</v>
      </c>
      <c r="J139" s="25">
        <f t="shared" si="8"/>
        <v>0.15668911602030902</v>
      </c>
      <c r="K139" s="25">
        <f t="shared" si="6"/>
        <v>1.05</v>
      </c>
    </row>
    <row r="140" spans="1:11" ht="15" customHeight="1" x14ac:dyDescent="0.25">
      <c r="A140" s="29">
        <v>1.06</v>
      </c>
      <c r="B140" s="30">
        <v>0.24226623953449766</v>
      </c>
      <c r="C140" s="30">
        <v>0.78479305287221657</v>
      </c>
      <c r="D140" s="31">
        <v>2.0945676300351574</v>
      </c>
      <c r="E140">
        <f t="shared" si="7"/>
        <v>8.9560737574268696</v>
      </c>
      <c r="J140" s="25">
        <f t="shared" si="8"/>
        <v>0.15773376046550236</v>
      </c>
      <c r="K140" s="25">
        <f t="shared" si="6"/>
        <v>1.06</v>
      </c>
    </row>
    <row r="141" spans="1:11" ht="15" customHeight="1" x14ac:dyDescent="0.25">
      <c r="A141" s="29">
        <v>1.07</v>
      </c>
      <c r="B141" s="30">
        <v>0.24123754251150048</v>
      </c>
      <c r="C141" s="30">
        <v>0.78500401348133952</v>
      </c>
      <c r="D141" s="31">
        <v>2.0856737969958385</v>
      </c>
      <c r="E141">
        <f t="shared" si="7"/>
        <v>8.9180449902750336</v>
      </c>
      <c r="J141" s="25">
        <f t="shared" si="8"/>
        <v>0.15876245748849954</v>
      </c>
      <c r="K141" s="25">
        <f t="shared" si="6"/>
        <v>1.07</v>
      </c>
    </row>
    <row r="142" spans="1:11" ht="15" customHeight="1" x14ac:dyDescent="0.25">
      <c r="A142" s="29">
        <v>1.08</v>
      </c>
      <c r="B142" s="30">
        <v>0.24022440393823571</v>
      </c>
      <c r="C142" s="30">
        <v>0.78520699956407713</v>
      </c>
      <c r="D142" s="31">
        <v>2.076914478056568</v>
      </c>
      <c r="E142">
        <f t="shared" si="7"/>
        <v>8.880591386314002</v>
      </c>
      <c r="J142" s="25">
        <f t="shared" si="8"/>
        <v>0.15977559606176431</v>
      </c>
      <c r="K142" s="25">
        <f t="shared" si="6"/>
        <v>1.08</v>
      </c>
    </row>
    <row r="143" spans="1:11" ht="15" customHeight="1" x14ac:dyDescent="0.25">
      <c r="A143" s="29">
        <v>1.0900000000000001</v>
      </c>
      <c r="B143" s="30">
        <v>0.23922644753312411</v>
      </c>
      <c r="C143" s="30">
        <v>0.78540227230528181</v>
      </c>
      <c r="D143" s="31">
        <v>2.068286419989751</v>
      </c>
      <c r="E143">
        <f t="shared" si="7"/>
        <v>8.843699035204537</v>
      </c>
      <c r="J143" s="25">
        <f t="shared" si="8"/>
        <v>0.16077355246687591</v>
      </c>
      <c r="K143" s="25">
        <f t="shared" si="6"/>
        <v>1.0900000000000001</v>
      </c>
    </row>
    <row r="144" spans="1:11" ht="15" customHeight="1" x14ac:dyDescent="0.25">
      <c r="A144" s="29">
        <v>1.1000000000000001</v>
      </c>
      <c r="B144" s="30">
        <v>0.2382433091948403</v>
      </c>
      <c r="C144" s="30">
        <v>0.78559008254815044</v>
      </c>
      <c r="D144" s="31">
        <v>2.0597864748749362</v>
      </c>
      <c r="E144">
        <f t="shared" si="7"/>
        <v>8.807354476885795</v>
      </c>
      <c r="J144" s="25">
        <f t="shared" si="8"/>
        <v>0.16175669080515973</v>
      </c>
      <c r="K144" s="25">
        <f t="shared" si="6"/>
        <v>1.1000000000000001</v>
      </c>
    </row>
    <row r="145" spans="1:11" ht="15" customHeight="1" x14ac:dyDescent="0.25">
      <c r="A145" s="29">
        <v>1.1100000000000001</v>
      </c>
      <c r="B145" s="30">
        <v>0.23727463651589242</v>
      </c>
      <c r="C145" s="30">
        <v>0.78577067128378231</v>
      </c>
      <c r="D145" s="31">
        <v>2.0514115958933572</v>
      </c>
      <c r="E145">
        <f t="shared" si="7"/>
        <v>8.7715446835933797</v>
      </c>
      <c r="J145" s="25">
        <f t="shared" si="8"/>
        <v>0.1627253634841076</v>
      </c>
      <c r="K145" s="25">
        <f t="shared" si="6"/>
        <v>1.1100000000000001</v>
      </c>
    </row>
    <row r="146" spans="1:11" ht="15" customHeight="1" x14ac:dyDescent="0.25">
      <c r="A146" s="29">
        <v>1.1200000000000001</v>
      </c>
      <c r="B146" s="30">
        <v>0.23632008831909385</v>
      </c>
      <c r="C146" s="30">
        <v>0.78594427011404733</v>
      </c>
      <c r="D146" s="31">
        <v>2.0431588333203945</v>
      </c>
      <c r="E146">
        <f t="shared" si="7"/>
        <v>8.7362570427236754</v>
      </c>
      <c r="J146" s="25">
        <f t="shared" si="8"/>
        <v>0.16367991168090618</v>
      </c>
      <c r="K146" s="25">
        <f t="shared" si="6"/>
        <v>1.1200000000000001</v>
      </c>
    </row>
    <row r="147" spans="1:11" ht="15" customHeight="1" x14ac:dyDescent="0.25">
      <c r="A147" s="29">
        <v>1.1299999999999999</v>
      </c>
      <c r="B147" s="30">
        <v>0.23537933421569526</v>
      </c>
      <c r="C147" s="30">
        <v>0.78611110168939635</v>
      </c>
      <c r="D147" s="31">
        <v>2.0350253307053063</v>
      </c>
      <c r="E147">
        <f t="shared" si="7"/>
        <v>8.7014793404989312</v>
      </c>
      <c r="J147" s="25">
        <f t="shared" si="8"/>
        <v>0.16462066578430476</v>
      </c>
      <c r="K147" s="25">
        <f t="shared" si="6"/>
        <v>1.1299999999999999</v>
      </c>
    </row>
    <row r="148" spans="1:11" ht="15" customHeight="1" x14ac:dyDescent="0.25">
      <c r="A148" s="29">
        <v>1.1399999999999999</v>
      </c>
      <c r="B148" s="30">
        <v>0.23445205418401688</v>
      </c>
      <c r="C148" s="30">
        <v>0.78627138012311693</v>
      </c>
      <c r="D148" s="31">
        <v>2.0270083212281977</v>
      </c>
      <c r="E148">
        <f t="shared" si="7"/>
        <v>8.6671997463901604</v>
      </c>
      <c r="J148" s="25">
        <f t="shared" si="8"/>
        <v>0.16554794581598314</v>
      </c>
      <c r="K148" s="25">
        <f t="shared" si="6"/>
        <v>1.1399999999999999</v>
      </c>
    </row>
    <row r="149" spans="1:11" ht="15" customHeight="1" x14ac:dyDescent="0.25">
      <c r="A149" s="29">
        <v>1.1499999999999999</v>
      </c>
      <c r="B149" s="30">
        <v>0.23353793816749024</v>
      </c>
      <c r="C149" s="30">
        <v>0.78642531138346472</v>
      </c>
      <c r="D149" s="31">
        <v>2.0191051242248004</v>
      </c>
      <c r="E149">
        <f t="shared" si="7"/>
        <v>8.6334067982576066</v>
      </c>
      <c r="J149" s="25">
        <f t="shared" si="8"/>
        <v>0.16646206183250978</v>
      </c>
      <c r="K149" s="25">
        <f t="shared" si="6"/>
        <v>1.1499999999999999</v>
      </c>
    </row>
    <row r="150" spans="1:11" ht="15" customHeight="1" x14ac:dyDescent="0.25">
      <c r="A150" s="29">
        <v>1.1599999999999999</v>
      </c>
      <c r="B150" s="30">
        <v>0.23263668569108592</v>
      </c>
      <c r="C150" s="30">
        <v>0.78657309366497985</v>
      </c>
      <c r="D150" s="31">
        <v>2.011313141870211</v>
      </c>
      <c r="E150">
        <f t="shared" si="7"/>
        <v>8.6000893881708773</v>
      </c>
      <c r="J150" s="25">
        <f t="shared" si="8"/>
        <v>0.1673633143089141</v>
      </c>
      <c r="K150" s="25">
        <f t="shared" si="6"/>
        <v>1.1599999999999999</v>
      </c>
    </row>
    <row r="151" spans="1:11" ht="15" customHeight="1" x14ac:dyDescent="0.25">
      <c r="A151" s="29">
        <v>1.17</v>
      </c>
      <c r="B151" s="30">
        <v>0.23174800549516245</v>
      </c>
      <c r="C151" s="30">
        <v>0.78671491774023528</v>
      </c>
      <c r="D151" s="31">
        <v>2.0036298560132497</v>
      </c>
      <c r="E151">
        <f t="shared" si="7"/>
        <v>8.5672367488731034</v>
      </c>
      <c r="J151" s="25">
        <f t="shared" si="8"/>
        <v>0.16825199450483758</v>
      </c>
      <c r="K151" s="25">
        <f t="shared" si="6"/>
        <v>1.17</v>
      </c>
    </row>
    <row r="152" spans="1:11" ht="15" customHeight="1" x14ac:dyDescent="0.25">
      <c r="A152" s="29">
        <v>1.18</v>
      </c>
      <c r="B152" s="30">
        <v>0.23087161518582994</v>
      </c>
      <c r="C152" s="30">
        <v>0.78685096729316295</v>
      </c>
      <c r="D152" s="31">
        <v>1.9960528251535992</v>
      </c>
      <c r="E152">
        <f t="shared" si="7"/>
        <v>8.5348384408556193</v>
      </c>
      <c r="J152" s="25">
        <f t="shared" si="8"/>
        <v>0.16912838481417009</v>
      </c>
      <c r="K152" s="25">
        <f t="shared" si="6"/>
        <v>1.18</v>
      </c>
    </row>
    <row r="153" spans="1:11" ht="15" customHeight="1" x14ac:dyDescent="0.25">
      <c r="A153" s="29">
        <v>1.19</v>
      </c>
      <c r="B153" s="30">
        <v>0.23000724090097513</v>
      </c>
      <c r="C153" s="30">
        <v>0.7869814192350475</v>
      </c>
      <c r="D153" s="31">
        <v>1.9885796815543488</v>
      </c>
      <c r="E153">
        <f t="shared" si="7"/>
        <v>8.5028843400116152</v>
      </c>
      <c r="J153" s="25">
        <f t="shared" si="8"/>
        <v>0.16999275909902489</v>
      </c>
      <c r="K153" s="25">
        <f t="shared" si="6"/>
        <v>1.19</v>
      </c>
    </row>
    <row r="154" spans="1:11" ht="15" customHeight="1" x14ac:dyDescent="0.25">
      <c r="A154" s="29">
        <v>1.2</v>
      </c>
      <c r="B154" s="30">
        <v>0.22915461699114162</v>
      </c>
      <c r="C154" s="30">
        <v>0.78710644400419216</v>
      </c>
      <c r="D154" s="31">
        <v>1.9812081284829728</v>
      </c>
      <c r="E154">
        <f t="shared" si="7"/>
        <v>8.4713646258389481</v>
      </c>
      <c r="J154" s="25">
        <f t="shared" si="8"/>
        <v>0.1708453830088584</v>
      </c>
      <c r="K154" s="25">
        <f t="shared" si="6"/>
        <v>1.2</v>
      </c>
    </row>
    <row r="155" spans="1:11" ht="15" customHeight="1" x14ac:dyDescent="0.25">
      <c r="A155" s="29">
        <v>1.21</v>
      </c>
      <c r="B155" s="30">
        <v>0.22831348571450999</v>
      </c>
      <c r="C155" s="30">
        <v>0.78722620585020631</v>
      </c>
      <c r="D155" s="31">
        <v>1.9739359375742107</v>
      </c>
      <c r="E155">
        <f t="shared" si="7"/>
        <v>8.4402697701641909</v>
      </c>
      <c r="J155" s="25">
        <f t="shared" si="8"/>
        <v>0.17168651428549003</v>
      </c>
      <c r="K155" s="25">
        <f t="shared" si="6"/>
        <v>1.21</v>
      </c>
    </row>
    <row r="156" spans="1:11" ht="15" customHeight="1" x14ac:dyDescent="0.25">
      <c r="A156" s="29">
        <v>1.22</v>
      </c>
      <c r="B156" s="30">
        <v>0.22748359694526149</v>
      </c>
      <c r="C156" s="30">
        <v>0.78734086310380158</v>
      </c>
      <c r="D156" s="31">
        <v>1.9667609463086608</v>
      </c>
      <c r="E156">
        <f t="shared" si="7"/>
        <v>8.409590526361459</v>
      </c>
      <c r="J156" s="25">
        <f t="shared" si="8"/>
        <v>0.17251640305473853</v>
      </c>
      <c r="K156" s="25">
        <f t="shared" si="6"/>
        <v>1.22</v>
      </c>
    </row>
    <row r="157" spans="1:11" ht="15" customHeight="1" x14ac:dyDescent="0.25">
      <c r="A157" s="29">
        <v>1.23</v>
      </c>
      <c r="B157" s="30">
        <v>0.2266647078946521</v>
      </c>
      <c r="C157" s="30">
        <v>0.7874505684329236</v>
      </c>
      <c r="D157" s="31">
        <v>1.9596810556012623</v>
      </c>
      <c r="E157">
        <f t="shared" si="7"/>
        <v>8.3793179190411031</v>
      </c>
      <c r="J157" s="25">
        <f t="shared" si="8"/>
        <v>0.17333529210534793</v>
      </c>
      <c r="K157" s="25">
        <f t="shared" si="6"/>
        <v>1.23</v>
      </c>
    </row>
    <row r="158" spans="1:11" ht="15" customHeight="1" x14ac:dyDescent="0.25">
      <c r="A158" s="29">
        <v>1.24</v>
      </c>
      <c r="B158" s="30">
        <v>0.22585658284416293</v>
      </c>
      <c r="C158" s="30">
        <v>0.78755546908600349</v>
      </c>
      <c r="D158" s="31">
        <v>1.9526942274941868</v>
      </c>
      <c r="E158">
        <f t="shared" si="7"/>
        <v>8.3494432341848395</v>
      </c>
      <c r="J158" s="25">
        <f t="shared" si="8"/>
        <v>0.17414341715583709</v>
      </c>
      <c r="K158" s="25">
        <f t="shared" si="6"/>
        <v>1.24</v>
      </c>
    </row>
    <row r="159" spans="1:11" ht="15" customHeight="1" x14ac:dyDescent="0.25">
      <c r="A159" s="29">
        <v>1.25</v>
      </c>
      <c r="B159" s="30">
        <v>0.22505899289012465</v>
      </c>
      <c r="C159" s="30">
        <v>0.78765570712304978</v>
      </c>
      <c r="D159" s="31">
        <v>1.9457984829489303</v>
      </c>
      <c r="E159">
        <f t="shared" si="7"/>
        <v>8.3199580097050472</v>
      </c>
      <c r="J159" s="25">
        <f t="shared" si="8"/>
        <v>0.17494100710987537</v>
      </c>
      <c r="K159" s="25">
        <f t="shared" si="6"/>
        <v>1.25</v>
      </c>
    </row>
    <row r="160" spans="1:11" ht="15" customHeight="1" x14ac:dyDescent="0.25">
      <c r="A160" s="29">
        <v>1.26</v>
      </c>
      <c r="B160" s="30">
        <v>0.22427171569925192</v>
      </c>
      <c r="C160" s="30">
        <v>0.78775141963527506</v>
      </c>
      <c r="D160" s="31">
        <v>1.9389918997327318</v>
      </c>
      <c r="E160">
        <f t="shared" si="7"/>
        <v>8.2908540264074002</v>
      </c>
      <c r="J160" s="25">
        <f t="shared" si="8"/>
        <v>0.17572828430074811</v>
      </c>
      <c r="K160" s="25">
        <f t="shared" si="6"/>
        <v>1.26</v>
      </c>
    </row>
    <row r="161" spans="1:11" ht="15" customHeight="1" x14ac:dyDescent="0.25">
      <c r="A161" s="29">
        <v>1.27</v>
      </c>
      <c r="B161" s="30">
        <v>0.22349453527455171</v>
      </c>
      <c r="C161" s="30">
        <v>0.7878427389538889</v>
      </c>
      <c r="D161" s="31">
        <v>1.9322726103946801</v>
      </c>
      <c r="E161">
        <f t="shared" si="7"/>
        <v>8.2621232993369773</v>
      </c>
      <c r="J161" s="25">
        <f t="shared" si="8"/>
        <v>0.17650546472544831</v>
      </c>
      <c r="K161" s="25">
        <f t="shared" si="6"/>
        <v>1.27</v>
      </c>
    </row>
    <row r="162" spans="1:11" ht="15" customHeight="1" x14ac:dyDescent="0.25">
      <c r="A162" s="29">
        <v>1.28</v>
      </c>
      <c r="B162" s="30">
        <v>0.2227272417311007</v>
      </c>
      <c r="C162" s="30">
        <v>0.7879297928486676</v>
      </c>
      <c r="D162" s="31">
        <v>1.9256388003271465</v>
      </c>
      <c r="E162">
        <f t="shared" si="7"/>
        <v>8.2337580694892321</v>
      </c>
      <c r="J162" s="25">
        <f t="shared" si="8"/>
        <v>0.17727275826889932</v>
      </c>
      <c r="K162" s="25">
        <f t="shared" ref="K162:K225" si="9">A162</f>
        <v>1.28</v>
      </c>
    </row>
    <row r="163" spans="1:11" ht="15" customHeight="1" x14ac:dyDescent="0.25">
      <c r="A163" s="29">
        <v>1.29</v>
      </c>
      <c r="B163" s="30">
        <v>0.22196963108121426</v>
      </c>
      <c r="C163" s="30">
        <v>0.78801270471685891</v>
      </c>
      <c r="D163" s="31">
        <v>1.9190887059084147</v>
      </c>
      <c r="E163">
        <f t="shared" ref="E163:E226" si="10">D163*$E$15</f>
        <v>8.205750795868143</v>
      </c>
      <c r="J163" s="25">
        <f t="shared" ref="J163:J226" si="11">ABS(B163-$B$20/100)</f>
        <v>0.17803036891878576</v>
      </c>
      <c r="K163" s="25">
        <f t="shared" si="9"/>
        <v>1.29</v>
      </c>
    </row>
    <row r="164" spans="1:11" ht="15" customHeight="1" x14ac:dyDescent="0.25">
      <c r="A164" s="29">
        <v>1.3</v>
      </c>
      <c r="B164" s="30">
        <v>0.22122150502855434</v>
      </c>
      <c r="C164" s="30">
        <v>0.78809159376296167</v>
      </c>
      <c r="D164" s="31">
        <v>1.9126206127225942</v>
      </c>
      <c r="E164">
        <f t="shared" si="10"/>
        <v>8.1780941478748073</v>
      </c>
      <c r="J164" s="25">
        <f t="shared" si="11"/>
        <v>0.17877849497144568</v>
      </c>
      <c r="K164" s="25">
        <f t="shared" si="9"/>
        <v>1.3</v>
      </c>
    </row>
    <row r="165" spans="1:11" ht="15" customHeight="1" x14ac:dyDescent="0.25">
      <c r="A165" s="29">
        <v>1.31</v>
      </c>
      <c r="B165" s="30">
        <v>0.22048267077075084</v>
      </c>
      <c r="C165" s="30">
        <v>0.78816657516986643</v>
      </c>
      <c r="D165" s="31">
        <v>1.9062328538531381</v>
      </c>
      <c r="E165">
        <f t="shared" si="10"/>
        <v>8.1507809980107719</v>
      </c>
      <c r="J165" s="25">
        <f t="shared" si="11"/>
        <v>0.17951732922924918</v>
      </c>
      <c r="K165" s="25">
        <f t="shared" si="9"/>
        <v>1.31</v>
      </c>
    </row>
    <row r="166" spans="1:11" ht="15" customHeight="1" x14ac:dyDescent="0.25">
      <c r="A166" s="29">
        <v>1.32</v>
      </c>
      <c r="B166" s="30">
        <v>0.21975294081013066</v>
      </c>
      <c r="C166" s="30">
        <v>0.78823776026184045</v>
      </c>
      <c r="D166" s="31">
        <v>1.8999238082464589</v>
      </c>
      <c r="E166">
        <f t="shared" si="10"/>
        <v>8.1238044148810875</v>
      </c>
      <c r="J166" s="25">
        <f t="shared" si="11"/>
        <v>0.18024705918986936</v>
      </c>
      <c r="K166" s="25">
        <f t="shared" si="9"/>
        <v>1.32</v>
      </c>
    </row>
    <row r="167" spans="1:11" ht="15" customHeight="1" x14ac:dyDescent="0.25">
      <c r="A167" s="29">
        <v>1.33</v>
      </c>
      <c r="B167" s="30">
        <v>0.2190321327721724</v>
      </c>
      <c r="C167" s="30">
        <v>0.78830525665978612</v>
      </c>
      <c r="D167" s="31">
        <v>1.8936918991423364</v>
      </c>
      <c r="E167">
        <f t="shared" si="10"/>
        <v>8.0971576564829526</v>
      </c>
      <c r="J167" s="25">
        <f t="shared" si="11"/>
        <v>0.18096786722782762</v>
      </c>
      <c r="K167" s="25">
        <f t="shared" si="9"/>
        <v>1.33</v>
      </c>
    </row>
    <row r="168" spans="1:11" ht="15" customHeight="1" x14ac:dyDescent="0.25">
      <c r="A168" s="29">
        <v>1.34</v>
      </c>
      <c r="B168" s="30">
        <v>0.21832006923132488</v>
      </c>
      <c r="C168" s="30">
        <v>0.78836916842919158</v>
      </c>
      <c r="D168" s="31">
        <v>1.887535592567994</v>
      </c>
      <c r="E168">
        <f t="shared" si="10"/>
        <v>8.0708341637665981</v>
      </c>
      <c r="J168" s="25">
        <f t="shared" si="11"/>
        <v>0.18167993076867514</v>
      </c>
      <c r="K168" s="25">
        <f t="shared" si="9"/>
        <v>1.34</v>
      </c>
    </row>
    <row r="169" spans="1:11" ht="15" customHeight="1" x14ac:dyDescent="0.25">
      <c r="A169" s="29">
        <v>1.35</v>
      </c>
      <c r="B169" s="30">
        <v>0.21761657754384495</v>
      </c>
      <c r="C169" s="30">
        <v>0.78842959622116482</v>
      </c>
      <c r="D169" s="31">
        <v>1.8814533958928585</v>
      </c>
      <c r="E169">
        <f t="shared" si="10"/>
        <v>8.0448275544556473</v>
      </c>
      <c r="J169" s="25">
        <f t="shared" si="11"/>
        <v>0.18238342245615508</v>
      </c>
      <c r="K169" s="25">
        <f t="shared" si="9"/>
        <v>1.35</v>
      </c>
    </row>
    <row r="170" spans="1:11" ht="15" customHeight="1" x14ac:dyDescent="0.25">
      <c r="A170" s="29">
        <v>1.36</v>
      </c>
      <c r="B170" s="30">
        <v>0.21692148968733141</v>
      </c>
      <c r="C170" s="30">
        <v>0.78848663740691616</v>
      </c>
      <c r="D170" s="31">
        <v>1.8754438564412155</v>
      </c>
      <c r="E170">
        <f t="shared" si="10"/>
        <v>8.0191316171150238</v>
      </c>
      <c r="J170" s="25">
        <f t="shared" si="11"/>
        <v>0.18307851031266861</v>
      </c>
      <c r="K170" s="25">
        <f t="shared" si="9"/>
        <v>1.36</v>
      </c>
    </row>
    <row r="171" spans="1:11" ht="15" customHeight="1" x14ac:dyDescent="0.25">
      <c r="A171" s="29">
        <v>1.37</v>
      </c>
      <c r="B171" s="30">
        <v>0.2162346421066447</v>
      </c>
      <c r="C171" s="30">
        <v>0.78854038620603628</v>
      </c>
      <c r="D171" s="31">
        <v>1.8695055601600721</v>
      </c>
      <c r="E171">
        <f t="shared" si="10"/>
        <v>7.9937403054549261</v>
      </c>
      <c r="J171" s="25">
        <f t="shared" si="11"/>
        <v>0.18376535789335532</v>
      </c>
      <c r="K171" s="25">
        <f t="shared" si="9"/>
        <v>1.37</v>
      </c>
    </row>
    <row r="172" spans="1:11" ht="15" customHeight="1" x14ac:dyDescent="0.25">
      <c r="A172" s="29">
        <v>1.38</v>
      </c>
      <c r="B172" s="30">
        <v>0.21555587556592173</v>
      </c>
      <c r="C172" s="30">
        <v>0.78859093380888945</v>
      </c>
      <c r="D172" s="31">
        <v>1.8636371303397179</v>
      </c>
      <c r="E172">
        <f t="shared" si="10"/>
        <v>7.9686477328601262</v>
      </c>
      <c r="J172" s="25">
        <f t="shared" si="11"/>
        <v>0.18444412443407829</v>
      </c>
      <c r="K172" s="25">
        <f t="shared" si="9"/>
        <v>1.38</v>
      </c>
    </row>
    <row r="173" spans="1:11" ht="15" customHeight="1" x14ac:dyDescent="0.25">
      <c r="A173" s="29">
        <v>1.39</v>
      </c>
      <c r="B173" s="30">
        <v>0.21488503500640771</v>
      </c>
      <c r="C173" s="30">
        <v>0.78863836849343905</v>
      </c>
      <c r="D173" s="31">
        <v>1.8578372263845793</v>
      </c>
      <c r="E173">
        <f t="shared" si="10"/>
        <v>7.9438481671343153</v>
      </c>
      <c r="J173" s="25">
        <f t="shared" si="11"/>
        <v>0.18511496499359231</v>
      </c>
      <c r="K173" s="25">
        <f t="shared" si="9"/>
        <v>1.39</v>
      </c>
    </row>
    <row r="174" spans="1:11" ht="15" customHeight="1" x14ac:dyDescent="0.25">
      <c r="A174" s="29">
        <v>1.4</v>
      </c>
      <c r="B174" s="30">
        <v>0.21422196940984226</v>
      </c>
      <c r="C174" s="30">
        <v>0.78868277573678158</v>
      </c>
      <c r="D174" s="31">
        <v>1.8521045426320906</v>
      </c>
      <c r="E174">
        <f t="shared" si="10"/>
        <v>7.9193360254497662</v>
      </c>
      <c r="J174" s="25">
        <f t="shared" si="11"/>
        <v>0.18577803059015777</v>
      </c>
      <c r="K174" s="25">
        <f t="shared" si="9"/>
        <v>1.4</v>
      </c>
    </row>
    <row r="175" spans="1:11" ht="15" customHeight="1" x14ac:dyDescent="0.25">
      <c r="A175" s="29">
        <v>1.41</v>
      </c>
      <c r="B175" s="30">
        <v>0.21356653166715087</v>
      </c>
      <c r="C175" s="30">
        <v>0.78872423832167271</v>
      </c>
      <c r="D175" s="31">
        <v>1.8464378072174386</v>
      </c>
      <c r="E175">
        <f t="shared" si="10"/>
        <v>7.8951058694931433</v>
      </c>
      <c r="J175" s="25">
        <f t="shared" si="11"/>
        <v>0.18643346833284916</v>
      </c>
      <c r="K175" s="25">
        <f t="shared" si="9"/>
        <v>1.41</v>
      </c>
    </row>
    <row r="176" spans="1:11" ht="15" customHeight="1" x14ac:dyDescent="0.25">
      <c r="A176" s="29">
        <v>1.42</v>
      </c>
      <c r="B176" s="30">
        <v>0.21291857845220305</v>
      </c>
      <c r="C176" s="30">
        <v>0.78876283643829193</v>
      </c>
      <c r="D176" s="31">
        <v>1.8408357809821088</v>
      </c>
      <c r="E176">
        <f t="shared" si="10"/>
        <v>7.8711524007985982</v>
      </c>
      <c r="J176" s="25">
        <f t="shared" si="11"/>
        <v>0.18708142154779697</v>
      </c>
      <c r="K176" s="25">
        <f t="shared" si="9"/>
        <v>1.42</v>
      </c>
    </row>
    <row r="177" spans="1:11" ht="15" customHeight="1" x14ac:dyDescent="0.25">
      <c r="A177" s="29">
        <v>1.43</v>
      </c>
      <c r="B177" s="30">
        <v>0.21227797010041399</v>
      </c>
      <c r="C177" s="30">
        <v>0.788798647781497</v>
      </c>
      <c r="D177" s="31">
        <v>1.8352972564243095</v>
      </c>
      <c r="E177">
        <f t="shared" si="10"/>
        <v>7.847470456259936</v>
      </c>
      <c r="J177" s="25">
        <f t="shared" si="11"/>
        <v>0.18772202989958603</v>
      </c>
      <c r="K177" s="25">
        <f t="shared" si="9"/>
        <v>1.43</v>
      </c>
    </row>
    <row r="178" spans="1:11" ht="15" customHeight="1" x14ac:dyDescent="0.25">
      <c r="A178" s="29">
        <v>1.44</v>
      </c>
      <c r="B178" s="30">
        <v>0.21164457049197488</v>
      </c>
      <c r="C178" s="30">
        <v>0.78883174764378861</v>
      </c>
      <c r="D178" s="31">
        <v>1.8298210566894115</v>
      </c>
      <c r="E178">
        <f t="shared" si="10"/>
        <v>7.8240550038138741</v>
      </c>
      <c r="J178" s="25">
        <f t="shared" si="11"/>
        <v>0.18835542950802514</v>
      </c>
      <c r="K178" s="25">
        <f t="shared" si="9"/>
        <v>1.44</v>
      </c>
    </row>
    <row r="179" spans="1:11" ht="15" customHeight="1" x14ac:dyDescent="0.25">
      <c r="A179" s="29">
        <v>1.45</v>
      </c>
      <c r="B179" s="30">
        <v>0.21101824693950885</v>
      </c>
      <c r="C179" s="30">
        <v>0.78886220900420689</v>
      </c>
      <c r="D179" s="31">
        <v>1.8244060345986544</v>
      </c>
      <c r="E179">
        <f t="shared" si="10"/>
        <v>7.8009011382869335</v>
      </c>
      <c r="J179" s="25">
        <f t="shared" si="11"/>
        <v>0.18898175306049117</v>
      </c>
      <c r="K179" s="25">
        <f t="shared" si="9"/>
        <v>1.45</v>
      </c>
    </row>
    <row r="180" spans="1:11" ht="15" customHeight="1" x14ac:dyDescent="0.25">
      <c r="A180" s="29">
        <v>1.46</v>
      </c>
      <c r="B180" s="30">
        <v>0.21039887007995942</v>
      </c>
      <c r="C180" s="30">
        <v>0.78889010261335923</v>
      </c>
      <c r="D180" s="31">
        <v>1.8190510717144415</v>
      </c>
      <c r="E180">
        <f t="shared" si="10"/>
        <v>7.7780040773987693</v>
      </c>
      <c r="J180" s="25">
        <f t="shared" si="11"/>
        <v>0.18960112992004061</v>
      </c>
      <c r="K180" s="25">
        <f t="shared" si="9"/>
        <v>1.46</v>
      </c>
    </row>
    <row r="181" spans="1:11" ht="15" customHeight="1" x14ac:dyDescent="0.25">
      <c r="A181" s="29">
        <v>1.47</v>
      </c>
      <c r="B181" s="30">
        <v>0.20978631377052842</v>
      </c>
      <c r="C181" s="30">
        <v>0.78891549707477393</v>
      </c>
      <c r="D181" s="31">
        <v>1.813755077440649</v>
      </c>
      <c r="E181">
        <f t="shared" si="10"/>
        <v>7.755359157915219</v>
      </c>
      <c r="J181" s="25">
        <f t="shared" si="11"/>
        <v>0.1902136862294716</v>
      </c>
      <c r="K181" s="25">
        <f t="shared" si="9"/>
        <v>1.47</v>
      </c>
    </row>
    <row r="182" spans="1:11" ht="15" customHeight="1" x14ac:dyDescent="0.25">
      <c r="A182" s="29">
        <v>1.48</v>
      </c>
      <c r="B182" s="30">
        <v>0.20918045498848767</v>
      </c>
      <c r="C182" s="30">
        <v>0.78893845892276049</v>
      </c>
      <c r="D182" s="31">
        <v>1.808516988156424</v>
      </c>
      <c r="E182">
        <f t="shared" si="10"/>
        <v>7.7329618319445519</v>
      </c>
      <c r="J182" s="25">
        <f t="shared" si="11"/>
        <v>0.19081954501151235</v>
      </c>
      <c r="K182" s="25">
        <f t="shared" si="9"/>
        <v>1.48</v>
      </c>
    </row>
    <row r="183" spans="1:11" ht="15" customHeight="1" x14ac:dyDescent="0.25">
      <c r="A183" s="29">
        <v>1.49</v>
      </c>
      <c r="B183" s="30">
        <v>0.20858117373469906</v>
      </c>
      <c r="C183" s="30">
        <v>0.78895905269694677</v>
      </c>
      <c r="D183" s="31">
        <v>1.8033357663820475</v>
      </c>
      <c r="E183">
        <f t="shared" si="10"/>
        <v>7.7108076633708098</v>
      </c>
      <c r="J183" s="25">
        <f t="shared" si="11"/>
        <v>0.19141882626530096</v>
      </c>
      <c r="K183" s="25">
        <f t="shared" si="9"/>
        <v>1.49</v>
      </c>
    </row>
    <row r="184" spans="1:11" ht="15" customHeight="1" x14ac:dyDescent="0.25">
      <c r="A184" s="29">
        <v>1.5</v>
      </c>
      <c r="B184" s="30">
        <v>0.20798835294068493</v>
      </c>
      <c r="C184" s="30">
        <v>0.78897734101365913</v>
      </c>
      <c r="D184" s="31">
        <v>1.7982103999754875</v>
      </c>
      <c r="E184">
        <f t="shared" si="10"/>
        <v>7.6888923244183882</v>
      </c>
      <c r="J184" s="25">
        <f t="shared" si="11"/>
        <v>0.19201164705931509</v>
      </c>
      <c r="K184" s="25">
        <f t="shared" si="9"/>
        <v>1.5</v>
      </c>
    </row>
    <row r="185" spans="1:11" ht="15" customHeight="1" x14ac:dyDescent="0.25">
      <c r="A185" s="29">
        <v>1.51</v>
      </c>
      <c r="B185" s="30">
        <v>0.20740187837909746</v>
      </c>
      <c r="C185" s="30">
        <v>0.78899338463429225</v>
      </c>
      <c r="D185" s="31">
        <v>1.793139901358344</v>
      </c>
      <c r="E185">
        <f t="shared" si="10"/>
        <v>7.6672115923422863</v>
      </c>
      <c r="J185" s="25">
        <f t="shared" si="11"/>
        <v>0.19259812162090256</v>
      </c>
      <c r="K185" s="25">
        <f t="shared" si="9"/>
        <v>1.51</v>
      </c>
    </row>
    <row r="186" spans="1:11" ht="15" customHeight="1" x14ac:dyDescent="0.25">
      <c r="A186" s="29">
        <v>1.52</v>
      </c>
      <c r="B186" s="30">
        <v>0.20682163857744484</v>
      </c>
      <c r="C186" s="30">
        <v>0.78900724253082388</v>
      </c>
      <c r="D186" s="31">
        <v>1.7881233067699489</v>
      </c>
      <c r="E186">
        <f t="shared" si="10"/>
        <v>7.645761346238741</v>
      </c>
      <c r="J186" s="25">
        <f t="shared" si="11"/>
        <v>0.19317836142255518</v>
      </c>
      <c r="K186" s="25">
        <f t="shared" si="9"/>
        <v>1.52</v>
      </c>
    </row>
    <row r="187" spans="1:11" ht="15" customHeight="1" x14ac:dyDescent="0.25">
      <c r="A187" s="29">
        <v>1.53</v>
      </c>
      <c r="B187" s="30">
        <v>0.20624752473493652</v>
      </c>
      <c r="C187" s="30">
        <v>0.78901897194859683</v>
      </c>
      <c r="D187" s="31">
        <v>1.7831596755484316</v>
      </c>
      <c r="E187">
        <f t="shared" si="10"/>
        <v>7.6245375639711659</v>
      </c>
      <c r="J187" s="25">
        <f t="shared" si="11"/>
        <v>0.19375247526506351</v>
      </c>
      <c r="K187" s="25">
        <f t="shared" si="9"/>
        <v>1.53</v>
      </c>
    </row>
    <row r="188" spans="1:11" ht="15" customHeight="1" x14ac:dyDescent="0.25">
      <c r="A188" s="29">
        <v>1.54</v>
      </c>
      <c r="B188" s="30">
        <v>0.20567943064231864</v>
      </c>
      <c r="C188" s="30">
        <v>0.78902862846651822</v>
      </c>
      <c r="D188" s="31">
        <v>1.7782480894376389</v>
      </c>
      <c r="E188">
        <f t="shared" si="10"/>
        <v>7.6035363192066443</v>
      </c>
      <c r="J188" s="25">
        <f t="shared" si="11"/>
        <v>0.19432056935768138</v>
      </c>
      <c r="K188" s="25">
        <f t="shared" si="9"/>
        <v>1.54</v>
      </c>
    </row>
    <row r="189" spans="1:11" ht="15" customHeight="1" x14ac:dyDescent="0.25">
      <c r="A189" s="29">
        <v>1.55</v>
      </c>
      <c r="B189" s="30">
        <v>0.20511725260457475</v>
      </c>
      <c r="C189" s="30">
        <v>0.78903626605477506</v>
      </c>
      <c r="D189" s="31">
        <v>1.7733876519188267</v>
      </c>
      <c r="E189">
        <f t="shared" si="10"/>
        <v>7.582753778558331</v>
      </c>
      <c r="J189" s="25">
        <f t="shared" si="11"/>
        <v>0.19488274739542527</v>
      </c>
      <c r="K189" s="25">
        <f t="shared" si="9"/>
        <v>1.55</v>
      </c>
    </row>
    <row r="190" spans="1:11" ht="15" customHeight="1" x14ac:dyDescent="0.25">
      <c r="A190" s="29">
        <v>1.56</v>
      </c>
      <c r="B190" s="30">
        <v>0.20456088936637412</v>
      </c>
      <c r="C190" s="30">
        <v>0.78904193713020665</v>
      </c>
      <c r="D190" s="31">
        <v>1.7685774875661058</v>
      </c>
      <c r="E190">
        <f t="shared" si="10"/>
        <v>7.5621861988294343</v>
      </c>
      <c r="J190" s="25">
        <f t="shared" si="11"/>
        <v>0.1954391106336259</v>
      </c>
      <c r="K190" s="25">
        <f t="shared" si="9"/>
        <v>1.56</v>
      </c>
    </row>
    <row r="191" spans="1:11" ht="15" customHeight="1" x14ac:dyDescent="0.25">
      <c r="A191" s="29">
        <v>1.57</v>
      </c>
      <c r="B191" s="30">
        <v>0.20401024204015508</v>
      </c>
      <c r="C191" s="30">
        <v>0.78904569260942403</v>
      </c>
      <c r="D191" s="31">
        <v>1.7638167414246708</v>
      </c>
      <c r="E191">
        <f t="shared" si="10"/>
        <v>7.5418299243546105</v>
      </c>
      <c r="J191" s="25">
        <f t="shared" si="11"/>
        <v>0.19598975795984494</v>
      </c>
      <c r="K191" s="25">
        <f t="shared" si="9"/>
        <v>1.57</v>
      </c>
    </row>
    <row r="192" spans="1:11" ht="15" customHeight="1" x14ac:dyDescent="0.25">
      <c r="A192" s="29">
        <v>1.58</v>
      </c>
      <c r="B192" s="30">
        <v>0.20346521403673554</v>
      </c>
      <c r="C192" s="30">
        <v>0.7890475819597963</v>
      </c>
      <c r="D192" s="31">
        <v>1.7591045784108774</v>
      </c>
      <c r="E192">
        <f t="shared" si="10"/>
        <v>7.5216813844347783</v>
      </c>
      <c r="J192" s="25">
        <f t="shared" si="11"/>
        <v>0.19653478596326449</v>
      </c>
      <c r="K192" s="25">
        <f t="shared" si="9"/>
        <v>1.58</v>
      </c>
    </row>
    <row r="193" spans="1:11" ht="15" customHeight="1" x14ac:dyDescent="0.25">
      <c r="A193" s="29">
        <v>1.59</v>
      </c>
      <c r="B193" s="30">
        <v>0.20292571099834836</v>
      </c>
      <c r="C193" s="30">
        <v>0.78904765324838999</v>
      </c>
      <c r="D193" s="31">
        <v>1.7544401827332847</v>
      </c>
      <c r="E193">
        <f t="shared" si="10"/>
        <v>7.5017370908615781</v>
      </c>
      <c r="J193" s="25">
        <f t="shared" si="11"/>
        <v>0.19707428900165166</v>
      </c>
      <c r="K193" s="25">
        <f t="shared" si="9"/>
        <v>1.59</v>
      </c>
    </row>
    <row r="194" spans="1:11" ht="15" customHeight="1" x14ac:dyDescent="0.25">
      <c r="A194" s="29">
        <v>1.6</v>
      </c>
      <c r="B194" s="30">
        <v>0.20239164073400459</v>
      </c>
      <c r="C194" s="30">
        <v>0.78904595318896831</v>
      </c>
      <c r="D194" s="31">
        <v>1.7498227573338225</v>
      </c>
      <c r="E194">
        <f t="shared" si="10"/>
        <v>7.4819936355278847</v>
      </c>
      <c r="J194" s="25">
        <f t="shared" si="11"/>
        <v>0.19760835926599543</v>
      </c>
      <c r="K194" s="25">
        <f t="shared" si="9"/>
        <v>1.6</v>
      </c>
    </row>
    <row r="195" spans="1:11" ht="15" customHeight="1" x14ac:dyDescent="0.25">
      <c r="A195" s="29">
        <v>1.61</v>
      </c>
      <c r="B195" s="30">
        <v>0.20186291315708896</v>
      </c>
      <c r="C195" s="30">
        <v>0.78904252718712631</v>
      </c>
      <c r="D195" s="31">
        <v>1.7452515233482604</v>
      </c>
      <c r="E195">
        <f t="shared" si="10"/>
        <v>7.4624476881208466</v>
      </c>
      <c r="J195" s="25">
        <f t="shared" si="11"/>
        <v>0.19813708684291106</v>
      </c>
      <c r="K195" s="25">
        <f t="shared" si="9"/>
        <v>1.61</v>
      </c>
    </row>
    <row r="196" spans="1:11" ht="15" customHeight="1" x14ac:dyDescent="0.25">
      <c r="A196" s="29">
        <v>1.62</v>
      </c>
      <c r="B196" s="30">
        <v>0.20133944022510139</v>
      </c>
      <c r="C196" s="30">
        <v>0.78903741938365779</v>
      </c>
      <c r="D196" s="31">
        <v>1.7407257195852288</v>
      </c>
      <c r="E196">
        <f t="shared" si="10"/>
        <v>7.443095993894258</v>
      </c>
      <c r="J196" s="25">
        <f t="shared" si="11"/>
        <v>0.19866055977489863</v>
      </c>
      <c r="K196" s="25">
        <f t="shared" si="9"/>
        <v>1.62</v>
      </c>
    </row>
    <row r="197" spans="1:11" ht="15" customHeight="1" x14ac:dyDescent="0.25">
      <c r="A197" s="29">
        <v>1.63</v>
      </c>
      <c r="B197" s="30">
        <v>0.20082113588145756</v>
      </c>
      <c r="C197" s="30">
        <v>0.78903067269622773</v>
      </c>
      <c r="D197" s="31">
        <v>1.736244602023042</v>
      </c>
      <c r="E197">
        <f t="shared" si="10"/>
        <v>7.4239353715170413</v>
      </c>
      <c r="J197" s="25">
        <f t="shared" si="11"/>
        <v>0.19917886411854246</v>
      </c>
      <c r="K197" s="25">
        <f t="shared" si="9"/>
        <v>1.63</v>
      </c>
    </row>
    <row r="198" spans="1:11" ht="15" customHeight="1" x14ac:dyDescent="0.25">
      <c r="A198" s="29">
        <v>1.64</v>
      </c>
      <c r="B198" s="30">
        <v>0.20030791599926717</v>
      </c>
      <c r="C198" s="30">
        <v>0.78902232885942603</v>
      </c>
      <c r="D198" s="31">
        <v>1.7318074433236212</v>
      </c>
      <c r="E198">
        <f t="shared" si="10"/>
        <v>7.4049627109948535</v>
      </c>
      <c r="J198" s="25">
        <f t="shared" si="11"/>
        <v>0.19969208400073285</v>
      </c>
      <c r="K198" s="25">
        <f t="shared" si="9"/>
        <v>1.64</v>
      </c>
    </row>
    <row r="199" spans="1:11" ht="15" customHeight="1" x14ac:dyDescent="0.25">
      <c r="A199" s="29">
        <v>1.65</v>
      </c>
      <c r="B199" s="30">
        <v>0.19979969832701328</v>
      </c>
      <c r="C199" s="30">
        <v>0.78901242846328024</v>
      </c>
      <c r="D199" s="31">
        <v>1.7274135323628526</v>
      </c>
      <c r="E199">
        <f t="shared" si="10"/>
        <v>7.3861749716619629</v>
      </c>
      <c r="J199" s="25">
        <f t="shared" si="11"/>
        <v>0.20020030167298675</v>
      </c>
      <c r="K199" s="25">
        <f t="shared" si="9"/>
        <v>1.65</v>
      </c>
    </row>
    <row r="200" spans="1:11" ht="15" customHeight="1" x14ac:dyDescent="0.25">
      <c r="A200" s="29">
        <v>1.66</v>
      </c>
      <c r="B200" s="30">
        <v>0.1992964024360577</v>
      </c>
      <c r="C200" s="30">
        <v>0.78900101099028941</v>
      </c>
      <c r="D200" s="31">
        <v>1.7230621737767335</v>
      </c>
      <c r="E200">
        <f t="shared" si="10"/>
        <v>7.3675691802406371</v>
      </c>
      <c r="J200" s="25">
        <f t="shared" si="11"/>
        <v>0.20070359756394232</v>
      </c>
      <c r="K200" s="25">
        <f t="shared" si="9"/>
        <v>1.66</v>
      </c>
    </row>
    <row r="201" spans="1:11" ht="15" customHeight="1" x14ac:dyDescent="0.25">
      <c r="A201" s="29">
        <v>1.67</v>
      </c>
      <c r="B201" s="30">
        <v>0.1987979496699018</v>
      </c>
      <c r="C201" s="30">
        <v>0.78898811485104847</v>
      </c>
      <c r="D201" s="31">
        <v>1.7187526875226944</v>
      </c>
      <c r="E201">
        <f t="shared" si="10"/>
        <v>7.3491424289654139</v>
      </c>
      <c r="J201" s="25">
        <f t="shared" si="11"/>
        <v>0.20120205033009822</v>
      </c>
      <c r="K201" s="25">
        <f t="shared" si="9"/>
        <v>1.67</v>
      </c>
    </row>
    <row r="202" spans="1:11" ht="15" customHeight="1" x14ac:dyDescent="0.25">
      <c r="A202" s="29">
        <v>1.68</v>
      </c>
      <c r="B202" s="30">
        <v>0.19830426309513469</v>
      </c>
      <c r="C202" s="30">
        <v>0.7889737774185257</v>
      </c>
      <c r="D202" s="31">
        <v>1.714484408455512</v>
      </c>
      <c r="E202">
        <f t="shared" si="10"/>
        <v>7.3308918737697688</v>
      </c>
      <c r="J202" s="25">
        <f t="shared" si="11"/>
        <v>0.20169573690486534</v>
      </c>
      <c r="K202" s="25">
        <f t="shared" si="9"/>
        <v>1.68</v>
      </c>
    </row>
    <row r="203" spans="1:11" ht="15" customHeight="1" x14ac:dyDescent="0.25">
      <c r="A203" s="29">
        <v>1.69</v>
      </c>
      <c r="B203" s="30">
        <v>0.19781526745400385</v>
      </c>
      <c r="C203" s="30">
        <v>0.78895803506104578</v>
      </c>
      <c r="D203" s="31">
        <v>1.7102566859172459</v>
      </c>
      <c r="E203">
        <f t="shared" si="10"/>
        <v>7.3128147325327442</v>
      </c>
      <c r="J203" s="25">
        <f t="shared" si="11"/>
        <v>0.20218473254599617</v>
      </c>
      <c r="K203" s="25">
        <f t="shared" si="9"/>
        <v>1.69</v>
      </c>
    </row>
    <row r="204" spans="1:11" ht="15" customHeight="1" x14ac:dyDescent="0.25">
      <c r="A204" s="29">
        <v>1.7</v>
      </c>
      <c r="B204" s="30">
        <v>0.1973308891185466</v>
      </c>
      <c r="C204" s="30">
        <v>0.78894092317404563</v>
      </c>
      <c r="D204" s="31">
        <v>1.7060688833406736</v>
      </c>
      <c r="E204">
        <f t="shared" si="10"/>
        <v>7.294908283383287</v>
      </c>
      <c r="J204" s="25">
        <f t="shared" si="11"/>
        <v>0.20266911088145342</v>
      </c>
      <c r="K204" s="25">
        <f t="shared" si="9"/>
        <v>1.7</v>
      </c>
    </row>
    <row r="205" spans="1:11" ht="15" customHeight="1" x14ac:dyDescent="0.25">
      <c r="A205" s="29">
        <v>1.71</v>
      </c>
      <c r="B205" s="30">
        <v>0.19685105604622252</v>
      </c>
      <c r="C205" s="30">
        <v>0.78892247621064227</v>
      </c>
      <c r="D205" s="31">
        <v>1.7019203778656991</v>
      </c>
      <c r="E205">
        <f t="shared" si="10"/>
        <v>7.277169863060073</v>
      </c>
      <c r="J205" s="25">
        <f t="shared" si="11"/>
        <v>0.2031489439537775</v>
      </c>
      <c r="K205" s="25">
        <f t="shared" si="9"/>
        <v>1.71</v>
      </c>
    </row>
    <row r="206" spans="1:11" ht="15" customHeight="1" x14ac:dyDescent="0.25">
      <c r="A206" s="29">
        <v>1.72</v>
      </c>
      <c r="B206" s="30">
        <v>0.19637569773699026</v>
      </c>
      <c r="C206" s="30">
        <v>0.78890272771107861</v>
      </c>
      <c r="D206" s="31">
        <v>1.6978105599682518</v>
      </c>
      <c r="E206">
        <f t="shared" si="10"/>
        <v>7.2595968653247303</v>
      </c>
      <c r="J206" s="25">
        <f t="shared" si="11"/>
        <v>0.20362430226300976</v>
      </c>
      <c r="K206" s="25">
        <f t="shared" si="9"/>
        <v>1.72</v>
      </c>
    </row>
    <row r="207" spans="1:11" ht="15" customHeight="1" x14ac:dyDescent="0.25">
      <c r="A207" s="29">
        <v>1.73</v>
      </c>
      <c r="B207" s="30">
        <v>0.19590474519177409</v>
      </c>
      <c r="C207" s="30">
        <v>0.7888817103310809</v>
      </c>
      <c r="D207" s="31">
        <v>1.6937388331011989</v>
      </c>
      <c r="E207">
        <f t="shared" si="10"/>
        <v>7.242186739426427</v>
      </c>
      <c r="J207" s="25">
        <f t="shared" si="11"/>
        <v>0.20409525480822593</v>
      </c>
      <c r="K207" s="25">
        <f t="shared" si="9"/>
        <v>1.73</v>
      </c>
    </row>
    <row r="208" spans="1:11" ht="15" customHeight="1" x14ac:dyDescent="0.25">
      <c r="A208" s="29">
        <v>1.74</v>
      </c>
      <c r="B208" s="30">
        <v>0.19543813087226836</v>
      </c>
      <c r="C208" s="30">
        <v>0.78885945586918504</v>
      </c>
      <c r="D208" s="31">
        <v>1.6897046133468265</v>
      </c>
      <c r="E208">
        <f t="shared" si="10"/>
        <v>7.2249369886159354</v>
      </c>
      <c r="J208" s="25">
        <f t="shared" si="11"/>
        <v>0.20456186912773167</v>
      </c>
      <c r="K208" s="25">
        <f t="shared" si="9"/>
        <v>1.74</v>
      </c>
    </row>
    <row r="209" spans="1:11" ht="15" customHeight="1" x14ac:dyDescent="0.25">
      <c r="A209" s="29">
        <v>1.75</v>
      </c>
      <c r="B209" s="30">
        <v>0.19497578866203025</v>
      </c>
      <c r="C209" s="30">
        <v>0.78883599529306825</v>
      </c>
      <c r="D209" s="31">
        <v>1.6857073290804574</v>
      </c>
      <c r="E209">
        <f t="shared" si="10"/>
        <v>7.2078451687073066</v>
      </c>
      <c r="J209" s="25">
        <f t="shared" si="11"/>
        <v>0.20502421133796978</v>
      </c>
      <c r="K209" s="25">
        <f t="shared" si="9"/>
        <v>1.75</v>
      </c>
    </row>
    <row r="210" spans="1:11" ht="15" customHeight="1" x14ac:dyDescent="0.25">
      <c r="A210" s="29">
        <v>1.76</v>
      </c>
      <c r="B210" s="30">
        <v>0.19451765382881223</v>
      </c>
      <c r="C210" s="30">
        <v>0.78881135876493236</v>
      </c>
      <c r="D210" s="31">
        <v>1.6817464206447885</v>
      </c>
      <c r="E210">
        <f t="shared" si="10"/>
        <v>7.190908886685385</v>
      </c>
      <c r="J210" s="25">
        <f t="shared" si="11"/>
        <v>0.2054823461711878</v>
      </c>
      <c r="K210" s="25">
        <f t="shared" si="9"/>
        <v>1.76</v>
      </c>
    </row>
    <row r="211" spans="1:11" ht="15" customHeight="1" x14ac:dyDescent="0.25">
      <c r="A211" s="29">
        <v>1.77</v>
      </c>
      <c r="B211" s="30">
        <v>0.19406366298808897</v>
      </c>
      <c r="C211" s="30">
        <v>0.78878557566597496</v>
      </c>
      <c r="D211" s="31">
        <v>1.6778213400345534</v>
      </c>
      <c r="E211">
        <f t="shared" si="10"/>
        <v>7.1741257993574665</v>
      </c>
      <c r="J211" s="25">
        <f t="shared" si="11"/>
        <v>0.20593633701191105</v>
      </c>
      <c r="K211" s="25">
        <f t="shared" si="9"/>
        <v>1.77</v>
      </c>
    </row>
    <row r="212" spans="1:11" ht="15" customHeight="1" x14ac:dyDescent="0.25">
      <c r="A212" s="29">
        <v>1.78</v>
      </c>
      <c r="B212" s="30">
        <v>0.19361375406773551</v>
      </c>
      <c r="C212" s="30">
        <v>0.78875867461998772</v>
      </c>
      <c r="D212" s="31">
        <v>1.6739315505911414</v>
      </c>
      <c r="E212">
        <f t="shared" si="10"/>
        <v>7.1574936120475376</v>
      </c>
      <c r="J212" s="25">
        <f t="shared" si="11"/>
        <v>0.20638624593226451</v>
      </c>
      <c r="K212" s="25">
        <f t="shared" si="9"/>
        <v>1.78</v>
      </c>
    </row>
    <row r="213" spans="1:11" ht="15" customHeight="1" x14ac:dyDescent="0.25">
      <c r="A213" s="29">
        <v>1.79</v>
      </c>
      <c r="B213" s="30">
        <v>0.19316786627381274</v>
      </c>
      <c r="C213" s="30">
        <v>0.78873068351611819</v>
      </c>
      <c r="D213" s="31">
        <v>1.6700765267067863</v>
      </c>
      <c r="E213">
        <f t="shared" si="10"/>
        <v>7.1410100773314262</v>
      </c>
      <c r="J213" s="25">
        <f t="shared" si="11"/>
        <v>0.20683213372618728</v>
      </c>
      <c r="K213" s="25">
        <f t="shared" si="9"/>
        <v>1.79</v>
      </c>
    </row>
    <row r="214" spans="1:11" ht="15" customHeight="1" x14ac:dyDescent="0.25">
      <c r="A214" s="29">
        <v>1.8</v>
      </c>
      <c r="B214" s="30">
        <v>0.1927259400574225</v>
      </c>
      <c r="C214" s="30">
        <v>0.78870162953082934</v>
      </c>
      <c r="D214" s="31">
        <v>1.6662557535380051</v>
      </c>
      <c r="E214">
        <f t="shared" si="10"/>
        <v>7.1246729938115081</v>
      </c>
      <c r="J214" s="25">
        <f t="shared" si="11"/>
        <v>0.20727405994257753</v>
      </c>
      <c r="K214" s="25">
        <f t="shared" si="9"/>
        <v>1.8</v>
      </c>
    </row>
    <row r="215" spans="1:11" ht="15" customHeight="1" x14ac:dyDescent="0.25">
      <c r="A215" s="29">
        <v>1.81</v>
      </c>
      <c r="B215" s="30">
        <v>0.19228791708259099</v>
      </c>
      <c r="C215" s="30">
        <v>0.78867153914908716</v>
      </c>
      <c r="D215" s="31">
        <v>1.6624687267279277</v>
      </c>
      <c r="E215">
        <f t="shared" si="10"/>
        <v>7.1084802049294238</v>
      </c>
      <c r="J215" s="25">
        <f t="shared" si="11"/>
        <v>0.20771208291740903</v>
      </c>
      <c r="K215" s="25">
        <f t="shared" si="9"/>
        <v>1.81</v>
      </c>
    </row>
    <row r="216" spans="1:11" ht="15" customHeight="1" x14ac:dyDescent="0.25">
      <c r="A216" s="29">
        <v>1.82</v>
      </c>
      <c r="B216" s="30">
        <v>0.19185374019514573</v>
      </c>
      <c r="C216" s="30">
        <v>0.78864043818481255</v>
      </c>
      <c r="D216" s="31">
        <v>1.6587149521372142</v>
      </c>
      <c r="E216">
        <f t="shared" si="10"/>
        <v>7.0924295978155252</v>
      </c>
      <c r="J216" s="25">
        <f t="shared" si="11"/>
        <v>0.20814625980485429</v>
      </c>
      <c r="K216" s="25">
        <f t="shared" si="9"/>
        <v>1.82</v>
      </c>
    </row>
    <row r="217" spans="1:11" ht="15" customHeight="1" x14ac:dyDescent="0.25">
      <c r="A217" s="29">
        <v>1.83</v>
      </c>
      <c r="B217" s="30">
        <v>0.19142335339254885</v>
      </c>
      <c r="C217" s="30">
        <v>0.78860835180062205</v>
      </c>
      <c r="D217" s="31">
        <v>1.6549939455832434</v>
      </c>
      <c r="E217">
        <f t="shared" si="10"/>
        <v>7.0765191021736769</v>
      </c>
      <c r="J217" s="25">
        <f t="shared" si="11"/>
        <v>0.20857664660745118</v>
      </c>
      <c r="K217" s="25">
        <f t="shared" si="9"/>
        <v>1.83</v>
      </c>
    </row>
    <row r="218" spans="1:11" ht="15" customHeight="1" x14ac:dyDescent="0.25">
      <c r="A218" s="29">
        <v>1.84</v>
      </c>
      <c r="B218" s="30">
        <v>0.19099670179465358</v>
      </c>
      <c r="C218" s="30">
        <v>0.78857530452688818</v>
      </c>
      <c r="D218" s="31">
        <v>1.6513052325872795</v>
      </c>
      <c r="E218">
        <f t="shared" si="10"/>
        <v>7.0607466892001804</v>
      </c>
      <c r="J218" s="25">
        <f t="shared" si="11"/>
        <v>0.20900329820534644</v>
      </c>
      <c r="K218" s="25">
        <f t="shared" si="9"/>
        <v>1.84</v>
      </c>
    </row>
    <row r="219" spans="1:11" ht="15" customHeight="1" x14ac:dyDescent="0.25">
      <c r="A219" s="29">
        <v>1.85</v>
      </c>
      <c r="B219" s="30">
        <v>0.19057373161535066</v>
      </c>
      <c r="C219" s="30">
        <v>0.78854132028014834</v>
      </c>
      <c r="D219" s="31">
        <v>1.6476483481293362</v>
      </c>
      <c r="E219">
        <f t="shared" si="10"/>
        <v>7.0451103705356077</v>
      </c>
      <c r="J219" s="25">
        <f t="shared" si="11"/>
        <v>0.20942626838464937</v>
      </c>
      <c r="K219" s="25">
        <f t="shared" si="9"/>
        <v>1.85</v>
      </c>
    </row>
    <row r="220" spans="1:11" ht="15" customHeight="1" x14ac:dyDescent="0.25">
      <c r="A220" s="29">
        <v>1.86</v>
      </c>
      <c r="B220" s="30">
        <v>0.19015439013507379</v>
      </c>
      <c r="C220" s="30">
        <v>0.78850642238088287</v>
      </c>
      <c r="D220" s="31">
        <v>1.6440228364104659</v>
      </c>
      <c r="E220">
        <f t="shared" si="10"/>
        <v>7.0296081972483826</v>
      </c>
      <c r="J220" s="25">
        <f t="shared" si="11"/>
        <v>0.20984560986492623</v>
      </c>
      <c r="K220" s="25">
        <f t="shared" si="9"/>
        <v>1.86</v>
      </c>
    </row>
    <row r="221" spans="1:11" ht="15" customHeight="1" x14ac:dyDescent="0.25">
      <c r="A221" s="29">
        <v>1.87</v>
      </c>
      <c r="B221" s="30">
        <v>0.18973862567413327</v>
      </c>
      <c r="C221" s="30">
        <v>0.78847063357069458</v>
      </c>
      <c r="D221" s="31">
        <v>1.6404282506222096</v>
      </c>
      <c r="E221">
        <f t="shared" si="10"/>
        <v>7.0142382588489811</v>
      </c>
      <c r="J221" s="25">
        <f t="shared" si="11"/>
        <v>0.21026137432586675</v>
      </c>
      <c r="K221" s="25">
        <f t="shared" si="9"/>
        <v>1.87</v>
      </c>
    </row>
    <row r="222" spans="1:11" ht="15" customHeight="1" x14ac:dyDescent="0.25">
      <c r="A222" s="29">
        <v>1.88</v>
      </c>
      <c r="B222" s="30">
        <v>0.18932638756684964</v>
      </c>
      <c r="C222" s="30">
        <v>0.78843397602890408</v>
      </c>
      <c r="D222" s="31">
        <v>1.636864152722963</v>
      </c>
      <c r="E222">
        <f t="shared" si="10"/>
        <v>6.9989986823337036</v>
      </c>
      <c r="J222" s="25">
        <f t="shared" si="11"/>
        <v>0.21067361243315039</v>
      </c>
      <c r="K222" s="25">
        <f t="shared" si="9"/>
        <v>1.88</v>
      </c>
    </row>
    <row r="223" spans="1:11" ht="15" customHeight="1" x14ac:dyDescent="0.25">
      <c r="A223" s="29">
        <v>1.89</v>
      </c>
      <c r="B223" s="30">
        <v>0.18891762613645882</v>
      </c>
      <c r="C223" s="30">
        <v>0.78839647138859448</v>
      </c>
      <c r="D223" s="31">
        <v>1.6333301132210143</v>
      </c>
      <c r="E223">
        <f t="shared" si="10"/>
        <v>6.9838876312569802</v>
      </c>
      <c r="J223" s="25">
        <f t="shared" si="11"/>
        <v>0.2110823738635412</v>
      </c>
      <c r="K223" s="25">
        <f t="shared" si="9"/>
        <v>1.89</v>
      </c>
    </row>
    <row r="224" spans="1:11" ht="15" customHeight="1" x14ac:dyDescent="0.25">
      <c r="A224" s="29">
        <v>1.9</v>
      </c>
      <c r="B224" s="30">
        <v>0.18851229267076222</v>
      </c>
      <c r="C224" s="30">
        <v>0.78835814075211508</v>
      </c>
      <c r="D224" s="31">
        <v>1.6298257109640206</v>
      </c>
      <c r="E224">
        <f t="shared" si="10"/>
        <v>6.9689033048311959</v>
      </c>
      <c r="J224" s="25">
        <f t="shared" si="11"/>
        <v>0.2114877073292378</v>
      </c>
      <c r="K224" s="25">
        <f t="shared" si="9"/>
        <v>1.9</v>
      </c>
    </row>
    <row r="225" spans="1:11" ht="15" customHeight="1" x14ac:dyDescent="0.25">
      <c r="A225" s="29">
        <v>1.91</v>
      </c>
      <c r="B225" s="30">
        <v>0.18811033939849681</v>
      </c>
      <c r="C225" s="30">
        <v>0.78831900470607597</v>
      </c>
      <c r="D225" s="31">
        <v>1.6263505329347105</v>
      </c>
      <c r="E225">
        <f t="shared" si="10"/>
        <v>6.9540439370531466</v>
      </c>
      <c r="J225" s="25">
        <f t="shared" si="11"/>
        <v>0.21188966060150322</v>
      </c>
      <c r="K225" s="25">
        <f t="shared" si="9"/>
        <v>1.91</v>
      </c>
    </row>
    <row r="226" spans="1:11" ht="15" customHeight="1" x14ac:dyDescent="0.25">
      <c r="A226" s="29">
        <v>1.92</v>
      </c>
      <c r="B226" s="30">
        <v>0.18771171946639917</v>
      </c>
      <c r="C226" s="30">
        <v>0.78827908333584451</v>
      </c>
      <c r="D226" s="31">
        <v>1.6229041740525865</v>
      </c>
      <c r="E226">
        <f t="shared" si="10"/>
        <v>6.9393077958561449</v>
      </c>
      <c r="J226" s="25">
        <f t="shared" si="11"/>
        <v>0.21228828053360085</v>
      </c>
      <c r="K226" s="25">
        <f t="shared" ref="K226:K284" si="12">A226</f>
        <v>1.92</v>
      </c>
    </row>
    <row r="227" spans="1:11" ht="15" customHeight="1" x14ac:dyDescent="0.25">
      <c r="A227" s="29">
        <v>1.93</v>
      </c>
      <c r="B227" s="30">
        <v>0.18731638691694127</v>
      </c>
      <c r="C227" s="30">
        <v>0.78823839623956682</v>
      </c>
      <c r="D227" s="31">
        <v>1.6194862369814336</v>
      </c>
      <c r="E227">
        <f t="shared" ref="E227:E284" si="13">D227*$E$15</f>
        <v>6.9246931822869593</v>
      </c>
      <c r="J227" s="25">
        <f t="shared" ref="J227:J284" si="14">ABS(B227-$B$20/100)</f>
        <v>0.21268361308305875</v>
      </c>
      <c r="K227" s="25">
        <f t="shared" si="12"/>
        <v>1.93</v>
      </c>
    </row>
    <row r="228" spans="1:11" ht="15" customHeight="1" x14ac:dyDescent="0.25">
      <c r="A228" s="29">
        <v>1.94</v>
      </c>
      <c r="B228" s="30">
        <v>0.18692429666671428</v>
      </c>
      <c r="C228" s="30">
        <v>0.78819696254173366</v>
      </c>
      <c r="D228" s="31">
        <v>1.6160963319424324</v>
      </c>
      <c r="E228">
        <f t="shared" si="13"/>
        <v>6.9101984297067061</v>
      </c>
      <c r="J228" s="25">
        <f t="shared" si="14"/>
        <v>0.21307570333328574</v>
      </c>
      <c r="K228" s="25">
        <f t="shared" si="12"/>
        <v>1.94</v>
      </c>
    </row>
    <row r="229" spans="1:11" ht="15" customHeight="1" x14ac:dyDescent="0.25">
      <c r="A229" s="29">
        <v>1.95</v>
      </c>
      <c r="B229" s="30">
        <v>0.18653540448543784</v>
      </c>
      <c r="C229" s="30">
        <v>0.78815480090630219</v>
      </c>
      <c r="D229" s="31">
        <v>1.6127340765326794</v>
      </c>
      <c r="E229">
        <f t="shared" si="13"/>
        <v>6.8958219030148697</v>
      </c>
      <c r="J229" s="25">
        <f t="shared" si="14"/>
        <v>0.21346459551456218</v>
      </c>
      <c r="K229" s="25">
        <f t="shared" si="12"/>
        <v>1.95</v>
      </c>
    </row>
    <row r="230" spans="1:11" ht="15" customHeight="1" x14ac:dyDescent="0.25">
      <c r="A230" s="29">
        <v>1.96</v>
      </c>
      <c r="B230" s="30">
        <v>0.18614966697557628</v>
      </c>
      <c r="C230" s="30">
        <v>0.78811192954939779</v>
      </c>
      <c r="D230" s="31">
        <v>1.6093990955489532</v>
      </c>
      <c r="E230">
        <f t="shared" si="13"/>
        <v>6.8815619978957567</v>
      </c>
      <c r="J230" s="25">
        <f t="shared" si="14"/>
        <v>0.21385033302442374</v>
      </c>
      <c r="K230" s="25">
        <f t="shared" si="12"/>
        <v>1.96</v>
      </c>
    </row>
    <row r="231" spans="1:11" ht="15" customHeight="1" x14ac:dyDescent="0.25">
      <c r="A231" s="29">
        <v>1.97</v>
      </c>
      <c r="B231" s="30">
        <v>0.18576704155253804</v>
      </c>
      <c r="C231" s="30">
        <v>0.78806836625160415</v>
      </c>
      <c r="D231" s="31">
        <v>1.6060910208165253</v>
      </c>
      <c r="E231">
        <f t="shared" si="13"/>
        <v>6.8674171400865074</v>
      </c>
      <c r="J231" s="25">
        <f t="shared" si="14"/>
        <v>0.21423295844746199</v>
      </c>
      <c r="K231" s="25">
        <f t="shared" si="12"/>
        <v>1.97</v>
      </c>
    </row>
    <row r="232" spans="1:11" ht="15" customHeight="1" x14ac:dyDescent="0.25">
      <c r="A232" s="29">
        <v>1.98</v>
      </c>
      <c r="B232" s="30">
        <v>0.18538748642544212</v>
      </c>
      <c r="C232" s="30">
        <v>0.78802412836986357</v>
      </c>
      <c r="D232" s="31">
        <v>1.6028094910228712</v>
      </c>
      <c r="E232">
        <f t="shared" si="13"/>
        <v>6.8533857846660728</v>
      </c>
      <c r="J232" s="25">
        <f t="shared" si="14"/>
        <v>0.21461251357455791</v>
      </c>
      <c r="K232" s="25">
        <f t="shared" si="12"/>
        <v>1.98</v>
      </c>
    </row>
    <row r="233" spans="1:11" ht="15" customHeight="1" x14ac:dyDescent="0.25">
      <c r="A233" s="29">
        <v>1.99</v>
      </c>
      <c r="B233" s="30">
        <v>0.18501096057842967</v>
      </c>
      <c r="C233" s="30">
        <v>0.78797923284899629</v>
      </c>
      <c r="D233" s="31">
        <v>1.599554151556096</v>
      </c>
      <c r="E233">
        <f t="shared" si="13"/>
        <v>6.8394664153643463</v>
      </c>
      <c r="J233" s="25">
        <f t="shared" si="14"/>
        <v>0.21498903942157035</v>
      </c>
      <c r="K233" s="25">
        <f t="shared" si="12"/>
        <v>1.99</v>
      </c>
    </row>
    <row r="234" spans="1:11" ht="15" customHeight="1" x14ac:dyDescent="0.25">
      <c r="A234" s="29">
        <v>2</v>
      </c>
      <c r="B234" s="30">
        <v>0.18463742375250583</v>
      </c>
      <c r="C234" s="30">
        <v>0.7879336962328567</v>
      </c>
      <c r="D234" s="31">
        <v>1.5963246543479441</v>
      </c>
      <c r="E234">
        <f t="shared" si="13"/>
        <v>6.825657543890892</v>
      </c>
      <c r="J234" s="25">
        <f t="shared" si="14"/>
        <v>0.21536257624749419</v>
      </c>
      <c r="K234" s="25">
        <f t="shared" si="12"/>
        <v>2</v>
      </c>
    </row>
    <row r="235" spans="1:11" ht="15" customHeight="1" x14ac:dyDescent="0.25">
      <c r="A235" s="29">
        <v>2.0099999999999998</v>
      </c>
      <c r="B235" s="30">
        <v>0.18426683642789146</v>
      </c>
      <c r="C235" s="30">
        <v>0.78788753467513917</v>
      </c>
      <c r="D235" s="31">
        <v>1.5931206577212162</v>
      </c>
      <c r="E235">
        <f t="shared" si="13"/>
        <v>6.8119577092825248</v>
      </c>
      <c r="J235" s="25">
        <f t="shared" si="14"/>
        <v>0.21573316357210856</v>
      </c>
      <c r="K235" s="25">
        <f t="shared" si="12"/>
        <v>2.0099999999999998</v>
      </c>
    </row>
    <row r="236" spans="1:11" ht="15" customHeight="1" x14ac:dyDescent="0.25">
      <c r="A236" s="29">
        <v>2.02</v>
      </c>
      <c r="B236" s="30">
        <v>0.18389915980687038</v>
      </c>
      <c r="C236" s="30">
        <v>0.7878407639498427</v>
      </c>
      <c r="D236" s="31">
        <v>1.5899418262414722</v>
      </c>
      <c r="E236">
        <f t="shared" si="13"/>
        <v>6.7983654772692095</v>
      </c>
      <c r="J236" s="25">
        <f t="shared" si="14"/>
        <v>0.21610084019312964</v>
      </c>
      <c r="K236" s="25">
        <f t="shared" si="12"/>
        <v>2.02</v>
      </c>
    </row>
    <row r="237" spans="1:11" ht="15" customHeight="1" x14ac:dyDescent="0.25">
      <c r="A237" s="29">
        <v>2.0299999999999998</v>
      </c>
      <c r="B237" s="30">
        <v>0.18353435579711447</v>
      </c>
      <c r="C237" s="30">
        <v>0.78779339946141114</v>
      </c>
      <c r="D237" s="31">
        <v>1.5867878305728642</v>
      </c>
      <c r="E237">
        <f t="shared" si="13"/>
        <v>6.7848794396576269</v>
      </c>
      <c r="J237" s="25">
        <f t="shared" si="14"/>
        <v>0.21646564420288555</v>
      </c>
      <c r="K237" s="25">
        <f t="shared" si="12"/>
        <v>2.0299999999999998</v>
      </c>
    </row>
    <row r="238" spans="1:11" ht="15" customHeight="1" x14ac:dyDescent="0.25">
      <c r="A238" s="29">
        <v>2.04</v>
      </c>
      <c r="B238" s="30">
        <v>0.18317238699547211</v>
      </c>
      <c r="C238" s="30">
        <v>0.78774545625456127</v>
      </c>
      <c r="D238" s="31">
        <v>1.5836583473379755</v>
      </c>
      <c r="E238">
        <f t="shared" si="13"/>
        <v>6.7714982137318618</v>
      </c>
      <c r="J238" s="25">
        <f t="shared" si="14"/>
        <v>0.21682761300452791</v>
      </c>
      <c r="K238" s="25">
        <f t="shared" si="12"/>
        <v>2.04</v>
      </c>
    </row>
    <row r="239" spans="1:11" ht="15" customHeight="1" x14ac:dyDescent="0.25">
      <c r="A239" s="29">
        <v>2.0499999999999998</v>
      </c>
      <c r="B239" s="30">
        <v>0.18281321667220407</v>
      </c>
      <c r="C239" s="30">
        <v>0.78769694902380227</v>
      </c>
      <c r="D239" s="31">
        <v>1.5805530589815293</v>
      </c>
      <c r="E239">
        <f t="shared" si="13"/>
        <v>6.7582204416706446</v>
      </c>
      <c r="J239" s="25">
        <f t="shared" si="14"/>
        <v>0.21718678332779595</v>
      </c>
      <c r="K239" s="25">
        <f t="shared" si="12"/>
        <v>2.0499999999999998</v>
      </c>
    </row>
    <row r="240" spans="1:11" ht="15" customHeight="1" x14ac:dyDescent="0.25">
      <c r="A240" s="29">
        <v>2.06</v>
      </c>
      <c r="B240" s="30">
        <v>0.18245680875565323</v>
      </c>
      <c r="C240" s="30">
        <v>0.78764789212266639</v>
      </c>
      <c r="D240" s="31">
        <v>1.5774716536378461</v>
      </c>
      <c r="E240">
        <f t="shared" si="13"/>
        <v>6.7450447899806143</v>
      </c>
      <c r="J240" s="25">
        <f t="shared" si="14"/>
        <v>0.21754319124434679</v>
      </c>
      <c r="K240" s="25">
        <f t="shared" si="12"/>
        <v>2.06</v>
      </c>
    </row>
    <row r="241" spans="1:11" ht="15" customHeight="1" x14ac:dyDescent="0.25">
      <c r="A241" s="29">
        <v>2.0699999999999998</v>
      </c>
      <c r="B241" s="30">
        <v>0.18210312781733473</v>
      </c>
      <c r="C241" s="30">
        <v>0.78759829957265814</v>
      </c>
      <c r="D241" s="31">
        <v>1.5744138250019377</v>
      </c>
      <c r="E241">
        <f t="shared" si="13"/>
        <v>6.7319699489451361</v>
      </c>
      <c r="J241" s="25">
        <f t="shared" si="14"/>
        <v>0.21789687218266529</v>
      </c>
      <c r="K241" s="25">
        <f t="shared" si="12"/>
        <v>2.0699999999999998</v>
      </c>
    </row>
    <row r="242" spans="1:11" ht="15" customHeight="1" x14ac:dyDescent="0.25">
      <c r="A242" s="29">
        <v>2.08</v>
      </c>
      <c r="B242" s="30">
        <v>0.18175213905743073</v>
      </c>
      <c r="C242" s="30">
        <v>0.78754818507192936</v>
      </c>
      <c r="D242" s="31">
        <v>1.5713792722040998</v>
      </c>
      <c r="E242">
        <f t="shared" si="13"/>
        <v>6.7189946320880782</v>
      </c>
      <c r="J242" s="25">
        <f t="shared" si="14"/>
        <v>0.21824786094256929</v>
      </c>
      <c r="K242" s="25">
        <f t="shared" si="12"/>
        <v>2.08</v>
      </c>
    </row>
    <row r="243" spans="1:11" ht="15" customHeight="1" x14ac:dyDescent="0.25">
      <c r="A243" s="29">
        <v>2.09</v>
      </c>
      <c r="B243" s="30">
        <v>0.18140380829068042</v>
      </c>
      <c r="C243" s="30">
        <v>0.78749756200369181</v>
      </c>
      <c r="D243" s="31">
        <v>1.5683676996879192</v>
      </c>
      <c r="E243">
        <f t="shared" si="13"/>
        <v>6.7061175756521871</v>
      </c>
      <c r="J243" s="25">
        <f t="shared" si="14"/>
        <v>0.2185961917093196</v>
      </c>
      <c r="K243" s="25">
        <f t="shared" si="12"/>
        <v>2.09</v>
      </c>
    </row>
    <row r="244" spans="1:11" ht="15" customHeight="1" x14ac:dyDescent="0.25">
      <c r="A244" s="29">
        <v>2.1</v>
      </c>
      <c r="B244" s="30">
        <v>0.1810581019326501</v>
      </c>
      <c r="C244" s="30">
        <v>0.78744644344437909</v>
      </c>
      <c r="D244" s="31">
        <v>1.5653788170915699</v>
      </c>
      <c r="E244">
        <f t="shared" si="13"/>
        <v>6.6933375380915265</v>
      </c>
      <c r="J244" s="25">
        <f t="shared" si="14"/>
        <v>0.21894189806734993</v>
      </c>
      <c r="K244" s="25">
        <f t="shared" si="12"/>
        <v>2.1</v>
      </c>
    </row>
    <row r="245" spans="1:11" ht="15" customHeight="1" x14ac:dyDescent="0.25">
      <c r="A245" s="29">
        <v>2.11</v>
      </c>
      <c r="B245" s="30">
        <v>0.18071498698637242</v>
      </c>
      <c r="C245" s="30">
        <v>0.78739484217155842</v>
      </c>
      <c r="D245" s="31">
        <v>1.562412339132299</v>
      </c>
      <c r="E245">
        <f t="shared" si="13"/>
        <v>6.6806532995775543</v>
      </c>
      <c r="J245" s="25">
        <f t="shared" si="14"/>
        <v>0.2192850130136276</v>
      </c>
      <c r="K245" s="25">
        <f t="shared" si="12"/>
        <v>2.11</v>
      </c>
    </row>
    <row r="246" spans="1:11" ht="15" customHeight="1" x14ac:dyDescent="0.25">
      <c r="A246" s="29">
        <v>2.12</v>
      </c>
      <c r="B246" s="30">
        <v>0.18037443102934322</v>
      </c>
      <c r="C246" s="30">
        <v>0.78734277067161385</v>
      </c>
      <c r="D246" s="31">
        <v>1.5594679854940059</v>
      </c>
      <c r="E246">
        <f t="shared" si="13"/>
        <v>6.6680636615184294</v>
      </c>
      <c r="J246" s="25">
        <f t="shared" si="14"/>
        <v>0.2196255689706568</v>
      </c>
      <c r="K246" s="25">
        <f t="shared" si="12"/>
        <v>2.12</v>
      </c>
    </row>
    <row r="247" spans="1:11" ht="15" customHeight="1" x14ac:dyDescent="0.25">
      <c r="A247" s="29">
        <v>2.13</v>
      </c>
      <c r="B247" s="30">
        <v>0.180036402200865</v>
      </c>
      <c r="C247" s="30">
        <v>0.78729024114719393</v>
      </c>
      <c r="D247" s="31">
        <v>1.5565454807178158</v>
      </c>
      <c r="E247">
        <f t="shared" si="13"/>
        <v>6.6555674460911192</v>
      </c>
      <c r="J247" s="25">
        <f t="shared" si="14"/>
        <v>0.21996359779913502</v>
      </c>
      <c r="K247" s="25">
        <f t="shared" si="12"/>
        <v>2.13</v>
      </c>
    </row>
    <row r="248" spans="1:11" ht="15" customHeight="1" x14ac:dyDescent="0.25">
      <c r="A248" s="29">
        <v>2.14</v>
      </c>
      <c r="B248" s="30">
        <v>0.17970086918972533</v>
      </c>
      <c r="C248" s="30">
        <v>0.78723726552444329</v>
      </c>
      <c r="D248" s="31">
        <v>1.5536445540955519</v>
      </c>
      <c r="E248">
        <f t="shared" si="13"/>
        <v>6.6431634957858989</v>
      </c>
      <c r="J248" s="25">
        <f t="shared" si="14"/>
        <v>0.22029913081027469</v>
      </c>
      <c r="K248" s="25">
        <f t="shared" si="12"/>
        <v>2.14</v>
      </c>
    </row>
    <row r="249" spans="1:11" ht="15" customHeight="1" x14ac:dyDescent="0.25">
      <c r="A249" s="29">
        <v>2.15</v>
      </c>
      <c r="B249" s="30">
        <v>0.17936780122220169</v>
      </c>
      <c r="C249" s="30">
        <v>0.78718385546002245</v>
      </c>
      <c r="D249" s="31">
        <v>1.5507649395660283</v>
      </c>
      <c r="E249">
        <f t="shared" si="13"/>
        <v>6.6308506729629197</v>
      </c>
      <c r="J249" s="25">
        <f t="shared" si="14"/>
        <v>0.22063219877779833</v>
      </c>
      <c r="K249" s="25">
        <f t="shared" si="12"/>
        <v>2.15</v>
      </c>
    </row>
    <row r="250" spans="1:11" ht="15" customHeight="1" x14ac:dyDescent="0.25">
      <c r="A250" s="29">
        <v>2.16</v>
      </c>
      <c r="B250" s="30">
        <v>0.17903716805038003</v>
      </c>
      <c r="C250" s="30">
        <v>0.78713002234791696</v>
      </c>
      <c r="D250" s="31">
        <v>1.5479063756140548</v>
      </c>
      <c r="E250">
        <f t="shared" si="13"/>
        <v>6.6186278594203616</v>
      </c>
      <c r="J250" s="25">
        <f t="shared" si="14"/>
        <v>0.22096283194961999</v>
      </c>
      <c r="K250" s="25">
        <f t="shared" si="12"/>
        <v>2.16</v>
      </c>
    </row>
    <row r="251" spans="1:11" ht="15" customHeight="1" x14ac:dyDescent="0.25">
      <c r="A251" s="29">
        <v>2.17</v>
      </c>
      <c r="B251" s="30">
        <v>0.17870893994078052</v>
      </c>
      <c r="C251" s="30">
        <v>0.78707577732605394</v>
      </c>
      <c r="D251" s="31">
        <v>1.545068605172099</v>
      </c>
      <c r="E251">
        <f t="shared" si="13"/>
        <v>6.6064939559739617</v>
      </c>
      <c r="J251" s="25">
        <f t="shared" si="14"/>
        <v>0.2212910600592195</v>
      </c>
      <c r="K251" s="25">
        <f t="shared" si="12"/>
        <v>2.17</v>
      </c>
    </row>
    <row r="252" spans="1:11" ht="15" customHeight="1" x14ac:dyDescent="0.25">
      <c r="A252" s="29">
        <v>2.1800000000000002</v>
      </c>
      <c r="B252" s="30">
        <v>0.17838308766327837</v>
      </c>
      <c r="C252" s="30">
        <v>0.78702113128272311</v>
      </c>
      <c r="D252" s="31">
        <v>1.5422513755244986</v>
      </c>
      <c r="E252">
        <f t="shared" si="13"/>
        <v>6.5944478820474322</v>
      </c>
      <c r="J252" s="25">
        <f t="shared" si="14"/>
        <v>0.22161691233672165</v>
      </c>
      <c r="K252" s="25">
        <f t="shared" si="12"/>
        <v>2.1800000000000002</v>
      </c>
    </row>
    <row r="253" spans="1:11" ht="15" customHeight="1" x14ac:dyDescent="0.25">
      <c r="A253" s="29">
        <v>2.19</v>
      </c>
      <c r="B253" s="30">
        <v>0.17805958248031289</v>
      </c>
      <c r="C253" s="30">
        <v>0.78696609486281166</v>
      </c>
      <c r="D253" s="31">
        <v>1.5394544382141657</v>
      </c>
      <c r="E253">
        <f t="shared" si="13"/>
        <v>6.5824885752735467</v>
      </c>
      <c r="J253" s="25">
        <f t="shared" si="14"/>
        <v>0.22194041751968713</v>
      </c>
      <c r="K253" s="25">
        <f t="shared" si="12"/>
        <v>2.19</v>
      </c>
    </row>
    <row r="254" spans="1:11" ht="15" customHeight="1" x14ac:dyDescent="0.25">
      <c r="A254" s="29">
        <v>2.2000000000000002</v>
      </c>
      <c r="B254" s="30">
        <v>0.1777383961363744</v>
      </c>
      <c r="C254" s="30">
        <v>0.78691067847386331</v>
      </c>
      <c r="D254" s="31">
        <v>1.5366775489516933</v>
      </c>
      <c r="E254">
        <f t="shared" si="13"/>
        <v>6.5706149911054901</v>
      </c>
      <c r="J254" s="25">
        <f t="shared" si="14"/>
        <v>0.22226160386362562</v>
      </c>
      <c r="K254" s="25">
        <f t="shared" si="12"/>
        <v>2.2000000000000002</v>
      </c>
    </row>
    <row r="255" spans="1:11" ht="15" customHeight="1" x14ac:dyDescent="0.25">
      <c r="A255" s="29">
        <v>2.21</v>
      </c>
      <c r="B255" s="30">
        <v>0.17741950084776195</v>
      </c>
      <c r="C255" s="30">
        <v>0.78685489229195915</v>
      </c>
      <c r="D255" s="31">
        <v>1.5339204675268041</v>
      </c>
      <c r="E255">
        <f t="shared" si="13"/>
        <v>6.5588261024382257</v>
      </c>
      <c r="J255" s="25">
        <f t="shared" si="14"/>
        <v>0.22258049915223807</v>
      </c>
      <c r="K255" s="25">
        <f t="shared" si="12"/>
        <v>2.21</v>
      </c>
    </row>
    <row r="256" spans="1:11" ht="15" customHeight="1" x14ac:dyDescent="0.25">
      <c r="A256" s="29">
        <v>2.2200000000000002</v>
      </c>
      <c r="B256" s="30">
        <v>0.17710286929260316</v>
      </c>
      <c r="C256" s="30">
        <v>0.78679874626743673</v>
      </c>
      <c r="D256" s="31">
        <v>1.5311829577220635</v>
      </c>
      <c r="E256">
        <f t="shared" si="13"/>
        <v>6.5471208992395473</v>
      </c>
      <c r="J256" s="25">
        <f t="shared" si="14"/>
        <v>0.22289713070739686</v>
      </c>
      <c r="K256" s="25">
        <f t="shared" si="12"/>
        <v>2.2200000000000002</v>
      </c>
    </row>
    <row r="257" spans="1:11" ht="15" customHeight="1" x14ac:dyDescent="0.25">
      <c r="A257" s="29">
        <v>2.23</v>
      </c>
      <c r="B257" s="30">
        <v>0.17678847460112776</v>
      </c>
      <c r="C257" s="30">
        <v>0.78674225013043819</v>
      </c>
      <c r="D257" s="31">
        <v>1.5284647872287889</v>
      </c>
      <c r="E257">
        <f t="shared" si="13"/>
        <v>6.5354983881905149</v>
      </c>
      <c r="J257" s="25">
        <f t="shared" si="14"/>
        <v>0.22321152539887226</v>
      </c>
      <c r="K257" s="25">
        <f t="shared" si="12"/>
        <v>2.23</v>
      </c>
    </row>
    <row r="258" spans="1:11" ht="15" customHeight="1" x14ac:dyDescent="0.25">
      <c r="A258" s="29">
        <v>2.2400000000000002</v>
      </c>
      <c r="B258" s="30">
        <v>0.17647629034618892</v>
      </c>
      <c r="C258" s="30">
        <v>0.78668541339631171</v>
      </c>
      <c r="D258" s="31">
        <v>1.5257657275650984</v>
      </c>
      <c r="E258">
        <f t="shared" si="13"/>
        <v>6.523957592335047</v>
      </c>
      <c r="J258" s="25">
        <f t="shared" si="14"/>
        <v>0.2235237096538111</v>
      </c>
      <c r="K258" s="25">
        <f t="shared" si="12"/>
        <v>2.2400000000000002</v>
      </c>
    </row>
    <row r="259" spans="1:11" ht="15" customHeight="1" x14ac:dyDescent="0.25">
      <c r="A259" s="29">
        <v>2.25</v>
      </c>
      <c r="B259" s="30">
        <v>0.17616629053402327</v>
      </c>
      <c r="C259" s="30">
        <v>0.78662824537085341</v>
      </c>
      <c r="D259" s="31">
        <v>1.5230855539960251</v>
      </c>
      <c r="E259">
        <f t="shared" si="13"/>
        <v>6.5124975507383365</v>
      </c>
      <c r="J259" s="25">
        <f t="shared" si="14"/>
        <v>0.22383370946597675</v>
      </c>
      <c r="K259" s="25">
        <f t="shared" si="12"/>
        <v>2.25</v>
      </c>
    </row>
    <row r="260" spans="1:11" ht="15" customHeight="1" x14ac:dyDescent="0.25">
      <c r="A260" s="29">
        <v>2.2599999999999998</v>
      </c>
      <c r="B260" s="30">
        <v>0.17585844959524363</v>
      </c>
      <c r="C260" s="30">
        <v>0.78657075515540464</v>
      </c>
      <c r="D260" s="31">
        <v>1.5204240454556424</v>
      </c>
      <c r="E260">
        <f t="shared" si="13"/>
        <v>6.5011173181538728</v>
      </c>
      <c r="J260" s="25">
        <f t="shared" si="14"/>
        <v>0.22414155040475639</v>
      </c>
      <c r="K260" s="25">
        <f t="shared" si="12"/>
        <v>2.2599999999999998</v>
      </c>
    </row>
    <row r="261" spans="1:11" ht="15" customHeight="1" x14ac:dyDescent="0.25">
      <c r="A261" s="29">
        <v>2.27</v>
      </c>
      <c r="B261" s="30">
        <v>0.1755527423760572</v>
      </c>
      <c r="C261" s="30">
        <v>0.78651295165180735</v>
      </c>
      <c r="D261" s="31">
        <v>1.5177809844711392</v>
      </c>
      <c r="E261">
        <f t="shared" si="13"/>
        <v>6.4898159646987965</v>
      </c>
      <c r="J261" s="25">
        <f t="shared" si="14"/>
        <v>0.22444725762394283</v>
      </c>
      <c r="K261" s="25">
        <f t="shared" si="12"/>
        <v>2.27</v>
      </c>
    </row>
    <row r="262" spans="1:11" ht="15" customHeight="1" x14ac:dyDescent="0.25">
      <c r="A262" s="29">
        <v>2.2799999999999998</v>
      </c>
      <c r="B262" s="30">
        <v>0.17524914412970322</v>
      </c>
      <c r="C262" s="30">
        <v>0.78645484356722251</v>
      </c>
      <c r="D262" s="31">
        <v>1.5151561570887917</v>
      </c>
      <c r="E262">
        <f t="shared" si="13"/>
        <v>6.478592575537367</v>
      </c>
      <c r="J262" s="25">
        <f t="shared" si="14"/>
        <v>0.22475085587029681</v>
      </c>
      <c r="K262" s="25">
        <f t="shared" si="12"/>
        <v>2.2799999999999998</v>
      </c>
    </row>
    <row r="263" spans="1:11" ht="15" customHeight="1" x14ac:dyDescent="0.25">
      <c r="A263" s="29">
        <v>2.29</v>
      </c>
      <c r="B263" s="30">
        <v>0.17494763050810253</v>
      </c>
      <c r="C263" s="30">
        <v>0.7863964394188121</v>
      </c>
      <c r="D263" s="31">
        <v>1.5125493528017686</v>
      </c>
      <c r="E263">
        <f t="shared" si="13"/>
        <v>6.467446250572265</v>
      </c>
      <c r="J263" s="25">
        <f t="shared" si="14"/>
        <v>0.2250523694918975</v>
      </c>
      <c r="K263" s="25">
        <f t="shared" si="12"/>
        <v>2.29</v>
      </c>
    </row>
    <row r="264" spans="1:11" ht="15" customHeight="1" x14ac:dyDescent="0.25">
      <c r="A264" s="29">
        <v>2.2999999999999998</v>
      </c>
      <c r="B264" s="30">
        <v>0.17464817755371459</v>
      </c>
      <c r="C264" s="30">
        <v>0.78633774753829766</v>
      </c>
      <c r="D264" s="31">
        <v>1.5099603644797286</v>
      </c>
      <c r="E264">
        <f t="shared" si="13"/>
        <v>6.4563761041435637</v>
      </c>
      <c r="J264" s="25">
        <f t="shared" si="14"/>
        <v>0.22535182244628543</v>
      </c>
      <c r="K264" s="25">
        <f t="shared" si="12"/>
        <v>2.2999999999999998</v>
      </c>
    </row>
    <row r="265" spans="1:11" ht="15" customHeight="1" x14ac:dyDescent="0.25">
      <c r="A265" s="29">
        <v>2.31</v>
      </c>
      <c r="B265" s="30">
        <v>0.17435076169159369</v>
      </c>
      <c r="C265" s="30">
        <v>0.78627877607638619</v>
      </c>
      <c r="D265" s="31">
        <v>1.5073889883001403</v>
      </c>
      <c r="E265">
        <f t="shared" si="13"/>
        <v>6.4453812647350617</v>
      </c>
      <c r="J265" s="25">
        <f t="shared" si="14"/>
        <v>0.22564923830840633</v>
      </c>
      <c r="K265" s="25">
        <f t="shared" si="12"/>
        <v>2.31</v>
      </c>
    </row>
    <row r="266" spans="1:11" ht="15" customHeight="1" x14ac:dyDescent="0.25">
      <c r="A266" s="29">
        <v>2.3199999999999998</v>
      </c>
      <c r="B266" s="30">
        <v>0.17405535972164157</v>
      </c>
      <c r="C266" s="30">
        <v>0.78621953300708092</v>
      </c>
      <c r="D266" s="31">
        <v>1.5048350236813013</v>
      </c>
      <c r="E266">
        <f t="shared" si="13"/>
        <v>6.4344608746878817</v>
      </c>
      <c r="J266" s="25">
        <f t="shared" si="14"/>
        <v>0.22594464027835845</v>
      </c>
      <c r="K266" s="25">
        <f t="shared" si="12"/>
        <v>2.3199999999999998</v>
      </c>
    </row>
    <row r="267" spans="1:11" ht="15" customHeight="1" x14ac:dyDescent="0.25">
      <c r="A267" s="29">
        <v>2.33</v>
      </c>
      <c r="B267" s="30">
        <v>0.17376194881104792</v>
      </c>
      <c r="C267" s="30">
        <v>0.78616002613187375</v>
      </c>
      <c r="D267" s="31">
        <v>1.5022982732169794</v>
      </c>
      <c r="E267">
        <f t="shared" si="13"/>
        <v>6.4236140899210072</v>
      </c>
      <c r="J267" s="25">
        <f t="shared" si="14"/>
        <v>0.2262380511889521</v>
      </c>
      <c r="K267" s="25">
        <f t="shared" si="12"/>
        <v>2.33</v>
      </c>
    </row>
    <row r="268" spans="1:11" ht="15" customHeight="1" x14ac:dyDescent="0.25">
      <c r="A268" s="29">
        <v>2.34</v>
      </c>
      <c r="B268" s="30">
        <v>0.173470506486915</v>
      </c>
      <c r="C268" s="30">
        <v>0.78610026308382142</v>
      </c>
      <c r="D268" s="31">
        <v>1.4997785426126495</v>
      </c>
      <c r="E268">
        <f t="shared" si="13"/>
        <v>6.4128400796586389</v>
      </c>
      <c r="J268" s="25">
        <f t="shared" si="14"/>
        <v>0.22652949351308502</v>
      </c>
      <c r="K268" s="25">
        <f t="shared" si="12"/>
        <v>2.34</v>
      </c>
    </row>
    <row r="269" spans="1:11" ht="15" customHeight="1" x14ac:dyDescent="0.25">
      <c r="A269" s="29">
        <v>2.35</v>
      </c>
      <c r="B269" s="30">
        <v>0.17318101062906152</v>
      </c>
      <c r="C269" s="30">
        <v>0.78604025133151478</v>
      </c>
      <c r="D269" s="31">
        <v>1.497275640623275</v>
      </c>
      <c r="E269">
        <f t="shared" si="13"/>
        <v>6.4021380261641561</v>
      </c>
      <c r="J269" s="25">
        <f t="shared" si="14"/>
        <v>0.2268189893709385</v>
      </c>
      <c r="K269" s="25">
        <f t="shared" si="12"/>
        <v>2.35</v>
      </c>
    </row>
    <row r="270" spans="1:11" ht="15" customHeight="1" x14ac:dyDescent="0.25">
      <c r="A270" s="29">
        <v>2.36</v>
      </c>
      <c r="B270" s="30">
        <v>0.17289343946299918</v>
      </c>
      <c r="C270" s="30">
        <v>0.78597999818293751</v>
      </c>
      <c r="D270" s="31">
        <v>1.4947893789925872</v>
      </c>
      <c r="E270">
        <f t="shared" si="13"/>
        <v>6.3915071244804871</v>
      </c>
      <c r="J270" s="25">
        <f t="shared" si="14"/>
        <v>0.22710656053700085</v>
      </c>
      <c r="K270" s="25">
        <f t="shared" si="12"/>
        <v>2.36</v>
      </c>
    </row>
    <row r="271" spans="1:11" ht="15" customHeight="1" x14ac:dyDescent="0.25">
      <c r="A271" s="29">
        <v>2.37</v>
      </c>
      <c r="B271" s="30">
        <v>0.17260777155307835</v>
      </c>
      <c r="C271" s="30">
        <v>0.7859195107892275</v>
      </c>
      <c r="D271" s="31">
        <v>1.4923195723938236</v>
      </c>
      <c r="E271">
        <f t="shared" si="13"/>
        <v>6.3809465821767102</v>
      </c>
      <c r="J271" s="25">
        <f t="shared" si="14"/>
        <v>0.22739222844692167</v>
      </c>
      <c r="K271" s="25">
        <f t="shared" si="12"/>
        <v>2.37</v>
      </c>
    </row>
    <row r="272" spans="1:11" ht="15" customHeight="1" x14ac:dyDescent="0.25">
      <c r="A272" s="29">
        <v>2.38</v>
      </c>
      <c r="B272" s="30">
        <v>0.17232398579579764</v>
      </c>
      <c r="C272" s="30">
        <v>0.78585879614832999</v>
      </c>
      <c r="D272" s="31">
        <v>1.489866038371884</v>
      </c>
      <c r="E272">
        <f t="shared" si="13"/>
        <v>6.3704556191007278</v>
      </c>
      <c r="J272" s="25">
        <f t="shared" si="14"/>
        <v>0.22767601420420239</v>
      </c>
      <c r="K272" s="25">
        <f t="shared" si="12"/>
        <v>2.38</v>
      </c>
    </row>
    <row r="273" spans="1:11" ht="15" customHeight="1" x14ac:dyDescent="0.25">
      <c r="A273" s="29">
        <v>2.39</v>
      </c>
      <c r="B273" s="30">
        <v>0.17204206141327241</v>
      </c>
      <c r="C273" s="30">
        <v>0.78579786110856054</v>
      </c>
      <c r="D273" s="31">
        <v>1.4874285972868628</v>
      </c>
      <c r="E273">
        <f t="shared" si="13"/>
        <v>6.3600334671378116</v>
      </c>
      <c r="J273" s="25">
        <f t="shared" si="14"/>
        <v>0.22795793858672761</v>
      </c>
      <c r="K273" s="25">
        <f t="shared" si="12"/>
        <v>2.39</v>
      </c>
    </row>
    <row r="274" spans="1:11" ht="15" customHeight="1" x14ac:dyDescent="0.25">
      <c r="A274" s="29">
        <v>2.4</v>
      </c>
      <c r="B274" s="30">
        <v>0.1717619779468591</v>
      </c>
      <c r="C274" s="30">
        <v>0.78573671237206877</v>
      </c>
      <c r="D274" s="31">
        <v>1.4850070722589244</v>
      </c>
      <c r="E274">
        <f t="shared" si="13"/>
        <v>6.3496793699749006</v>
      </c>
      <c r="J274" s="25">
        <f t="shared" si="14"/>
        <v>0.22823802205314092</v>
      </c>
      <c r="K274" s="25">
        <f t="shared" si="12"/>
        <v>2.4</v>
      </c>
    </row>
    <row r="275" spans="1:11" ht="15" customHeight="1" x14ac:dyDescent="0.25">
      <c r="A275" s="29">
        <v>2.41</v>
      </c>
      <c r="B275" s="30">
        <v>0.17148371525092945</v>
      </c>
      <c r="C275" s="30">
        <v>0.78567535649821485</v>
      </c>
      <c r="D275" s="31">
        <v>1.4826012891144777</v>
      </c>
      <c r="E275">
        <f t="shared" si="13"/>
        <v>6.3393925828704534</v>
      </c>
      <c r="J275" s="25">
        <f t="shared" si="14"/>
        <v>0.22851628474907057</v>
      </c>
      <c r="K275" s="25">
        <f t="shared" si="12"/>
        <v>2.41</v>
      </c>
    </row>
    <row r="276" spans="1:11" ht="15" customHeight="1" x14ac:dyDescent="0.25">
      <c r="A276" s="29">
        <v>2.42</v>
      </c>
      <c r="B276" s="30">
        <v>0.17120725348679094</v>
      </c>
      <c r="C276" s="30">
        <v>0.78561379990685309</v>
      </c>
      <c r="D276" s="31">
        <v>1.4802110763336149</v>
      </c>
      <c r="E276">
        <f t="shared" si="13"/>
        <v>6.3291723724296984</v>
      </c>
      <c r="J276" s="25">
        <f t="shared" si="14"/>
        <v>0.22879274651320908</v>
      </c>
      <c r="K276" s="25">
        <f t="shared" si="12"/>
        <v>2.42</v>
      </c>
    </row>
    <row r="277" spans="1:11" ht="15" customHeight="1" x14ac:dyDescent="0.25">
      <c r="A277" s="29">
        <v>2.4300000000000002</v>
      </c>
      <c r="B277" s="30">
        <v>0.17093257311675078</v>
      </c>
      <c r="C277" s="30">
        <v>0.78555204888153252</v>
      </c>
      <c r="D277" s="31">
        <v>1.4778362649987888</v>
      </c>
      <c r="E277">
        <f t="shared" si="13"/>
        <v>6.3190180163851917</v>
      </c>
      <c r="J277" s="25">
        <f t="shared" si="14"/>
        <v>0.22906742688324924</v>
      </c>
      <c r="K277" s="25">
        <f t="shared" si="12"/>
        <v>2.4300000000000002</v>
      </c>
    </row>
    <row r="278" spans="1:11" ht="15" customHeight="1" x14ac:dyDescent="0.25">
      <c r="A278" s="29">
        <v>2.44</v>
      </c>
      <c r="B278" s="30">
        <v>0.17065965489831747</v>
      </c>
      <c r="C278" s="30">
        <v>0.78549010957261378</v>
      </c>
      <c r="D278" s="31">
        <v>1.4754766887446824</v>
      </c>
      <c r="E278">
        <f t="shared" si="13"/>
        <v>6.3089288033824609</v>
      </c>
      <c r="J278" s="25">
        <f t="shared" si="14"/>
        <v>0.22934034510168255</v>
      </c>
      <c r="K278" s="25">
        <f t="shared" si="12"/>
        <v>2.44</v>
      </c>
    </row>
    <row r="279" spans="1:11" ht="15" customHeight="1" x14ac:dyDescent="0.25">
      <c r="A279" s="29">
        <v>2.4500000000000002</v>
      </c>
      <c r="B279" s="30">
        <v>0.17038847987853742</v>
      </c>
      <c r="C279" s="30">
        <v>0.785427988000302</v>
      </c>
      <c r="D279" s="31">
        <v>1.4731321837092435</v>
      </c>
      <c r="E279">
        <f t="shared" si="13"/>
        <v>6.2989040327706389</v>
      </c>
      <c r="J279" s="25">
        <f t="shared" si="14"/>
        <v>0.2296115201214626</v>
      </c>
      <c r="K279" s="25">
        <f t="shared" si="12"/>
        <v>2.4500000000000002</v>
      </c>
    </row>
    <row r="280" spans="1:11" ht="15" customHeight="1" x14ac:dyDescent="0.25">
      <c r="A280" s="29">
        <v>2.46</v>
      </c>
      <c r="B280" s="30">
        <v>0.17011902938846288</v>
      </c>
      <c r="C280" s="30">
        <v>0.78536569005760648</v>
      </c>
      <c r="D280" s="31">
        <v>1.4708025884858575</v>
      </c>
      <c r="E280">
        <f t="shared" si="13"/>
        <v>6.2889430143979625</v>
      </c>
      <c r="J280" s="25">
        <f t="shared" si="14"/>
        <v>0.22988097061153714</v>
      </c>
      <c r="K280" s="25">
        <f t="shared" si="12"/>
        <v>2.46</v>
      </c>
    </row>
    <row r="281" spans="1:11" ht="15" customHeight="1" x14ac:dyDescent="0.25">
      <c r="A281" s="29">
        <v>2.4700000000000002</v>
      </c>
      <c r="B281" s="30">
        <v>0.16985128503774724</v>
      </c>
      <c r="C281" s="30">
        <v>0.78530322151321796</v>
      </c>
      <c r="D281" s="31">
        <v>1.4684877440766186</v>
      </c>
      <c r="E281">
        <f t="shared" si="13"/>
        <v>6.2790450684119632</v>
      </c>
      <c r="J281" s="25">
        <f t="shared" si="14"/>
        <v>0.23014871496225278</v>
      </c>
      <c r="K281" s="25">
        <f t="shared" si="12"/>
        <v>2.4700000000000002</v>
      </c>
    </row>
    <row r="282" spans="1:11" ht="15" customHeight="1" x14ac:dyDescent="0.25">
      <c r="A282" s="29">
        <v>2.48</v>
      </c>
      <c r="B282" s="30">
        <v>0.16958522870936446</v>
      </c>
      <c r="C282" s="30">
        <v>0.78524058801431784</v>
      </c>
      <c r="D282" s="31">
        <v>1.4661874938466761</v>
      </c>
      <c r="E282">
        <f t="shared" si="13"/>
        <v>6.2692095250642614</v>
      </c>
      <c r="J282" s="25">
        <f t="shared" si="14"/>
        <v>0.23041477129063556</v>
      </c>
      <c r="K282" s="25">
        <f t="shared" si="12"/>
        <v>2.48</v>
      </c>
    </row>
    <row r="283" spans="1:11" ht="15" customHeight="1" x14ac:dyDescent="0.25">
      <c r="A283" s="29">
        <v>2.4900000000000002</v>
      </c>
      <c r="B283" s="30">
        <v>0.16932084255444962</v>
      </c>
      <c r="C283" s="30">
        <v>0.78517779508931074</v>
      </c>
      <c r="D283" s="31">
        <v>1.4639016834796263</v>
      </c>
      <c r="E283">
        <f t="shared" si="13"/>
        <v>6.2594357245198289</v>
      </c>
      <c r="J283" s="25">
        <f t="shared" si="14"/>
        <v>0.2306791574455504</v>
      </c>
      <c r="K283" s="25">
        <f t="shared" si="12"/>
        <v>2.4900000000000002</v>
      </c>
    </row>
    <row r="284" spans="1:11" ht="15" customHeight="1" x14ac:dyDescent="0.25">
      <c r="A284" s="32">
        <v>2.5</v>
      </c>
      <c r="B284" s="33">
        <v>0.16905810898725607</v>
      </c>
      <c r="C284" s="33">
        <v>0.78511484815048893</v>
      </c>
      <c r="D284" s="34">
        <v>1.4616301609339153</v>
      </c>
      <c r="E284">
        <f t="shared" si="13"/>
        <v>6.2497230166705693</v>
      </c>
      <c r="J284" s="25">
        <f t="shared" si="14"/>
        <v>0.23094189101274396</v>
      </c>
      <c r="K284" s="25">
        <f t="shared" si="12"/>
        <v>2.5</v>
      </c>
    </row>
  </sheetData>
  <mergeCells count="5">
    <mergeCell ref="A1:A2"/>
    <mergeCell ref="A8:A9"/>
    <mergeCell ref="A26:A28"/>
    <mergeCell ref="C15:C18"/>
    <mergeCell ref="C23:C2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D457"/>
  <sheetViews>
    <sheetView topLeftCell="D22" workbookViewId="0">
      <selection activeCell="G19" sqref="G19"/>
    </sheetView>
  </sheetViews>
  <sheetFormatPr defaultRowHeight="15" customHeight="1" x14ac:dyDescent="0.25"/>
  <cols>
    <col min="1" max="1" width="32.28515625" customWidth="1"/>
    <col min="3" max="3" width="30.140625" bestFit="1" customWidth="1"/>
    <col min="5" max="5" width="9.140625" customWidth="1"/>
  </cols>
  <sheetData>
    <row r="1" spans="1:29" ht="15" customHeight="1" x14ac:dyDescent="0.25">
      <c r="A1" s="80" t="s">
        <v>122</v>
      </c>
      <c r="AB1" t="s">
        <v>64</v>
      </c>
      <c r="AC1" t="s">
        <v>65</v>
      </c>
    </row>
    <row r="2" spans="1:29" ht="15" customHeight="1" x14ac:dyDescent="0.25">
      <c r="A2" s="80"/>
      <c r="C2" t="s">
        <v>0</v>
      </c>
      <c r="E2" s="8">
        <v>1</v>
      </c>
      <c r="F2" s="8">
        <v>2</v>
      </c>
      <c r="G2" s="8">
        <v>3</v>
      </c>
      <c r="H2" s="8">
        <v>4</v>
      </c>
      <c r="I2" s="8">
        <v>5</v>
      </c>
      <c r="J2" s="8">
        <v>6</v>
      </c>
      <c r="K2" s="8">
        <v>7</v>
      </c>
      <c r="L2" s="8">
        <v>8</v>
      </c>
      <c r="M2" s="8" t="s">
        <v>103</v>
      </c>
      <c r="N2" t="s">
        <v>2</v>
      </c>
      <c r="O2" t="s">
        <v>15</v>
      </c>
      <c r="AB2">
        <f>$E$17*AC2/(1+$E$18*AC2)</f>
        <v>0.17784628387783805</v>
      </c>
      <c r="AC2">
        <v>0.1</v>
      </c>
    </row>
    <row r="3" spans="1:29" ht="15" customHeight="1" x14ac:dyDescent="0.25">
      <c r="A3" s="80"/>
      <c r="C3" t="s">
        <v>26</v>
      </c>
      <c r="D3" s="1" t="s">
        <v>11</v>
      </c>
      <c r="E3" s="2">
        <v>0.52868749999999987</v>
      </c>
      <c r="F3" s="2">
        <v>0.91743750000000002</v>
      </c>
      <c r="G3" s="2">
        <v>1.2655000000000001</v>
      </c>
      <c r="H3" s="2">
        <v>1.6353958333333327</v>
      </c>
      <c r="I3" s="2">
        <v>1.9437291666666665</v>
      </c>
      <c r="J3" s="2">
        <v>2.2155416666666663</v>
      </c>
      <c r="K3" s="2">
        <v>2.5180416666666665</v>
      </c>
      <c r="L3" s="2">
        <v>2.7956041666666671</v>
      </c>
      <c r="M3" s="2">
        <v>3.1556875000000009</v>
      </c>
      <c r="N3" s="1" t="s">
        <v>104</v>
      </c>
      <c r="O3" t="s">
        <v>42</v>
      </c>
      <c r="AB3">
        <f t="shared" ref="AB3:AB59" si="0">$E$17*AC3/(1+$E$18*AC3)</f>
        <v>0.76924849475904822</v>
      </c>
      <c r="AC3">
        <v>0.5</v>
      </c>
    </row>
    <row r="4" spans="1:29" ht="15" customHeight="1" x14ac:dyDescent="0.25">
      <c r="A4" s="80"/>
      <c r="C4" s="3" t="s">
        <v>5</v>
      </c>
      <c r="D4" s="3" t="s">
        <v>12</v>
      </c>
      <c r="E4" s="2">
        <v>0.18988256328527628</v>
      </c>
      <c r="F4" s="2">
        <v>0.51525951357153688</v>
      </c>
      <c r="G4" s="2">
        <v>0.83071831606934499</v>
      </c>
      <c r="H4" s="2">
        <v>0.94003787933985505</v>
      </c>
      <c r="I4" s="2">
        <v>0.97565145415800825</v>
      </c>
      <c r="J4" s="2">
        <v>0.9890409620488283</v>
      </c>
      <c r="K4" s="2">
        <v>0.99470052453844637</v>
      </c>
      <c r="L4" s="2">
        <v>0.99730049511242003</v>
      </c>
      <c r="M4" s="2">
        <v>0.99856953956468197</v>
      </c>
      <c r="N4" s="5" t="s">
        <v>4</v>
      </c>
      <c r="O4" t="s">
        <v>42</v>
      </c>
      <c r="AB4">
        <f t="shared" si="0"/>
        <v>1.3164613146021833</v>
      </c>
      <c r="AC4">
        <v>1</v>
      </c>
    </row>
    <row r="5" spans="1:29" ht="15" customHeight="1" x14ac:dyDescent="0.25">
      <c r="A5" s="38" t="s">
        <v>44</v>
      </c>
      <c r="B5" s="17">
        <v>0.1</v>
      </c>
      <c r="C5" s="1" t="s">
        <v>6</v>
      </c>
      <c r="D5" s="1" t="s">
        <v>8</v>
      </c>
      <c r="E5" s="2">
        <v>0.2</v>
      </c>
      <c r="F5" s="2">
        <v>0.2</v>
      </c>
      <c r="G5" s="2">
        <v>0.2</v>
      </c>
      <c r="H5" s="2">
        <v>0.2</v>
      </c>
      <c r="I5" s="2">
        <v>0.2</v>
      </c>
      <c r="J5" s="2">
        <v>0.2</v>
      </c>
      <c r="K5" s="2">
        <v>0.2</v>
      </c>
      <c r="L5" s="2">
        <v>0.2</v>
      </c>
      <c r="M5" s="2">
        <v>0.2</v>
      </c>
      <c r="N5" s="4" t="s">
        <v>4</v>
      </c>
      <c r="O5" t="s">
        <v>43</v>
      </c>
      <c r="AB5">
        <f t="shared" si="0"/>
        <v>2.0431797775975853</v>
      </c>
      <c r="AC5">
        <v>2</v>
      </c>
    </row>
    <row r="6" spans="1:29" ht="15" customHeight="1" x14ac:dyDescent="0.35">
      <c r="C6" s="11" t="s">
        <v>7</v>
      </c>
      <c r="D6" s="11" t="s">
        <v>23</v>
      </c>
      <c r="E6" s="19">
        <v>1</v>
      </c>
      <c r="F6">
        <f>E6*EXP(-E5)</f>
        <v>0.81873075307798182</v>
      </c>
      <c r="G6">
        <f t="shared" ref="G6:L6" si="1">F6*EXP(-F5)</f>
        <v>0.67032004603563922</v>
      </c>
      <c r="H6">
        <f t="shared" si="1"/>
        <v>0.54881163609402639</v>
      </c>
      <c r="I6">
        <f t="shared" si="1"/>
        <v>0.44932896411722151</v>
      </c>
      <c r="J6">
        <f t="shared" si="1"/>
        <v>0.36787944117144222</v>
      </c>
      <c r="K6">
        <f t="shared" si="1"/>
        <v>0.30119421191220203</v>
      </c>
      <c r="L6">
        <f t="shared" si="1"/>
        <v>0.24659696394160641</v>
      </c>
      <c r="M6" s="20">
        <f>L6*EXP(-L5)/(1-EXP(-M5))</f>
        <v>1.1137935497768741</v>
      </c>
      <c r="N6" s="7" t="s">
        <v>4</v>
      </c>
      <c r="O6" t="s">
        <v>16</v>
      </c>
      <c r="AB6">
        <f t="shared" si="0"/>
        <v>2.503921507212437</v>
      </c>
      <c r="AC6">
        <v>3</v>
      </c>
    </row>
    <row r="7" spans="1:29" ht="15" customHeight="1" x14ac:dyDescent="0.35">
      <c r="C7" s="12" t="s">
        <v>10</v>
      </c>
      <c r="D7" s="15" t="s">
        <v>21</v>
      </c>
      <c r="E7">
        <f>SUMPRODUCT(E6:M6,E3:M3,E4:M4)</f>
        <v>8.6457264291539886</v>
      </c>
      <c r="N7" s="1" t="s">
        <v>105</v>
      </c>
      <c r="AB7">
        <f t="shared" si="0"/>
        <v>2.8221186205191118</v>
      </c>
      <c r="AC7">
        <v>4</v>
      </c>
    </row>
    <row r="8" spans="1:29" ht="15" customHeight="1" x14ac:dyDescent="0.25">
      <c r="C8" s="3" t="s">
        <v>3</v>
      </c>
      <c r="D8" s="3" t="s">
        <v>13</v>
      </c>
      <c r="E8" s="2">
        <v>4.0436359999999998E-3</v>
      </c>
      <c r="F8" s="2">
        <v>4.8546620999999998E-2</v>
      </c>
      <c r="G8" s="2">
        <v>0.35489582200000003</v>
      </c>
      <c r="H8" s="2">
        <v>0.72466872699999996</v>
      </c>
      <c r="I8" s="2">
        <v>0.90894166899999995</v>
      </c>
      <c r="J8" s="2">
        <v>0.97144023599999996</v>
      </c>
      <c r="K8" s="2">
        <v>0.98972695300000002</v>
      </c>
      <c r="L8" s="2">
        <v>0.99659088699999998</v>
      </c>
      <c r="M8" s="2">
        <v>0.99806452199999995</v>
      </c>
      <c r="N8" s="4" t="s">
        <v>4</v>
      </c>
      <c r="O8" t="s">
        <v>45</v>
      </c>
      <c r="AB8">
        <f t="shared" si="0"/>
        <v>3.0550599281390052</v>
      </c>
      <c r="AC8">
        <v>5</v>
      </c>
    </row>
    <row r="9" spans="1:29" ht="15" customHeight="1" x14ac:dyDescent="0.25">
      <c r="A9" s="80" t="s">
        <v>121</v>
      </c>
      <c r="C9" t="s">
        <v>20</v>
      </c>
      <c r="D9" t="s">
        <v>19</v>
      </c>
      <c r="E9" s="6">
        <f>B5</f>
        <v>0.1</v>
      </c>
      <c r="N9" s="4" t="s">
        <v>4</v>
      </c>
      <c r="AB9">
        <f t="shared" si="0"/>
        <v>3.2329618178416908</v>
      </c>
      <c r="AC9">
        <v>6</v>
      </c>
    </row>
    <row r="10" spans="1:29" ht="15" customHeight="1" x14ac:dyDescent="0.35">
      <c r="A10" s="80"/>
      <c r="C10" s="13" t="s">
        <v>17</v>
      </c>
      <c r="D10" s="13" t="s">
        <v>24</v>
      </c>
      <c r="E10" s="20">
        <v>1</v>
      </c>
      <c r="F10">
        <f>E10*EXP(-E5-$E$9*E8)</f>
        <v>0.81839975508951579</v>
      </c>
      <c r="G10">
        <f t="shared" ref="G10:L10" si="2">F10*EXP(-F5-$E$9*F8)</f>
        <v>0.66680406909640177</v>
      </c>
      <c r="H10">
        <f t="shared" si="2"/>
        <v>0.52689783648290989</v>
      </c>
      <c r="I10">
        <f t="shared" si="2"/>
        <v>0.40123199388411179</v>
      </c>
      <c r="J10">
        <f t="shared" si="2"/>
        <v>0.29995894985656085</v>
      </c>
      <c r="K10">
        <f t="shared" si="2"/>
        <v>0.22285060358771858</v>
      </c>
      <c r="L10">
        <f t="shared" si="2"/>
        <v>0.16526147434211816</v>
      </c>
      <c r="M10" s="20">
        <f>L10*EXP(-L5-$E$9*L8)/(1-EXP(-M5-$E$9*M8))</f>
        <v>0.47278883928200716</v>
      </c>
      <c r="N10" s="4" t="s">
        <v>4</v>
      </c>
      <c r="AB10">
        <f t="shared" si="0"/>
        <v>3.3732703026493445</v>
      </c>
      <c r="AC10">
        <v>7</v>
      </c>
    </row>
    <row r="11" spans="1:29" ht="15" customHeight="1" x14ac:dyDescent="0.35">
      <c r="A11" s="80"/>
      <c r="C11" s="14" t="s">
        <v>18</v>
      </c>
      <c r="D11" s="14" t="s">
        <v>22</v>
      </c>
      <c r="E11">
        <f>SUMPRODUCT(E10:M10,E3:M3,E4:M4)</f>
        <v>5.9252300739334878</v>
      </c>
      <c r="N11" s="1" t="s">
        <v>105</v>
      </c>
      <c r="AB11">
        <f t="shared" si="0"/>
        <v>3.4867627659393921</v>
      </c>
      <c r="AC11">
        <v>8</v>
      </c>
    </row>
    <row r="12" spans="1:29" ht="15" customHeight="1" x14ac:dyDescent="0.25">
      <c r="A12" s="80"/>
      <c r="C12" s="14" t="s">
        <v>51</v>
      </c>
      <c r="D12" s="14" t="s">
        <v>25</v>
      </c>
      <c r="E12">
        <f>E11/E7</f>
        <v>0.68533628984063166</v>
      </c>
      <c r="N12" s="4" t="s">
        <v>4</v>
      </c>
      <c r="AB12">
        <f t="shared" si="0"/>
        <v>3.5804563369475368</v>
      </c>
      <c r="AC12">
        <v>9</v>
      </c>
    </row>
    <row r="13" spans="1:29" ht="15" customHeight="1" x14ac:dyDescent="0.25">
      <c r="C13" s="14" t="s">
        <v>54</v>
      </c>
      <c r="D13" s="14" t="s">
        <v>53</v>
      </c>
      <c r="E13">
        <f>E10*E3*$E$9*E8*(1-EXP(-$E$9*E8-E5))/($E$9*E8+E5)</f>
        <v>1.9372262843376736E-4</v>
      </c>
      <c r="F13">
        <f t="shared" ref="F13:M13" si="3">F10*F3*$E$9*F8*(1-EXP(-$E$9*F8-F5))/($E$9*F8+F5)</f>
        <v>3.2959186610397725E-3</v>
      </c>
      <c r="G13">
        <f t="shared" si="3"/>
        <v>2.6682615564540248E-2</v>
      </c>
      <c r="H13">
        <f t="shared" si="3"/>
        <v>5.4659536821670462E-2</v>
      </c>
      <c r="I13">
        <f t="shared" si="3"/>
        <v>6.1507859870212421E-2</v>
      </c>
      <c r="J13">
        <f t="shared" si="3"/>
        <v>5.5850928657019398E-2</v>
      </c>
      <c r="K13">
        <f t="shared" si="3"/>
        <v>4.8005090742236592E-2</v>
      </c>
      <c r="L13">
        <f t="shared" si="3"/>
        <v>3.9784853213727378E-2</v>
      </c>
      <c r="M13">
        <f t="shared" si="3"/>
        <v>0.12865982806513587</v>
      </c>
      <c r="N13" t="s">
        <v>104</v>
      </c>
      <c r="AB13">
        <f t="shared" si="0"/>
        <v>3.6591162730240945</v>
      </c>
      <c r="AC13">
        <v>10</v>
      </c>
    </row>
    <row r="14" spans="1:29" ht="15" customHeight="1" x14ac:dyDescent="0.25">
      <c r="C14" s="14" t="s">
        <v>50</v>
      </c>
      <c r="D14" s="14" t="s">
        <v>52</v>
      </c>
      <c r="E14">
        <f>SUM(E13:M13)</f>
        <v>0.41864035422401591</v>
      </c>
      <c r="N14" t="s">
        <v>104</v>
      </c>
      <c r="AB14">
        <f t="shared" si="0"/>
        <v>3.7260921835717746</v>
      </c>
      <c r="AC14">
        <v>11</v>
      </c>
    </row>
    <row r="15" spans="1:29" ht="15" customHeight="1" x14ac:dyDescent="0.25">
      <c r="C15" s="18" t="s">
        <v>68</v>
      </c>
      <c r="D15" s="18" t="s">
        <v>29</v>
      </c>
      <c r="E15" s="17">
        <v>4.2758580000000004</v>
      </c>
      <c r="N15" t="s">
        <v>108</v>
      </c>
      <c r="O15" t="s">
        <v>45</v>
      </c>
      <c r="AB15">
        <f t="shared" si="0"/>
        <v>3.7838073816815534</v>
      </c>
      <c r="AC15">
        <v>12</v>
      </c>
    </row>
    <row r="16" spans="1:29" ht="15" customHeight="1" x14ac:dyDescent="0.25">
      <c r="C16" t="s">
        <v>27</v>
      </c>
      <c r="D16" s="1" t="s">
        <v>28</v>
      </c>
      <c r="E16" s="17">
        <v>0.8</v>
      </c>
      <c r="N16" s="7" t="s">
        <v>4</v>
      </c>
      <c r="O16" t="s">
        <v>43</v>
      </c>
      <c r="AB16">
        <f t="shared" si="0"/>
        <v>3.834058374811435</v>
      </c>
      <c r="AC16">
        <v>13</v>
      </c>
    </row>
    <row r="17" spans="3:29" ht="15" customHeight="1" x14ac:dyDescent="0.25">
      <c r="C17" s="1" t="s">
        <v>30</v>
      </c>
      <c r="D17" s="1" t="s">
        <v>32</v>
      </c>
      <c r="E17">
        <f>4*E16/(E7*(1-E16))</f>
        <v>1.8506252922885571</v>
      </c>
      <c r="N17" s="7" t="s">
        <v>109</v>
      </c>
      <c r="AB17">
        <f t="shared" si="0"/>
        <v>3.8782052151224962</v>
      </c>
      <c r="AC17">
        <v>14</v>
      </c>
    </row>
    <row r="18" spans="3:29" ht="15" customHeight="1" x14ac:dyDescent="0.25">
      <c r="C18" s="1" t="s">
        <v>31</v>
      </c>
      <c r="D18" s="1" t="s">
        <v>33</v>
      </c>
      <c r="E18">
        <f>1/E15*(E17-1/E7)</f>
        <v>0.4057574436570443</v>
      </c>
      <c r="N18" s="7" t="s">
        <v>110</v>
      </c>
      <c r="AB18">
        <f t="shared" si="0"/>
        <v>3.917296454282329</v>
      </c>
      <c r="AC18">
        <v>15</v>
      </c>
    </row>
    <row r="19" spans="3:29" ht="15" customHeight="1" x14ac:dyDescent="0.35">
      <c r="C19" s="18" t="s">
        <v>70</v>
      </c>
      <c r="D19" s="11" t="s">
        <v>67</v>
      </c>
      <c r="E19">
        <f>E15/(E17-E18*E15)</f>
        <v>36.967898517909482</v>
      </c>
      <c r="F19" s="43">
        <v>0</v>
      </c>
      <c r="N19" t="s">
        <v>66</v>
      </c>
      <c r="AB19">
        <f t="shared" si="0"/>
        <v>3.9521534945293268</v>
      </c>
      <c r="AC19">
        <v>16</v>
      </c>
    </row>
    <row r="20" spans="3:29" ht="15" customHeight="1" x14ac:dyDescent="0.35">
      <c r="C20" s="44" t="s">
        <v>69</v>
      </c>
      <c r="D20" s="13" t="s">
        <v>71</v>
      </c>
      <c r="E20">
        <f>1/E18*(E17-1/E11)</f>
        <v>4.144977500179249</v>
      </c>
      <c r="N20" t="s">
        <v>108</v>
      </c>
      <c r="AB20">
        <f t="shared" si="0"/>
        <v>3.9834289382627417</v>
      </c>
      <c r="AC20">
        <v>17</v>
      </c>
    </row>
    <row r="21" spans="3:29" ht="15" customHeight="1" x14ac:dyDescent="0.35">
      <c r="C21" s="44" t="s">
        <v>72</v>
      </c>
      <c r="D21" s="13" t="s">
        <v>73</v>
      </c>
      <c r="E21">
        <f>E20/(E17-E20*E18)</f>
        <v>24.559945339839725</v>
      </c>
      <c r="N21" t="s">
        <v>66</v>
      </c>
      <c r="AB21">
        <f t="shared" si="0"/>
        <v>4.011647830100884</v>
      </c>
      <c r="AC21">
        <v>18</v>
      </c>
    </row>
    <row r="22" spans="3:29" ht="15" customHeight="1" x14ac:dyDescent="0.25">
      <c r="C22" s="45" t="s">
        <v>74</v>
      </c>
      <c r="D22" s="41" t="s">
        <v>74</v>
      </c>
      <c r="E22">
        <f>MAX(E14*E20,0)</f>
        <v>1.7352548489256168</v>
      </c>
      <c r="N22" t="s">
        <v>66</v>
      </c>
      <c r="AB22">
        <f t="shared" si="0"/>
        <v>4.0372373705066602</v>
      </c>
      <c r="AC22">
        <v>19</v>
      </c>
    </row>
    <row r="23" spans="3:29" ht="15" customHeight="1" x14ac:dyDescent="0.25">
      <c r="C23" s="45"/>
      <c r="D23" s="41"/>
      <c r="AB23">
        <f t="shared" si="0"/>
        <v>4.0605486932675214</v>
      </c>
      <c r="AC23">
        <v>20</v>
      </c>
    </row>
    <row r="24" spans="3:29" ht="15" customHeight="1" x14ac:dyDescent="0.25">
      <c r="C24" s="79" t="s">
        <v>35</v>
      </c>
      <c r="AB24">
        <f t="shared" si="0"/>
        <v>4.0818730743619103</v>
      </c>
      <c r="AC24">
        <v>21</v>
      </c>
    </row>
    <row r="25" spans="3:29" ht="15" customHeight="1" x14ac:dyDescent="0.25">
      <c r="C25" s="79"/>
      <c r="AB25">
        <f t="shared" si="0"/>
        <v>4.1014541655516092</v>
      </c>
      <c r="AC25">
        <v>22</v>
      </c>
    </row>
    <row r="26" spans="3:29" ht="15" customHeight="1" x14ac:dyDescent="0.25">
      <c r="C26" s="79"/>
      <c r="AB26">
        <f t="shared" si="0"/>
        <v>4.1194973454718777</v>
      </c>
      <c r="AC26">
        <v>23</v>
      </c>
    </row>
    <row r="27" spans="3:29" ht="15" customHeight="1" x14ac:dyDescent="0.25">
      <c r="AB27">
        <f t="shared" si="0"/>
        <v>4.1361769506556794</v>
      </c>
      <c r="AC27">
        <v>24</v>
      </c>
    </row>
    <row r="28" spans="3:29" ht="15" customHeight="1" x14ac:dyDescent="0.25">
      <c r="C28" s="79" t="s">
        <v>34</v>
      </c>
      <c r="AB28">
        <f t="shared" si="0"/>
        <v>4.1516419268421378</v>
      </c>
      <c r="AC28">
        <v>25</v>
      </c>
    </row>
    <row r="29" spans="3:29" ht="15" customHeight="1" x14ac:dyDescent="0.25">
      <c r="C29" s="79"/>
      <c r="AB29">
        <f t="shared" si="0"/>
        <v>4.1660202890531561</v>
      </c>
      <c r="AC29">
        <v>26</v>
      </c>
    </row>
    <row r="30" spans="3:29" ht="15" customHeight="1" x14ac:dyDescent="0.25">
      <c r="C30" s="79"/>
      <c r="AB30">
        <f t="shared" si="0"/>
        <v>4.1794226734436659</v>
      </c>
      <c r="AC30">
        <v>27</v>
      </c>
    </row>
    <row r="31" spans="3:29" ht="15" customHeight="1" x14ac:dyDescent="0.25">
      <c r="C31" s="9"/>
      <c r="AB31">
        <f t="shared" si="0"/>
        <v>4.1919451896136302</v>
      </c>
      <c r="AC31">
        <v>28</v>
      </c>
    </row>
    <row r="32" spans="3:29" ht="15" customHeight="1" x14ac:dyDescent="0.25">
      <c r="C32" s="9"/>
      <c r="F32" s="40" t="s">
        <v>82</v>
      </c>
      <c r="AB32">
        <f t="shared" si="0"/>
        <v>4.203671729010007</v>
      </c>
      <c r="AC32">
        <v>29</v>
      </c>
    </row>
    <row r="33" spans="1:30" ht="15" customHeight="1" x14ac:dyDescent="0.25">
      <c r="C33" s="10"/>
      <c r="F33" s="40" t="s">
        <v>63</v>
      </c>
      <c r="AB33">
        <f t="shared" si="0"/>
        <v>4.2146758466965295</v>
      </c>
      <c r="AC33">
        <v>30</v>
      </c>
    </row>
    <row r="34" spans="1:30" ht="15" customHeight="1" x14ac:dyDescent="0.25">
      <c r="C34" s="10"/>
      <c r="F34" s="40" t="s">
        <v>38</v>
      </c>
      <c r="AB34">
        <f t="shared" si="0"/>
        <v>4.2250223057328284</v>
      </c>
      <c r="AC34">
        <v>31</v>
      </c>
    </row>
    <row r="35" spans="1:30" ht="15" customHeight="1" x14ac:dyDescent="0.25">
      <c r="C35" s="10"/>
      <c r="F35" s="16" t="s">
        <v>39</v>
      </c>
      <c r="AB35">
        <f t="shared" si="0"/>
        <v>4.2347683526894224</v>
      </c>
      <c r="AC35">
        <v>32</v>
      </c>
    </row>
    <row r="36" spans="1:30" ht="15" customHeight="1" x14ac:dyDescent="0.25">
      <c r="C36" s="10"/>
      <c r="AB36">
        <f t="shared" si="0"/>
        <v>4.2439647773670925</v>
      </c>
      <c r="AC36">
        <v>33</v>
      </c>
    </row>
    <row r="37" spans="1:30" ht="15" customHeight="1" x14ac:dyDescent="0.25">
      <c r="C37" s="10"/>
      <c r="AB37">
        <f t="shared" si="0"/>
        <v>4.2526567981463312</v>
      </c>
      <c r="AC37">
        <v>34</v>
      </c>
    </row>
    <row r="38" spans="1:30" ht="15" customHeight="1" x14ac:dyDescent="0.25">
      <c r="C38" s="10"/>
      <c r="AB38">
        <f t="shared" si="0"/>
        <v>4.2608848055467528</v>
      </c>
      <c r="AC38">
        <v>35</v>
      </c>
    </row>
    <row r="39" spans="1:30" ht="15" customHeight="1" x14ac:dyDescent="0.25">
      <c r="C39" s="10"/>
      <c r="AB39">
        <f t="shared" si="0"/>
        <v>4.2686849898002599</v>
      </c>
      <c r="AC39">
        <v>36</v>
      </c>
    </row>
    <row r="40" spans="1:30" ht="15" customHeight="1" x14ac:dyDescent="0.25">
      <c r="C40" s="10"/>
      <c r="AB40">
        <f t="shared" si="0"/>
        <v>4.2760898730109389</v>
      </c>
      <c r="AC40">
        <v>37</v>
      </c>
    </row>
    <row r="41" spans="1:30" s="25" customFormat="1" ht="15" customHeight="1" x14ac:dyDescent="0.25">
      <c r="A41"/>
      <c r="B41"/>
      <c r="C41" s="10"/>
      <c r="D41"/>
      <c r="E41"/>
      <c r="F41"/>
      <c r="G41"/>
      <c r="AB41">
        <f t="shared" si="0"/>
        <v>4.2831287624073449</v>
      </c>
      <c r="AC41">
        <v>38</v>
      </c>
      <c r="AD41"/>
    </row>
    <row r="42" spans="1:30" ht="15" customHeight="1" x14ac:dyDescent="0.25">
      <c r="C42" s="10"/>
      <c r="AB42">
        <f t="shared" si="0"/>
        <v>4.2898281380082697</v>
      </c>
      <c r="AC42">
        <v>39</v>
      </c>
    </row>
    <row r="43" spans="1:30" s="25" customFormat="1" ht="15" customHeight="1" x14ac:dyDescent="0.25">
      <c r="A43"/>
      <c r="B43"/>
      <c r="C43" s="10"/>
      <c r="D43"/>
      <c r="E43"/>
      <c r="F43"/>
      <c r="G43"/>
      <c r="V43" s="25" t="s">
        <v>19</v>
      </c>
      <c r="W43" s="25">
        <f>B5</f>
        <v>0.1</v>
      </c>
      <c r="Y43" s="25" t="s">
        <v>115</v>
      </c>
      <c r="AB43">
        <f t="shared" si="0"/>
        <v>4.2962119855135175</v>
      </c>
      <c r="AC43">
        <v>40</v>
      </c>
      <c r="AD43"/>
    </row>
    <row r="44" spans="1:30" ht="15" customHeight="1" x14ac:dyDescent="0.25">
      <c r="C44" s="10"/>
      <c r="J44" s="25"/>
      <c r="K44" s="25"/>
      <c r="V44" t="str">
        <f>D20</f>
        <v>Eq_recF</v>
      </c>
      <c r="W44">
        <f>E20</f>
        <v>4.144977500179249</v>
      </c>
      <c r="X44">
        <v>0</v>
      </c>
      <c r="Y44">
        <f>E15</f>
        <v>4.2758580000000004</v>
      </c>
      <c r="AB44">
        <f t="shared" si="0"/>
        <v>4.3023020832412167</v>
      </c>
      <c r="AC44">
        <v>41</v>
      </c>
    </row>
    <row r="45" spans="1:30" ht="15" customHeight="1" x14ac:dyDescent="0.25">
      <c r="C45" s="10"/>
      <c r="J45" s="25"/>
      <c r="K45" s="25"/>
      <c r="V45" t="str">
        <f>D21</f>
        <v>Eq_SSBF</v>
      </c>
      <c r="W45">
        <f>E21</f>
        <v>24.559945339839725</v>
      </c>
      <c r="Y45">
        <f>E19</f>
        <v>36.967898517909482</v>
      </c>
      <c r="AB45">
        <f t="shared" si="0"/>
        <v>4.3081182503461131</v>
      </c>
      <c r="AC45">
        <v>42</v>
      </c>
    </row>
    <row r="46" spans="1:30" ht="15" customHeight="1" x14ac:dyDescent="0.25">
      <c r="C46" s="10"/>
      <c r="J46" s="25"/>
      <c r="K46" s="25"/>
      <c r="V46" t="str">
        <f>CONCATENATE("(",V45,",",V44,") at F=",W43)</f>
        <v>(Eq_SSBF,Eq_recF) at F=0.1</v>
      </c>
      <c r="AB46">
        <f t="shared" si="0"/>
        <v>4.3136785622802218</v>
      </c>
      <c r="AC46">
        <v>43</v>
      </c>
    </row>
    <row r="47" spans="1:30" ht="15" customHeight="1" x14ac:dyDescent="0.25">
      <c r="C47" s="10"/>
      <c r="J47" s="25"/>
      <c r="K47" s="25"/>
      <c r="AB47">
        <f t="shared" si="0"/>
        <v>4.3189995384308917</v>
      </c>
      <c r="AC47">
        <v>44</v>
      </c>
    </row>
    <row r="48" spans="1:30" ht="15" customHeight="1" x14ac:dyDescent="0.25">
      <c r="C48" s="10"/>
      <c r="J48" s="25"/>
      <c r="K48" s="25"/>
      <c r="AB48">
        <f t="shared" si="0"/>
        <v>4.3240963060395021</v>
      </c>
      <c r="AC48">
        <v>45</v>
      </c>
    </row>
    <row r="49" spans="3:29" ht="15" customHeight="1" x14ac:dyDescent="0.25">
      <c r="C49" s="10"/>
      <c r="J49" s="25"/>
      <c r="K49" s="25"/>
      <c r="AB49">
        <f t="shared" si="0"/>
        <v>4.3289827438267139</v>
      </c>
      <c r="AC49">
        <v>46</v>
      </c>
    </row>
    <row r="50" spans="3:29" ht="15" customHeight="1" x14ac:dyDescent="0.25">
      <c r="C50" s="10"/>
      <c r="J50" s="25"/>
      <c r="K50" s="25"/>
      <c r="AB50">
        <f t="shared" si="0"/>
        <v>4.3336716081961146</v>
      </c>
      <c r="AC50">
        <v>47</v>
      </c>
    </row>
    <row r="51" spans="3:29" ht="15" customHeight="1" x14ac:dyDescent="0.25">
      <c r="C51" s="10"/>
      <c r="J51" s="25"/>
      <c r="K51" s="25"/>
      <c r="AB51">
        <f t="shared" si="0"/>
        <v>4.3381746444328328</v>
      </c>
      <c r="AC51">
        <v>48</v>
      </c>
    </row>
    <row r="52" spans="3:29" ht="15" customHeight="1" x14ac:dyDescent="0.25">
      <c r="C52" s="10"/>
      <c r="J52" s="25"/>
      <c r="K52" s="25"/>
      <c r="AB52">
        <f t="shared" si="0"/>
        <v>4.3425026849380428</v>
      </c>
      <c r="AC52">
        <v>49</v>
      </c>
    </row>
    <row r="53" spans="3:29" ht="15" customHeight="1" x14ac:dyDescent="0.25">
      <c r="C53" s="10"/>
      <c r="J53" s="25"/>
      <c r="K53" s="25"/>
      <c r="AB53">
        <f t="shared" si="0"/>
        <v>4.3466657362290793</v>
      </c>
      <c r="AC53">
        <v>50</v>
      </c>
    </row>
    <row r="54" spans="3:29" ht="15" customHeight="1" x14ac:dyDescent="0.25">
      <c r="C54" s="10"/>
      <c r="J54" s="25"/>
      <c r="K54" s="25"/>
      <c r="AB54">
        <f t="shared" si="0"/>
        <v>4.3506730561760527</v>
      </c>
      <c r="AC54">
        <v>51</v>
      </c>
    </row>
    <row r="55" spans="3:29" ht="15" customHeight="1" x14ac:dyDescent="0.25">
      <c r="C55" s="10"/>
      <c r="J55" s="25"/>
      <c r="K55" s="25"/>
      <c r="AB55">
        <f t="shared" si="0"/>
        <v>4.3545332227298186</v>
      </c>
      <c r="AC55">
        <v>52</v>
      </c>
    </row>
    <row r="56" spans="3:29" ht="15" customHeight="1" x14ac:dyDescent="0.25">
      <c r="C56" s="10"/>
      <c r="J56" s="25"/>
      <c r="K56" s="25"/>
      <c r="AB56">
        <f t="shared" si="0"/>
        <v>4.3582541952151361</v>
      </c>
      <c r="AC56">
        <v>53</v>
      </c>
    </row>
    <row r="57" spans="3:29" ht="15" customHeight="1" x14ac:dyDescent="0.25">
      <c r="C57" s="10"/>
      <c r="J57" s="25"/>
      <c r="K57" s="25"/>
      <c r="AB57">
        <f t="shared" si="0"/>
        <v>4.3618433691107388</v>
      </c>
      <c r="AC57">
        <v>54</v>
      </c>
    </row>
    <row r="58" spans="3:29" ht="15" customHeight="1" x14ac:dyDescent="0.25">
      <c r="C58" s="10"/>
      <c r="J58" s="25"/>
      <c r="K58" s="25"/>
      <c r="AB58">
        <f t="shared" si="0"/>
        <v>4.3653076251096836</v>
      </c>
      <c r="AC58">
        <v>55</v>
      </c>
    </row>
    <row r="59" spans="3:29" ht="15" customHeight="1" x14ac:dyDescent="0.25">
      <c r="C59" s="10"/>
      <c r="J59" s="25"/>
      <c r="K59" s="25"/>
      <c r="AB59">
        <f t="shared" si="0"/>
        <v>4.3686533731448325</v>
      </c>
      <c r="AC59">
        <v>56</v>
      </c>
    </row>
    <row r="60" spans="3:29" ht="15" customHeight="1" x14ac:dyDescent="0.25">
      <c r="C60" s="10"/>
      <c r="J60" s="25"/>
      <c r="K60" s="25"/>
    </row>
    <row r="61" spans="3:29" ht="15" customHeight="1" x14ac:dyDescent="0.25">
      <c r="C61" s="10"/>
      <c r="J61" s="25"/>
      <c r="K61" s="25"/>
    </row>
    <row r="62" spans="3:29" ht="15" customHeight="1" x14ac:dyDescent="0.25">
      <c r="C62" s="10"/>
      <c r="J62" s="25"/>
      <c r="K62" s="25"/>
    </row>
    <row r="63" spans="3:29" ht="15" customHeight="1" x14ac:dyDescent="0.25">
      <c r="C63" s="10"/>
      <c r="J63" s="25"/>
      <c r="K63" s="25"/>
    </row>
    <row r="64" spans="3:29" ht="15" customHeight="1" x14ac:dyDescent="0.25">
      <c r="C64" s="10"/>
      <c r="J64" s="25"/>
      <c r="K64" s="25"/>
    </row>
    <row r="65" spans="3:11" ht="15" customHeight="1" x14ac:dyDescent="0.25">
      <c r="C65" s="10"/>
      <c r="J65" s="25"/>
      <c r="K65" s="25"/>
    </row>
    <row r="66" spans="3:11" ht="15" customHeight="1" x14ac:dyDescent="0.25">
      <c r="C66" s="10"/>
      <c r="J66" s="25"/>
      <c r="K66" s="25"/>
    </row>
    <row r="67" spans="3:11" ht="15" customHeight="1" x14ac:dyDescent="0.25">
      <c r="C67" s="10"/>
      <c r="J67" s="25"/>
      <c r="K67" s="25"/>
    </row>
    <row r="68" spans="3:11" ht="15" customHeight="1" x14ac:dyDescent="0.25">
      <c r="C68" s="10"/>
      <c r="J68" s="25"/>
      <c r="K68" s="25"/>
    </row>
    <row r="69" spans="3:11" ht="15" customHeight="1" x14ac:dyDescent="0.25">
      <c r="C69" s="10"/>
      <c r="J69" s="25"/>
      <c r="K69" s="25"/>
    </row>
    <row r="70" spans="3:11" ht="15" customHeight="1" x14ac:dyDescent="0.25">
      <c r="C70" s="10"/>
      <c r="J70" s="25"/>
      <c r="K70" s="25"/>
    </row>
    <row r="71" spans="3:11" ht="15" customHeight="1" x14ac:dyDescent="0.25">
      <c r="C71" s="10"/>
      <c r="J71" s="25"/>
      <c r="K71" s="25"/>
    </row>
    <row r="72" spans="3:11" ht="15" customHeight="1" x14ac:dyDescent="0.25">
      <c r="C72" s="10"/>
      <c r="J72" s="25"/>
      <c r="K72" s="25"/>
    </row>
    <row r="73" spans="3:11" ht="15" customHeight="1" x14ac:dyDescent="0.25">
      <c r="C73" s="10"/>
      <c r="J73" s="25"/>
      <c r="K73" s="25"/>
    </row>
    <row r="74" spans="3:11" ht="15" customHeight="1" x14ac:dyDescent="0.25">
      <c r="C74" s="10"/>
      <c r="J74" s="25"/>
      <c r="K74" s="25"/>
    </row>
    <row r="75" spans="3:11" ht="15" customHeight="1" x14ac:dyDescent="0.25">
      <c r="C75" s="10"/>
      <c r="J75" s="25"/>
      <c r="K75" s="25"/>
    </row>
    <row r="76" spans="3:11" ht="15" customHeight="1" x14ac:dyDescent="0.25">
      <c r="C76" s="10"/>
      <c r="J76" s="25"/>
      <c r="K76" s="25"/>
    </row>
    <row r="77" spans="3:11" ht="15" customHeight="1" x14ac:dyDescent="0.25">
      <c r="C77" s="10"/>
      <c r="J77" s="25"/>
      <c r="K77" s="25"/>
    </row>
    <row r="78" spans="3:11" ht="15" customHeight="1" x14ac:dyDescent="0.25">
      <c r="C78" s="10"/>
      <c r="J78" s="25"/>
      <c r="K78" s="25"/>
    </row>
    <row r="79" spans="3:11" ht="15" customHeight="1" x14ac:dyDescent="0.25">
      <c r="C79" s="10"/>
      <c r="J79" s="25"/>
      <c r="K79" s="25"/>
    </row>
    <row r="80" spans="3:11" ht="15" customHeight="1" x14ac:dyDescent="0.25">
      <c r="C80" s="10"/>
      <c r="J80" s="25"/>
      <c r="K80" s="25"/>
    </row>
    <row r="81" spans="3:11" ht="15" customHeight="1" x14ac:dyDescent="0.25">
      <c r="C81" s="10"/>
      <c r="J81" s="25"/>
      <c r="K81" s="25"/>
    </row>
    <row r="82" spans="3:11" ht="15" customHeight="1" x14ac:dyDescent="0.25">
      <c r="C82" s="10"/>
      <c r="J82" s="25"/>
      <c r="K82" s="25"/>
    </row>
    <row r="83" spans="3:11" ht="15" customHeight="1" x14ac:dyDescent="0.25">
      <c r="C83" s="10"/>
      <c r="J83" s="25"/>
      <c r="K83" s="25"/>
    </row>
    <row r="84" spans="3:11" ht="15" customHeight="1" x14ac:dyDescent="0.25">
      <c r="C84" s="10"/>
      <c r="J84" s="25"/>
      <c r="K84" s="25"/>
    </row>
    <row r="85" spans="3:11" ht="15" customHeight="1" x14ac:dyDescent="0.25">
      <c r="C85" s="10"/>
      <c r="J85" s="25"/>
      <c r="K85" s="25"/>
    </row>
    <row r="86" spans="3:11" ht="15" customHeight="1" x14ac:dyDescent="0.25">
      <c r="C86" s="10"/>
      <c r="J86" s="25"/>
      <c r="K86" s="25"/>
    </row>
    <row r="87" spans="3:11" ht="15" customHeight="1" x14ac:dyDescent="0.25">
      <c r="C87" s="10"/>
      <c r="J87" s="25"/>
      <c r="K87" s="25"/>
    </row>
    <row r="88" spans="3:11" ht="15" customHeight="1" x14ac:dyDescent="0.25">
      <c r="C88" s="10"/>
      <c r="J88" s="25"/>
      <c r="K88" s="25"/>
    </row>
    <row r="89" spans="3:11" ht="15" customHeight="1" x14ac:dyDescent="0.25">
      <c r="C89" s="10"/>
      <c r="J89" s="25"/>
      <c r="K89" s="25"/>
    </row>
    <row r="90" spans="3:11" ht="15" customHeight="1" x14ac:dyDescent="0.25">
      <c r="C90" s="10"/>
      <c r="J90" s="25"/>
      <c r="K90" s="25"/>
    </row>
    <row r="91" spans="3:11" ht="15" customHeight="1" x14ac:dyDescent="0.25">
      <c r="C91" s="10"/>
      <c r="J91" s="25"/>
      <c r="K91" s="25"/>
    </row>
    <row r="92" spans="3:11" ht="15" customHeight="1" x14ac:dyDescent="0.25">
      <c r="C92" s="10"/>
      <c r="J92" s="25"/>
      <c r="K92" s="25"/>
    </row>
    <row r="93" spans="3:11" ht="15" customHeight="1" x14ac:dyDescent="0.25">
      <c r="C93" s="10"/>
      <c r="J93" s="25"/>
      <c r="K93" s="25"/>
    </row>
    <row r="94" spans="3:11" ht="15" customHeight="1" x14ac:dyDescent="0.25">
      <c r="C94" s="10"/>
      <c r="J94" s="25"/>
      <c r="K94" s="25"/>
    </row>
    <row r="95" spans="3:11" ht="15" customHeight="1" x14ac:dyDescent="0.25">
      <c r="C95" s="10"/>
      <c r="J95" s="25"/>
      <c r="K95" s="25"/>
    </row>
    <row r="96" spans="3:11" ht="15" customHeight="1" x14ac:dyDescent="0.25">
      <c r="C96" s="10"/>
      <c r="J96" s="25"/>
      <c r="K96" s="25"/>
    </row>
    <row r="97" spans="3:11" ht="15" customHeight="1" x14ac:dyDescent="0.25">
      <c r="C97" s="10"/>
      <c r="J97" s="25"/>
      <c r="K97" s="25"/>
    </row>
    <row r="98" spans="3:11" ht="15" customHeight="1" x14ac:dyDescent="0.25">
      <c r="C98" s="10"/>
      <c r="J98" s="25"/>
      <c r="K98" s="25"/>
    </row>
    <row r="99" spans="3:11" ht="15" customHeight="1" x14ac:dyDescent="0.25">
      <c r="C99" s="10"/>
      <c r="J99" s="25"/>
      <c r="K99" s="25"/>
    </row>
    <row r="100" spans="3:11" ht="15" customHeight="1" x14ac:dyDescent="0.25">
      <c r="C100" s="10"/>
      <c r="J100" s="25"/>
      <c r="K100" s="25"/>
    </row>
    <row r="101" spans="3:11" ht="15" customHeight="1" x14ac:dyDescent="0.25">
      <c r="C101" s="10"/>
      <c r="J101" s="25"/>
      <c r="K101" s="25"/>
    </row>
    <row r="102" spans="3:11" ht="15" customHeight="1" x14ac:dyDescent="0.25">
      <c r="C102" s="10"/>
      <c r="J102" s="25"/>
      <c r="K102" s="25"/>
    </row>
    <row r="103" spans="3:11" ht="15" customHeight="1" x14ac:dyDescent="0.25">
      <c r="C103" s="10"/>
      <c r="J103" s="25"/>
      <c r="K103" s="25"/>
    </row>
    <row r="104" spans="3:11" ht="15" customHeight="1" x14ac:dyDescent="0.25">
      <c r="C104" s="10"/>
      <c r="J104" s="25"/>
      <c r="K104" s="25"/>
    </row>
    <row r="105" spans="3:11" ht="15" customHeight="1" x14ac:dyDescent="0.25">
      <c r="C105" s="10"/>
      <c r="J105" s="25"/>
      <c r="K105" s="25"/>
    </row>
    <row r="106" spans="3:11" ht="15" customHeight="1" x14ac:dyDescent="0.25">
      <c r="C106" s="10"/>
      <c r="J106" s="25"/>
      <c r="K106" s="25"/>
    </row>
    <row r="107" spans="3:11" ht="15" customHeight="1" x14ac:dyDescent="0.25">
      <c r="C107" s="10"/>
      <c r="J107" s="25"/>
      <c r="K107" s="25"/>
    </row>
    <row r="108" spans="3:11" ht="15" customHeight="1" x14ac:dyDescent="0.25">
      <c r="C108" s="10"/>
      <c r="J108" s="25"/>
      <c r="K108" s="25"/>
    </row>
    <row r="109" spans="3:11" ht="15" customHeight="1" x14ac:dyDescent="0.25">
      <c r="C109" s="10"/>
      <c r="J109" s="25"/>
      <c r="K109" s="25"/>
    </row>
    <row r="110" spans="3:11" ht="15" customHeight="1" x14ac:dyDescent="0.25">
      <c r="C110" s="10"/>
      <c r="J110" s="25"/>
      <c r="K110" s="25"/>
    </row>
    <row r="111" spans="3:11" ht="15" customHeight="1" x14ac:dyDescent="0.25">
      <c r="C111" s="10"/>
      <c r="J111" s="25"/>
      <c r="K111" s="25"/>
    </row>
    <row r="112" spans="3:11" ht="15" customHeight="1" x14ac:dyDescent="0.25">
      <c r="C112" s="10"/>
      <c r="J112" s="25"/>
      <c r="K112" s="25"/>
    </row>
    <row r="113" spans="3:11" ht="15" customHeight="1" x14ac:dyDescent="0.25">
      <c r="C113" s="10"/>
      <c r="J113" s="25"/>
      <c r="K113" s="25"/>
    </row>
    <row r="114" spans="3:11" ht="15" customHeight="1" x14ac:dyDescent="0.25">
      <c r="C114" s="10"/>
      <c r="J114" s="25"/>
      <c r="K114" s="25"/>
    </row>
    <row r="115" spans="3:11" ht="15" customHeight="1" x14ac:dyDescent="0.25">
      <c r="C115" s="10"/>
      <c r="J115" s="25"/>
      <c r="K115" s="25"/>
    </row>
    <row r="116" spans="3:11" ht="15" customHeight="1" x14ac:dyDescent="0.25">
      <c r="C116" s="10"/>
      <c r="J116" s="25"/>
      <c r="K116" s="25"/>
    </row>
    <row r="117" spans="3:11" ht="15" customHeight="1" x14ac:dyDescent="0.25">
      <c r="C117" s="10"/>
      <c r="J117" s="25"/>
      <c r="K117" s="25"/>
    </row>
    <row r="118" spans="3:11" ht="15" customHeight="1" x14ac:dyDescent="0.25">
      <c r="C118" s="10"/>
      <c r="J118" s="25"/>
      <c r="K118" s="25"/>
    </row>
    <row r="119" spans="3:11" ht="15" customHeight="1" x14ac:dyDescent="0.25">
      <c r="C119" s="10"/>
      <c r="J119" s="25"/>
      <c r="K119" s="25"/>
    </row>
    <row r="120" spans="3:11" ht="15" customHeight="1" x14ac:dyDescent="0.25">
      <c r="C120" s="10"/>
      <c r="J120" s="25"/>
      <c r="K120" s="25"/>
    </row>
    <row r="121" spans="3:11" ht="15" customHeight="1" x14ac:dyDescent="0.25">
      <c r="C121" s="10"/>
      <c r="J121" s="25"/>
      <c r="K121" s="25"/>
    </row>
    <row r="122" spans="3:11" ht="15" customHeight="1" x14ac:dyDescent="0.25">
      <c r="C122" s="10"/>
      <c r="J122" s="25"/>
      <c r="K122" s="25"/>
    </row>
    <row r="123" spans="3:11" ht="15" customHeight="1" x14ac:dyDescent="0.25">
      <c r="C123" s="10"/>
      <c r="J123" s="25"/>
      <c r="K123" s="25"/>
    </row>
    <row r="124" spans="3:11" ht="15" customHeight="1" x14ac:dyDescent="0.25">
      <c r="C124" s="10"/>
      <c r="J124" s="25"/>
      <c r="K124" s="25"/>
    </row>
    <row r="125" spans="3:11" ht="15" customHeight="1" x14ac:dyDescent="0.25">
      <c r="C125" s="10"/>
      <c r="J125" s="25"/>
      <c r="K125" s="25"/>
    </row>
    <row r="126" spans="3:11" ht="15" customHeight="1" x14ac:dyDescent="0.25">
      <c r="C126" s="10"/>
      <c r="J126" s="25"/>
      <c r="K126" s="25"/>
    </row>
    <row r="127" spans="3:11" ht="15" customHeight="1" x14ac:dyDescent="0.25">
      <c r="C127" s="10"/>
      <c r="J127" s="25"/>
      <c r="K127" s="25"/>
    </row>
    <row r="128" spans="3:11" ht="15" customHeight="1" x14ac:dyDescent="0.25">
      <c r="C128" s="10"/>
      <c r="J128" s="25"/>
      <c r="K128" s="25"/>
    </row>
    <row r="129" spans="3:11" ht="15" customHeight="1" x14ac:dyDescent="0.25">
      <c r="C129" s="10"/>
      <c r="J129" s="25"/>
      <c r="K129" s="25"/>
    </row>
    <row r="130" spans="3:11" ht="15" customHeight="1" x14ac:dyDescent="0.25">
      <c r="C130" s="10"/>
      <c r="J130" s="25"/>
      <c r="K130" s="25"/>
    </row>
    <row r="131" spans="3:11" ht="15" customHeight="1" x14ac:dyDescent="0.25">
      <c r="C131" s="10"/>
      <c r="J131" s="25"/>
      <c r="K131" s="25"/>
    </row>
    <row r="132" spans="3:11" ht="15" customHeight="1" x14ac:dyDescent="0.25">
      <c r="C132" s="10"/>
      <c r="J132" s="25"/>
      <c r="K132" s="25"/>
    </row>
    <row r="133" spans="3:11" ht="15" customHeight="1" x14ac:dyDescent="0.25">
      <c r="C133" s="10"/>
      <c r="J133" s="25"/>
      <c r="K133" s="25"/>
    </row>
    <row r="134" spans="3:11" ht="15" customHeight="1" x14ac:dyDescent="0.25">
      <c r="C134" s="10"/>
      <c r="J134" s="25"/>
      <c r="K134" s="25"/>
    </row>
    <row r="135" spans="3:11" ht="15" customHeight="1" x14ac:dyDescent="0.25">
      <c r="C135" s="10"/>
      <c r="J135" s="25"/>
      <c r="K135" s="25"/>
    </row>
    <row r="136" spans="3:11" ht="15" customHeight="1" x14ac:dyDescent="0.25">
      <c r="C136" s="10"/>
      <c r="J136" s="25"/>
      <c r="K136" s="25"/>
    </row>
    <row r="137" spans="3:11" ht="15" customHeight="1" x14ac:dyDescent="0.25">
      <c r="C137" s="10"/>
      <c r="J137" s="25"/>
      <c r="K137" s="25"/>
    </row>
    <row r="138" spans="3:11" ht="15" customHeight="1" x14ac:dyDescent="0.25">
      <c r="C138" s="10"/>
      <c r="J138" s="25"/>
      <c r="K138" s="25"/>
    </row>
    <row r="139" spans="3:11" ht="15" customHeight="1" x14ac:dyDescent="0.25">
      <c r="C139" s="10"/>
      <c r="J139" s="25"/>
      <c r="K139" s="25"/>
    </row>
    <row r="140" spans="3:11" ht="15" customHeight="1" x14ac:dyDescent="0.25">
      <c r="C140" s="10"/>
      <c r="J140" s="25"/>
      <c r="K140" s="25"/>
    </row>
    <row r="141" spans="3:11" ht="15" customHeight="1" x14ac:dyDescent="0.25">
      <c r="C141" s="10"/>
      <c r="J141" s="25"/>
      <c r="K141" s="25"/>
    </row>
    <row r="142" spans="3:11" ht="15" customHeight="1" x14ac:dyDescent="0.25">
      <c r="C142" s="10"/>
      <c r="J142" s="25"/>
      <c r="K142" s="25"/>
    </row>
    <row r="143" spans="3:11" ht="15" customHeight="1" x14ac:dyDescent="0.25">
      <c r="C143" s="10"/>
      <c r="J143" s="25"/>
      <c r="K143" s="25"/>
    </row>
    <row r="144" spans="3:11" ht="15" customHeight="1" x14ac:dyDescent="0.25">
      <c r="C144" s="10"/>
      <c r="J144" s="25"/>
      <c r="K144" s="25"/>
    </row>
    <row r="145" spans="3:11" ht="15" customHeight="1" x14ac:dyDescent="0.25">
      <c r="C145" s="10"/>
      <c r="J145" s="25"/>
      <c r="K145" s="25"/>
    </row>
    <row r="146" spans="3:11" ht="15" customHeight="1" x14ac:dyDescent="0.25">
      <c r="C146" s="10"/>
      <c r="J146" s="25"/>
      <c r="K146" s="25"/>
    </row>
    <row r="147" spans="3:11" ht="15" customHeight="1" x14ac:dyDescent="0.25">
      <c r="C147" s="10"/>
      <c r="J147" s="25"/>
      <c r="K147" s="25"/>
    </row>
    <row r="148" spans="3:11" ht="15" customHeight="1" x14ac:dyDescent="0.25">
      <c r="C148" s="10"/>
      <c r="J148" s="25"/>
      <c r="K148" s="25"/>
    </row>
    <row r="149" spans="3:11" ht="15" customHeight="1" x14ac:dyDescent="0.25">
      <c r="C149" s="10"/>
      <c r="J149" s="25"/>
      <c r="K149" s="25"/>
    </row>
    <row r="150" spans="3:11" ht="15" customHeight="1" x14ac:dyDescent="0.25">
      <c r="C150" s="10"/>
      <c r="J150" s="25"/>
      <c r="K150" s="25"/>
    </row>
    <row r="151" spans="3:11" ht="15" customHeight="1" x14ac:dyDescent="0.25">
      <c r="C151" s="10"/>
      <c r="J151" s="25"/>
      <c r="K151" s="25"/>
    </row>
    <row r="152" spans="3:11" ht="15" customHeight="1" x14ac:dyDescent="0.25">
      <c r="C152" s="10"/>
      <c r="J152" s="25"/>
      <c r="K152" s="25"/>
    </row>
    <row r="153" spans="3:11" ht="15" customHeight="1" x14ac:dyDescent="0.25">
      <c r="C153" s="10"/>
      <c r="J153" s="25"/>
      <c r="K153" s="25"/>
    </row>
    <row r="154" spans="3:11" ht="15" customHeight="1" x14ac:dyDescent="0.25">
      <c r="C154" s="10"/>
      <c r="J154" s="25"/>
      <c r="K154" s="25"/>
    </row>
    <row r="155" spans="3:11" ht="15" customHeight="1" x14ac:dyDescent="0.25">
      <c r="C155" s="10"/>
      <c r="J155" s="25"/>
      <c r="K155" s="25"/>
    </row>
    <row r="156" spans="3:11" ht="15" customHeight="1" x14ac:dyDescent="0.25">
      <c r="C156" s="10"/>
      <c r="J156" s="25"/>
      <c r="K156" s="25"/>
    </row>
    <row r="157" spans="3:11" ht="15" customHeight="1" x14ac:dyDescent="0.25">
      <c r="C157" s="10"/>
      <c r="J157" s="25"/>
      <c r="K157" s="25"/>
    </row>
    <row r="158" spans="3:11" ht="15" customHeight="1" x14ac:dyDescent="0.25">
      <c r="C158" s="10"/>
      <c r="J158" s="25"/>
      <c r="K158" s="25"/>
    </row>
    <row r="159" spans="3:11" ht="15" customHeight="1" x14ac:dyDescent="0.25">
      <c r="C159" s="10"/>
      <c r="J159" s="25"/>
      <c r="K159" s="25"/>
    </row>
    <row r="160" spans="3:11" ht="15" customHeight="1" x14ac:dyDescent="0.25">
      <c r="C160" s="10"/>
      <c r="J160" s="25"/>
      <c r="K160" s="25"/>
    </row>
    <row r="161" spans="3:11" ht="15" customHeight="1" x14ac:dyDescent="0.25">
      <c r="C161" s="10"/>
      <c r="J161" s="25"/>
      <c r="K161" s="25"/>
    </row>
    <row r="162" spans="3:11" ht="15" customHeight="1" x14ac:dyDescent="0.25">
      <c r="C162" s="10"/>
      <c r="J162" s="25"/>
      <c r="K162" s="25"/>
    </row>
    <row r="163" spans="3:11" ht="15" customHeight="1" x14ac:dyDescent="0.25">
      <c r="C163" s="10"/>
      <c r="J163" s="25"/>
      <c r="K163" s="25"/>
    </row>
    <row r="164" spans="3:11" ht="15" customHeight="1" x14ac:dyDescent="0.25">
      <c r="C164" s="10"/>
      <c r="J164" s="25"/>
      <c r="K164" s="25"/>
    </row>
    <row r="165" spans="3:11" ht="15" customHeight="1" x14ac:dyDescent="0.25">
      <c r="C165" s="10"/>
      <c r="J165" s="25"/>
      <c r="K165" s="25"/>
    </row>
    <row r="166" spans="3:11" ht="15" customHeight="1" x14ac:dyDescent="0.25">
      <c r="C166" s="10"/>
      <c r="J166" s="25"/>
      <c r="K166" s="25"/>
    </row>
    <row r="167" spans="3:11" ht="15" customHeight="1" x14ac:dyDescent="0.25">
      <c r="C167" s="10"/>
      <c r="J167" s="25"/>
      <c r="K167" s="25"/>
    </row>
    <row r="168" spans="3:11" ht="15" customHeight="1" x14ac:dyDescent="0.25">
      <c r="C168" s="10"/>
      <c r="J168" s="25"/>
      <c r="K168" s="25"/>
    </row>
    <row r="169" spans="3:11" ht="15" customHeight="1" x14ac:dyDescent="0.25">
      <c r="C169" s="10"/>
      <c r="J169" s="25"/>
      <c r="K169" s="25"/>
    </row>
    <row r="170" spans="3:11" ht="15" customHeight="1" x14ac:dyDescent="0.25">
      <c r="C170" s="10"/>
      <c r="J170" s="25"/>
      <c r="K170" s="25"/>
    </row>
    <row r="171" spans="3:11" ht="15" customHeight="1" x14ac:dyDescent="0.25">
      <c r="C171" s="10"/>
      <c r="J171" s="25"/>
      <c r="K171" s="25"/>
    </row>
    <row r="172" spans="3:11" ht="15" customHeight="1" x14ac:dyDescent="0.25">
      <c r="C172" s="10"/>
      <c r="J172" s="25"/>
      <c r="K172" s="25"/>
    </row>
    <row r="173" spans="3:11" ht="15" customHeight="1" x14ac:dyDescent="0.25">
      <c r="C173" s="10"/>
      <c r="J173" s="25"/>
      <c r="K173" s="25"/>
    </row>
    <row r="174" spans="3:11" ht="15" customHeight="1" x14ac:dyDescent="0.25">
      <c r="C174" s="10"/>
      <c r="J174" s="25"/>
      <c r="K174" s="25"/>
    </row>
    <row r="175" spans="3:11" ht="15" customHeight="1" x14ac:dyDescent="0.25">
      <c r="C175" s="10"/>
      <c r="J175" s="25"/>
      <c r="K175" s="25"/>
    </row>
    <row r="176" spans="3:11" ht="15" customHeight="1" x14ac:dyDescent="0.25">
      <c r="C176" s="10"/>
      <c r="J176" s="25"/>
      <c r="K176" s="25"/>
    </row>
    <row r="177" spans="3:11" ht="15" customHeight="1" x14ac:dyDescent="0.25">
      <c r="C177" s="10"/>
      <c r="J177" s="25"/>
      <c r="K177" s="25"/>
    </row>
    <row r="178" spans="3:11" ht="15" customHeight="1" x14ac:dyDescent="0.25">
      <c r="C178" s="10"/>
      <c r="J178" s="25"/>
      <c r="K178" s="25"/>
    </row>
    <row r="179" spans="3:11" ht="15" customHeight="1" x14ac:dyDescent="0.25">
      <c r="C179" s="10"/>
      <c r="J179" s="25"/>
      <c r="K179" s="25"/>
    </row>
    <row r="180" spans="3:11" ht="15" customHeight="1" x14ac:dyDescent="0.25">
      <c r="C180" s="10"/>
      <c r="J180" s="25"/>
      <c r="K180" s="25"/>
    </row>
    <row r="181" spans="3:11" ht="15" customHeight="1" x14ac:dyDescent="0.25">
      <c r="C181" s="10"/>
      <c r="J181" s="25"/>
      <c r="K181" s="25"/>
    </row>
    <row r="182" spans="3:11" ht="15" customHeight="1" x14ac:dyDescent="0.25">
      <c r="C182" s="10"/>
      <c r="J182" s="25"/>
      <c r="K182" s="25"/>
    </row>
    <row r="183" spans="3:11" ht="15" customHeight="1" x14ac:dyDescent="0.25">
      <c r="C183" s="10"/>
      <c r="J183" s="25"/>
      <c r="K183" s="25"/>
    </row>
    <row r="184" spans="3:11" ht="15" customHeight="1" x14ac:dyDescent="0.25">
      <c r="C184" s="10"/>
      <c r="J184" s="25"/>
      <c r="K184" s="25"/>
    </row>
    <row r="185" spans="3:11" ht="15" customHeight="1" x14ac:dyDescent="0.25">
      <c r="C185" s="10"/>
      <c r="J185" s="25"/>
      <c r="K185" s="25"/>
    </row>
    <row r="186" spans="3:11" ht="15" customHeight="1" x14ac:dyDescent="0.25">
      <c r="C186" s="10"/>
      <c r="J186" s="25"/>
      <c r="K186" s="25"/>
    </row>
    <row r="187" spans="3:11" ht="15" customHeight="1" x14ac:dyDescent="0.25">
      <c r="C187" s="10"/>
      <c r="J187" s="25"/>
      <c r="K187" s="25"/>
    </row>
    <row r="188" spans="3:11" ht="15" customHeight="1" x14ac:dyDescent="0.25">
      <c r="C188" s="10"/>
      <c r="J188" s="25"/>
      <c r="K188" s="25"/>
    </row>
    <row r="189" spans="3:11" ht="15" customHeight="1" x14ac:dyDescent="0.25">
      <c r="C189" s="10"/>
      <c r="J189" s="25"/>
      <c r="K189" s="25"/>
    </row>
    <row r="190" spans="3:11" ht="15" customHeight="1" x14ac:dyDescent="0.25">
      <c r="C190" s="10"/>
      <c r="J190" s="25"/>
      <c r="K190" s="25"/>
    </row>
    <row r="191" spans="3:11" ht="15" customHeight="1" x14ac:dyDescent="0.25">
      <c r="C191" s="10"/>
      <c r="J191" s="25"/>
      <c r="K191" s="25"/>
    </row>
    <row r="192" spans="3:11" ht="15" customHeight="1" x14ac:dyDescent="0.25">
      <c r="C192" s="10"/>
      <c r="J192" s="25"/>
      <c r="K192" s="25"/>
    </row>
    <row r="193" spans="3:11" ht="15" customHeight="1" x14ac:dyDescent="0.25">
      <c r="C193" s="10"/>
      <c r="J193" s="25"/>
      <c r="K193" s="25"/>
    </row>
    <row r="194" spans="3:11" ht="15" customHeight="1" x14ac:dyDescent="0.25">
      <c r="C194" s="10"/>
      <c r="J194" s="25"/>
      <c r="K194" s="25"/>
    </row>
    <row r="195" spans="3:11" ht="15" customHeight="1" x14ac:dyDescent="0.25">
      <c r="C195" s="10"/>
      <c r="J195" s="25"/>
      <c r="K195" s="25"/>
    </row>
    <row r="196" spans="3:11" ht="15" customHeight="1" x14ac:dyDescent="0.25">
      <c r="C196" s="10"/>
      <c r="J196" s="25"/>
      <c r="K196" s="25"/>
    </row>
    <row r="197" spans="3:11" ht="15" customHeight="1" x14ac:dyDescent="0.25">
      <c r="C197" s="10"/>
      <c r="J197" s="25"/>
      <c r="K197" s="25"/>
    </row>
    <row r="198" spans="3:11" ht="15" customHeight="1" x14ac:dyDescent="0.25">
      <c r="C198" s="10"/>
      <c r="J198" s="25"/>
      <c r="K198" s="25"/>
    </row>
    <row r="199" spans="3:11" ht="15" customHeight="1" x14ac:dyDescent="0.25">
      <c r="C199" s="10"/>
      <c r="J199" s="25"/>
      <c r="K199" s="25"/>
    </row>
    <row r="200" spans="3:11" ht="15" customHeight="1" x14ac:dyDescent="0.25">
      <c r="C200" s="10"/>
      <c r="J200" s="25"/>
      <c r="K200" s="25"/>
    </row>
    <row r="201" spans="3:11" ht="15" customHeight="1" x14ac:dyDescent="0.25">
      <c r="C201" s="10"/>
      <c r="J201" s="25"/>
      <c r="K201" s="25"/>
    </row>
    <row r="202" spans="3:11" ht="15" customHeight="1" x14ac:dyDescent="0.25">
      <c r="C202" s="10"/>
      <c r="J202" s="25"/>
      <c r="K202" s="25"/>
    </row>
    <row r="203" spans="3:11" ht="15" customHeight="1" x14ac:dyDescent="0.25">
      <c r="C203" s="10"/>
      <c r="J203" s="25"/>
      <c r="K203" s="25"/>
    </row>
    <row r="204" spans="3:11" ht="15" customHeight="1" x14ac:dyDescent="0.25">
      <c r="C204" s="10"/>
      <c r="J204" s="25"/>
      <c r="K204" s="25"/>
    </row>
    <row r="205" spans="3:11" ht="15" customHeight="1" x14ac:dyDescent="0.25">
      <c r="C205" s="10"/>
      <c r="J205" s="25"/>
      <c r="K205" s="25"/>
    </row>
    <row r="206" spans="3:11" ht="15" customHeight="1" x14ac:dyDescent="0.25">
      <c r="C206" s="10"/>
      <c r="J206" s="25"/>
      <c r="K206" s="25"/>
    </row>
    <row r="207" spans="3:11" ht="15" customHeight="1" x14ac:dyDescent="0.25">
      <c r="C207" s="10"/>
      <c r="J207" s="25"/>
      <c r="K207" s="25"/>
    </row>
    <row r="208" spans="3:11" ht="15" customHeight="1" x14ac:dyDescent="0.25">
      <c r="C208" s="10"/>
      <c r="J208" s="25"/>
      <c r="K208" s="25"/>
    </row>
    <row r="209" spans="3:11" ht="15" customHeight="1" x14ac:dyDescent="0.25">
      <c r="C209" s="10"/>
      <c r="J209" s="25"/>
      <c r="K209" s="25"/>
    </row>
    <row r="210" spans="3:11" ht="15" customHeight="1" x14ac:dyDescent="0.25">
      <c r="C210" s="10"/>
      <c r="J210" s="25"/>
      <c r="K210" s="25"/>
    </row>
    <row r="211" spans="3:11" ht="15" customHeight="1" x14ac:dyDescent="0.25">
      <c r="C211" s="10"/>
      <c r="J211" s="25"/>
      <c r="K211" s="25"/>
    </row>
    <row r="212" spans="3:11" ht="15" customHeight="1" x14ac:dyDescent="0.25">
      <c r="C212" s="10"/>
      <c r="J212" s="25"/>
      <c r="K212" s="25"/>
    </row>
    <row r="213" spans="3:11" ht="15" customHeight="1" x14ac:dyDescent="0.25">
      <c r="C213" s="10"/>
      <c r="J213" s="25"/>
      <c r="K213" s="25"/>
    </row>
    <row r="214" spans="3:11" ht="15" customHeight="1" x14ac:dyDescent="0.25">
      <c r="C214" s="10"/>
      <c r="J214" s="25"/>
      <c r="K214" s="25"/>
    </row>
    <row r="215" spans="3:11" ht="15" customHeight="1" x14ac:dyDescent="0.25">
      <c r="C215" s="10"/>
      <c r="J215" s="25"/>
      <c r="K215" s="25"/>
    </row>
    <row r="216" spans="3:11" ht="15" customHeight="1" x14ac:dyDescent="0.25">
      <c r="C216" s="10"/>
      <c r="J216" s="25"/>
      <c r="K216" s="25"/>
    </row>
    <row r="217" spans="3:11" ht="15" customHeight="1" x14ac:dyDescent="0.25">
      <c r="C217" s="10"/>
      <c r="J217" s="25"/>
      <c r="K217" s="25"/>
    </row>
    <row r="218" spans="3:11" ht="15" customHeight="1" x14ac:dyDescent="0.25">
      <c r="C218" s="10"/>
      <c r="J218" s="25"/>
      <c r="K218" s="25"/>
    </row>
    <row r="219" spans="3:11" ht="15" customHeight="1" x14ac:dyDescent="0.25">
      <c r="C219" s="10"/>
      <c r="J219" s="25"/>
      <c r="K219" s="25"/>
    </row>
    <row r="220" spans="3:11" ht="15" customHeight="1" x14ac:dyDescent="0.25">
      <c r="C220" s="10"/>
      <c r="J220" s="25"/>
      <c r="K220" s="25"/>
    </row>
    <row r="221" spans="3:11" ht="15" customHeight="1" x14ac:dyDescent="0.25">
      <c r="C221" s="10"/>
      <c r="J221" s="25"/>
      <c r="K221" s="25"/>
    </row>
    <row r="222" spans="3:11" ht="15" customHeight="1" x14ac:dyDescent="0.25">
      <c r="C222" s="10"/>
      <c r="J222" s="25"/>
      <c r="K222" s="25"/>
    </row>
    <row r="223" spans="3:11" ht="15" customHeight="1" x14ac:dyDescent="0.25">
      <c r="C223" s="10"/>
      <c r="J223" s="25"/>
      <c r="K223" s="25"/>
    </row>
    <row r="224" spans="3:11" ht="15" customHeight="1" x14ac:dyDescent="0.25">
      <c r="C224" s="10"/>
      <c r="J224" s="25"/>
      <c r="K224" s="25"/>
    </row>
    <row r="225" spans="3:11" ht="15" customHeight="1" x14ac:dyDescent="0.25">
      <c r="C225" s="10"/>
      <c r="J225" s="25"/>
      <c r="K225" s="25"/>
    </row>
    <row r="226" spans="3:11" ht="15" customHeight="1" x14ac:dyDescent="0.25">
      <c r="C226" s="10"/>
      <c r="J226" s="25"/>
      <c r="K226" s="25"/>
    </row>
    <row r="227" spans="3:11" ht="15" customHeight="1" x14ac:dyDescent="0.25">
      <c r="C227" s="10"/>
      <c r="J227" s="25"/>
      <c r="K227" s="25"/>
    </row>
    <row r="228" spans="3:11" ht="15" customHeight="1" x14ac:dyDescent="0.25">
      <c r="C228" s="10"/>
      <c r="J228" s="25"/>
      <c r="K228" s="25"/>
    </row>
    <row r="229" spans="3:11" ht="15" customHeight="1" x14ac:dyDescent="0.25">
      <c r="C229" s="10"/>
      <c r="J229" s="25"/>
      <c r="K229" s="25"/>
    </row>
    <row r="230" spans="3:11" ht="15" customHeight="1" x14ac:dyDescent="0.25">
      <c r="C230" s="10"/>
      <c r="J230" s="25"/>
      <c r="K230" s="25"/>
    </row>
    <row r="231" spans="3:11" ht="15" customHeight="1" x14ac:dyDescent="0.25">
      <c r="C231" s="10"/>
      <c r="J231" s="25"/>
      <c r="K231" s="25"/>
    </row>
    <row r="232" spans="3:11" ht="15" customHeight="1" x14ac:dyDescent="0.25">
      <c r="C232" s="10"/>
      <c r="J232" s="25"/>
      <c r="K232" s="25"/>
    </row>
    <row r="233" spans="3:11" ht="15" customHeight="1" x14ac:dyDescent="0.25">
      <c r="C233" s="10"/>
      <c r="J233" s="25"/>
      <c r="K233" s="25"/>
    </row>
    <row r="234" spans="3:11" ht="15" customHeight="1" x14ac:dyDescent="0.25">
      <c r="C234" s="10"/>
      <c r="J234" s="25"/>
      <c r="K234" s="25"/>
    </row>
    <row r="235" spans="3:11" ht="15" customHeight="1" x14ac:dyDescent="0.25">
      <c r="C235" s="10"/>
      <c r="J235" s="25"/>
      <c r="K235" s="25"/>
    </row>
    <row r="236" spans="3:11" ht="15" customHeight="1" x14ac:dyDescent="0.25">
      <c r="C236" s="10"/>
      <c r="J236" s="25"/>
      <c r="K236" s="25"/>
    </row>
    <row r="237" spans="3:11" ht="15" customHeight="1" x14ac:dyDescent="0.25">
      <c r="C237" s="10"/>
      <c r="J237" s="25"/>
      <c r="K237" s="25"/>
    </row>
    <row r="238" spans="3:11" ht="15" customHeight="1" x14ac:dyDescent="0.25">
      <c r="C238" s="10"/>
      <c r="J238" s="25"/>
      <c r="K238" s="25"/>
    </row>
    <row r="239" spans="3:11" ht="15" customHeight="1" x14ac:dyDescent="0.25">
      <c r="C239" s="10"/>
      <c r="J239" s="25"/>
      <c r="K239" s="25"/>
    </row>
    <row r="240" spans="3:11" ht="15" customHeight="1" x14ac:dyDescent="0.25">
      <c r="C240" s="10"/>
      <c r="J240" s="25"/>
      <c r="K240" s="25"/>
    </row>
    <row r="241" spans="3:11" ht="15" customHeight="1" x14ac:dyDescent="0.25">
      <c r="C241" s="10"/>
      <c r="J241" s="25"/>
      <c r="K241" s="25"/>
    </row>
    <row r="242" spans="3:11" ht="15" customHeight="1" x14ac:dyDescent="0.25">
      <c r="C242" s="10"/>
      <c r="J242" s="25"/>
      <c r="K242" s="25"/>
    </row>
    <row r="243" spans="3:11" ht="15" customHeight="1" x14ac:dyDescent="0.25">
      <c r="C243" s="10"/>
      <c r="J243" s="25"/>
      <c r="K243" s="25"/>
    </row>
    <row r="244" spans="3:11" ht="15" customHeight="1" x14ac:dyDescent="0.25">
      <c r="C244" s="10"/>
      <c r="J244" s="25"/>
      <c r="K244" s="25"/>
    </row>
    <row r="245" spans="3:11" ht="15" customHeight="1" x14ac:dyDescent="0.25">
      <c r="C245" s="10"/>
      <c r="J245" s="25"/>
      <c r="K245" s="25"/>
    </row>
    <row r="246" spans="3:11" ht="15" customHeight="1" x14ac:dyDescent="0.25">
      <c r="C246" s="10"/>
      <c r="J246" s="25"/>
      <c r="K246" s="25"/>
    </row>
    <row r="247" spans="3:11" ht="15" customHeight="1" x14ac:dyDescent="0.25">
      <c r="C247" s="10"/>
      <c r="J247" s="25"/>
      <c r="K247" s="25"/>
    </row>
    <row r="248" spans="3:11" ht="15" customHeight="1" x14ac:dyDescent="0.25">
      <c r="C248" s="10"/>
      <c r="J248" s="25"/>
      <c r="K248" s="25"/>
    </row>
    <row r="249" spans="3:11" ht="15" customHeight="1" x14ac:dyDescent="0.25">
      <c r="C249" s="10"/>
      <c r="J249" s="25"/>
      <c r="K249" s="25"/>
    </row>
    <row r="250" spans="3:11" ht="15" customHeight="1" x14ac:dyDescent="0.25">
      <c r="C250" s="10"/>
      <c r="J250" s="25"/>
      <c r="K250" s="25"/>
    </row>
    <row r="251" spans="3:11" ht="15" customHeight="1" x14ac:dyDescent="0.25">
      <c r="C251" s="10"/>
      <c r="J251" s="25"/>
      <c r="K251" s="25"/>
    </row>
    <row r="252" spans="3:11" ht="15" customHeight="1" x14ac:dyDescent="0.25">
      <c r="C252" s="10"/>
      <c r="J252" s="25"/>
      <c r="K252" s="25"/>
    </row>
    <row r="253" spans="3:11" ht="15" customHeight="1" x14ac:dyDescent="0.25">
      <c r="C253" s="10"/>
      <c r="J253" s="25"/>
      <c r="K253" s="25"/>
    </row>
    <row r="254" spans="3:11" ht="15" customHeight="1" x14ac:dyDescent="0.25">
      <c r="C254" s="10"/>
      <c r="J254" s="25"/>
      <c r="K254" s="25"/>
    </row>
    <row r="255" spans="3:11" ht="15" customHeight="1" x14ac:dyDescent="0.25">
      <c r="C255" s="10"/>
      <c r="J255" s="25"/>
      <c r="K255" s="25"/>
    </row>
    <row r="256" spans="3:11" ht="15" customHeight="1" x14ac:dyDescent="0.25">
      <c r="C256" s="10"/>
      <c r="J256" s="25"/>
      <c r="K256" s="25"/>
    </row>
    <row r="257" spans="3:11" ht="15" customHeight="1" x14ac:dyDescent="0.25">
      <c r="C257" s="10"/>
      <c r="J257" s="25"/>
      <c r="K257" s="25"/>
    </row>
    <row r="258" spans="3:11" ht="15" customHeight="1" x14ac:dyDescent="0.25">
      <c r="C258" s="10"/>
      <c r="J258" s="25"/>
      <c r="K258" s="25"/>
    </row>
    <row r="259" spans="3:11" ht="15" customHeight="1" x14ac:dyDescent="0.25">
      <c r="C259" s="10"/>
      <c r="J259" s="25"/>
      <c r="K259" s="25"/>
    </row>
    <row r="260" spans="3:11" ht="15" customHeight="1" x14ac:dyDescent="0.25">
      <c r="C260" s="10"/>
      <c r="J260" s="25"/>
      <c r="K260" s="25"/>
    </row>
    <row r="261" spans="3:11" ht="15" customHeight="1" x14ac:dyDescent="0.25">
      <c r="C261" s="10"/>
      <c r="J261" s="25"/>
      <c r="K261" s="25"/>
    </row>
    <row r="262" spans="3:11" ht="15" customHeight="1" x14ac:dyDescent="0.25">
      <c r="C262" s="10"/>
      <c r="J262" s="25"/>
      <c r="K262" s="25"/>
    </row>
    <row r="263" spans="3:11" ht="15" customHeight="1" x14ac:dyDescent="0.25">
      <c r="C263" s="10"/>
      <c r="J263" s="25"/>
      <c r="K263" s="25"/>
    </row>
    <row r="264" spans="3:11" ht="15" customHeight="1" x14ac:dyDescent="0.25">
      <c r="C264" s="10"/>
      <c r="J264" s="25"/>
      <c r="K264" s="25"/>
    </row>
    <row r="265" spans="3:11" ht="15" customHeight="1" x14ac:dyDescent="0.25">
      <c r="C265" s="10"/>
      <c r="J265" s="25"/>
      <c r="K265" s="25"/>
    </row>
    <row r="266" spans="3:11" ht="15" customHeight="1" x14ac:dyDescent="0.25">
      <c r="C266" s="10"/>
      <c r="J266" s="25"/>
      <c r="K266" s="25"/>
    </row>
    <row r="267" spans="3:11" ht="15" customHeight="1" x14ac:dyDescent="0.25">
      <c r="C267" s="10"/>
      <c r="J267" s="25"/>
      <c r="K267" s="25"/>
    </row>
    <row r="268" spans="3:11" ht="15" customHeight="1" x14ac:dyDescent="0.25">
      <c r="C268" s="10"/>
      <c r="J268" s="25"/>
      <c r="K268" s="25"/>
    </row>
    <row r="269" spans="3:11" ht="15" customHeight="1" x14ac:dyDescent="0.25">
      <c r="C269" s="10"/>
      <c r="J269" s="25"/>
      <c r="K269" s="25"/>
    </row>
    <row r="270" spans="3:11" ht="15" customHeight="1" x14ac:dyDescent="0.25">
      <c r="C270" s="10"/>
      <c r="J270" s="25"/>
      <c r="K270" s="25"/>
    </row>
    <row r="271" spans="3:11" ht="15" customHeight="1" x14ac:dyDescent="0.25">
      <c r="C271" s="10"/>
      <c r="J271" s="25"/>
      <c r="K271" s="25"/>
    </row>
    <row r="272" spans="3:11" ht="15" customHeight="1" x14ac:dyDescent="0.25">
      <c r="C272" s="10"/>
      <c r="J272" s="25"/>
      <c r="K272" s="25"/>
    </row>
    <row r="273" spans="3:11" ht="15" customHeight="1" x14ac:dyDescent="0.25">
      <c r="C273" s="10"/>
      <c r="J273" s="25"/>
      <c r="K273" s="25"/>
    </row>
    <row r="274" spans="3:11" ht="15" customHeight="1" x14ac:dyDescent="0.25">
      <c r="C274" s="10"/>
      <c r="J274" s="25"/>
      <c r="K274" s="25"/>
    </row>
    <row r="275" spans="3:11" ht="15" customHeight="1" x14ac:dyDescent="0.25">
      <c r="C275" s="10"/>
      <c r="J275" s="25"/>
      <c r="K275" s="25"/>
    </row>
    <row r="276" spans="3:11" ht="15" customHeight="1" x14ac:dyDescent="0.25">
      <c r="C276" s="10"/>
      <c r="J276" s="25"/>
      <c r="K276" s="25"/>
    </row>
    <row r="277" spans="3:11" ht="15" customHeight="1" x14ac:dyDescent="0.25">
      <c r="C277" s="10"/>
      <c r="J277" s="25"/>
      <c r="K277" s="25"/>
    </row>
    <row r="278" spans="3:11" ht="15" customHeight="1" x14ac:dyDescent="0.25">
      <c r="C278" s="10"/>
      <c r="J278" s="25"/>
      <c r="K278" s="25"/>
    </row>
    <row r="279" spans="3:11" ht="15" customHeight="1" x14ac:dyDescent="0.25">
      <c r="C279" s="10"/>
      <c r="J279" s="25"/>
      <c r="K279" s="25"/>
    </row>
    <row r="280" spans="3:11" ht="15" customHeight="1" x14ac:dyDescent="0.25">
      <c r="C280" s="10"/>
      <c r="J280" s="25"/>
      <c r="K280" s="25"/>
    </row>
    <row r="281" spans="3:11" ht="15" customHeight="1" x14ac:dyDescent="0.25">
      <c r="C281" s="10"/>
      <c r="J281" s="25"/>
      <c r="K281" s="25"/>
    </row>
    <row r="282" spans="3:11" ht="15" customHeight="1" x14ac:dyDescent="0.25">
      <c r="C282" s="10"/>
      <c r="J282" s="25"/>
      <c r="K282" s="25"/>
    </row>
    <row r="283" spans="3:11" ht="15" customHeight="1" x14ac:dyDescent="0.25">
      <c r="C283" s="10"/>
      <c r="J283" s="25"/>
      <c r="K283" s="25"/>
    </row>
    <row r="284" spans="3:11" ht="15" customHeight="1" x14ac:dyDescent="0.25">
      <c r="C284" s="10"/>
      <c r="J284" s="25"/>
      <c r="K284" s="25"/>
    </row>
    <row r="285" spans="3:11" ht="15" customHeight="1" x14ac:dyDescent="0.25">
      <c r="C285" s="10"/>
      <c r="J285" s="25"/>
      <c r="K285" s="25"/>
    </row>
    <row r="286" spans="3:11" ht="15" customHeight="1" x14ac:dyDescent="0.25">
      <c r="C286" s="10"/>
      <c r="J286" s="25"/>
      <c r="K286" s="25"/>
    </row>
    <row r="287" spans="3:11" ht="15" customHeight="1" x14ac:dyDescent="0.25">
      <c r="C287" s="10"/>
      <c r="J287" s="25"/>
      <c r="K287" s="25"/>
    </row>
    <row r="288" spans="3:11" ht="15" customHeight="1" x14ac:dyDescent="0.25">
      <c r="C288" s="10"/>
      <c r="J288" s="25"/>
      <c r="K288" s="25"/>
    </row>
    <row r="289" spans="3:11" ht="15" customHeight="1" x14ac:dyDescent="0.25">
      <c r="C289" s="10"/>
      <c r="J289" s="25"/>
      <c r="K289" s="25"/>
    </row>
    <row r="290" spans="3:11" ht="15" customHeight="1" x14ac:dyDescent="0.25">
      <c r="C290" s="10"/>
      <c r="J290" s="25"/>
      <c r="K290" s="25"/>
    </row>
    <row r="291" spans="3:11" ht="15" customHeight="1" x14ac:dyDescent="0.25">
      <c r="C291" s="10"/>
      <c r="J291" s="25"/>
      <c r="K291" s="25"/>
    </row>
    <row r="292" spans="3:11" ht="15" customHeight="1" x14ac:dyDescent="0.25">
      <c r="C292" s="10"/>
      <c r="J292" s="25"/>
      <c r="K292" s="25"/>
    </row>
    <row r="293" spans="3:11" ht="15" customHeight="1" x14ac:dyDescent="0.25">
      <c r="C293" s="10"/>
      <c r="J293" s="25"/>
      <c r="K293" s="25"/>
    </row>
    <row r="294" spans="3:11" ht="15" customHeight="1" x14ac:dyDescent="0.25">
      <c r="C294" s="10"/>
      <c r="J294" s="25"/>
      <c r="K294" s="25"/>
    </row>
    <row r="295" spans="3:11" ht="15" customHeight="1" x14ac:dyDescent="0.25">
      <c r="C295" s="10"/>
    </row>
    <row r="296" spans="3:11" ht="15" customHeight="1" x14ac:dyDescent="0.25">
      <c r="C296" s="10"/>
    </row>
    <row r="297" spans="3:11" ht="15" customHeight="1" x14ac:dyDescent="0.25">
      <c r="C297" s="10"/>
    </row>
    <row r="298" spans="3:11" ht="15" customHeight="1" x14ac:dyDescent="0.25">
      <c r="C298" s="10"/>
    </row>
    <row r="299" spans="3:11" ht="15" customHeight="1" x14ac:dyDescent="0.25">
      <c r="C299" s="10"/>
    </row>
    <row r="300" spans="3:11" ht="15" customHeight="1" x14ac:dyDescent="0.25">
      <c r="C300" s="10"/>
    </row>
    <row r="301" spans="3:11" ht="15" customHeight="1" x14ac:dyDescent="0.25">
      <c r="C301" s="10"/>
    </row>
    <row r="302" spans="3:11" ht="15" customHeight="1" x14ac:dyDescent="0.25">
      <c r="C302" s="10"/>
    </row>
    <row r="303" spans="3:11" ht="15" customHeight="1" x14ac:dyDescent="0.25">
      <c r="C303" s="10"/>
    </row>
    <row r="304" spans="3:11" ht="15" customHeight="1" x14ac:dyDescent="0.25">
      <c r="C304" s="10"/>
    </row>
    <row r="305" spans="3:3" ht="15" customHeight="1" x14ac:dyDescent="0.25">
      <c r="C305" s="10"/>
    </row>
    <row r="306" spans="3:3" ht="15" customHeight="1" x14ac:dyDescent="0.25">
      <c r="C306" s="10"/>
    </row>
    <row r="307" spans="3:3" ht="15" customHeight="1" x14ac:dyDescent="0.25">
      <c r="C307" s="10"/>
    </row>
    <row r="308" spans="3:3" ht="15" customHeight="1" x14ac:dyDescent="0.25">
      <c r="C308" s="10"/>
    </row>
    <row r="309" spans="3:3" ht="15" customHeight="1" x14ac:dyDescent="0.25">
      <c r="C309" s="10"/>
    </row>
    <row r="310" spans="3:3" ht="15" customHeight="1" x14ac:dyDescent="0.25">
      <c r="C310" s="10"/>
    </row>
    <row r="311" spans="3:3" ht="15" customHeight="1" x14ac:dyDescent="0.25">
      <c r="C311" s="10"/>
    </row>
    <row r="312" spans="3:3" ht="15" customHeight="1" x14ac:dyDescent="0.25">
      <c r="C312" s="10"/>
    </row>
    <row r="313" spans="3:3" ht="15" customHeight="1" x14ac:dyDescent="0.25">
      <c r="C313" s="10"/>
    </row>
    <row r="314" spans="3:3" ht="15" customHeight="1" x14ac:dyDescent="0.25">
      <c r="C314" s="10"/>
    </row>
    <row r="315" spans="3:3" ht="15" customHeight="1" x14ac:dyDescent="0.25">
      <c r="C315" s="10"/>
    </row>
    <row r="316" spans="3:3" ht="15" customHeight="1" x14ac:dyDescent="0.25">
      <c r="C316" s="10"/>
    </row>
    <row r="317" spans="3:3" ht="15" customHeight="1" x14ac:dyDescent="0.25">
      <c r="C317" s="10"/>
    </row>
    <row r="318" spans="3:3" ht="15" customHeight="1" x14ac:dyDescent="0.25">
      <c r="C318" s="10"/>
    </row>
    <row r="319" spans="3:3" ht="15" customHeight="1" x14ac:dyDescent="0.25">
      <c r="C319" s="10"/>
    </row>
    <row r="320" spans="3:3" ht="15" customHeight="1" x14ac:dyDescent="0.25">
      <c r="C320" s="10"/>
    </row>
    <row r="321" spans="3:3" ht="15" customHeight="1" x14ac:dyDescent="0.25">
      <c r="C321" s="10"/>
    </row>
    <row r="322" spans="3:3" ht="15" customHeight="1" x14ac:dyDescent="0.25">
      <c r="C322" s="10"/>
    </row>
    <row r="323" spans="3:3" ht="15" customHeight="1" x14ac:dyDescent="0.25">
      <c r="C323" s="10"/>
    </row>
    <row r="324" spans="3:3" ht="15" customHeight="1" x14ac:dyDescent="0.25">
      <c r="C324" s="10"/>
    </row>
    <row r="325" spans="3:3" ht="15" customHeight="1" x14ac:dyDescent="0.25">
      <c r="C325" s="10"/>
    </row>
    <row r="326" spans="3:3" ht="15" customHeight="1" x14ac:dyDescent="0.25">
      <c r="C326" s="10"/>
    </row>
    <row r="327" spans="3:3" ht="15" customHeight="1" x14ac:dyDescent="0.25">
      <c r="C327" s="10"/>
    </row>
    <row r="328" spans="3:3" ht="15" customHeight="1" x14ac:dyDescent="0.25">
      <c r="C328" s="10"/>
    </row>
    <row r="329" spans="3:3" ht="15" customHeight="1" x14ac:dyDescent="0.25">
      <c r="C329" s="10"/>
    </row>
    <row r="330" spans="3:3" ht="15" customHeight="1" x14ac:dyDescent="0.25">
      <c r="C330" s="10"/>
    </row>
    <row r="331" spans="3:3" ht="15" customHeight="1" x14ac:dyDescent="0.25">
      <c r="C331" s="10"/>
    </row>
    <row r="332" spans="3:3" ht="15" customHeight="1" x14ac:dyDescent="0.25">
      <c r="C332" s="10"/>
    </row>
    <row r="333" spans="3:3" ht="15" customHeight="1" x14ac:dyDescent="0.25">
      <c r="C333" s="10"/>
    </row>
    <row r="334" spans="3:3" ht="15" customHeight="1" x14ac:dyDescent="0.25">
      <c r="C334" s="10"/>
    </row>
    <row r="335" spans="3:3" ht="15" customHeight="1" x14ac:dyDescent="0.25">
      <c r="C335" s="10"/>
    </row>
    <row r="336" spans="3:3" ht="15" customHeight="1" x14ac:dyDescent="0.25">
      <c r="C336" s="10"/>
    </row>
    <row r="337" spans="3:3" ht="15" customHeight="1" x14ac:dyDescent="0.25">
      <c r="C337" s="10"/>
    </row>
    <row r="338" spans="3:3" ht="15" customHeight="1" x14ac:dyDescent="0.25">
      <c r="C338" s="10"/>
    </row>
    <row r="339" spans="3:3" ht="15" customHeight="1" x14ac:dyDescent="0.25">
      <c r="C339" s="10"/>
    </row>
    <row r="340" spans="3:3" ht="15" customHeight="1" x14ac:dyDescent="0.25">
      <c r="C340" s="10"/>
    </row>
    <row r="341" spans="3:3" ht="15" customHeight="1" x14ac:dyDescent="0.25">
      <c r="C341" s="10"/>
    </row>
    <row r="342" spans="3:3" ht="15" customHeight="1" x14ac:dyDescent="0.25">
      <c r="C342" s="10"/>
    </row>
    <row r="343" spans="3:3" ht="15" customHeight="1" x14ac:dyDescent="0.25">
      <c r="C343" s="10"/>
    </row>
    <row r="344" spans="3:3" ht="15" customHeight="1" x14ac:dyDescent="0.25">
      <c r="C344" s="10"/>
    </row>
    <row r="345" spans="3:3" ht="15" customHeight="1" x14ac:dyDescent="0.25">
      <c r="C345" s="10"/>
    </row>
    <row r="346" spans="3:3" ht="15" customHeight="1" x14ac:dyDescent="0.25">
      <c r="C346" s="10"/>
    </row>
    <row r="347" spans="3:3" ht="15" customHeight="1" x14ac:dyDescent="0.25">
      <c r="C347" s="10"/>
    </row>
    <row r="348" spans="3:3" ht="15" customHeight="1" x14ac:dyDescent="0.25">
      <c r="C348" s="10"/>
    </row>
    <row r="349" spans="3:3" ht="15" customHeight="1" x14ac:dyDescent="0.25">
      <c r="C349" s="10"/>
    </row>
    <row r="350" spans="3:3" ht="15" customHeight="1" x14ac:dyDescent="0.25">
      <c r="C350" s="10"/>
    </row>
    <row r="351" spans="3:3" ht="15" customHeight="1" x14ac:dyDescent="0.25">
      <c r="C351" s="10"/>
    </row>
    <row r="352" spans="3:3" ht="15" customHeight="1" x14ac:dyDescent="0.25">
      <c r="C352" s="10"/>
    </row>
    <row r="353" spans="3:3" ht="15" customHeight="1" x14ac:dyDescent="0.25">
      <c r="C353" s="10"/>
    </row>
    <row r="354" spans="3:3" ht="15" customHeight="1" x14ac:dyDescent="0.25">
      <c r="C354" s="10"/>
    </row>
    <row r="355" spans="3:3" ht="15" customHeight="1" x14ac:dyDescent="0.25">
      <c r="C355" s="10"/>
    </row>
    <row r="356" spans="3:3" ht="15" customHeight="1" x14ac:dyDescent="0.25">
      <c r="C356" s="10"/>
    </row>
    <row r="357" spans="3:3" ht="15" customHeight="1" x14ac:dyDescent="0.25">
      <c r="C357" s="10"/>
    </row>
    <row r="358" spans="3:3" ht="15" customHeight="1" x14ac:dyDescent="0.25">
      <c r="C358" s="10"/>
    </row>
    <row r="359" spans="3:3" ht="15" customHeight="1" x14ac:dyDescent="0.25">
      <c r="C359" s="10"/>
    </row>
    <row r="360" spans="3:3" ht="15" customHeight="1" x14ac:dyDescent="0.25">
      <c r="C360" s="10"/>
    </row>
    <row r="361" spans="3:3" ht="15" customHeight="1" x14ac:dyDescent="0.25">
      <c r="C361" s="10"/>
    </row>
    <row r="362" spans="3:3" ht="15" customHeight="1" x14ac:dyDescent="0.25">
      <c r="C362" s="10"/>
    </row>
    <row r="363" spans="3:3" ht="15" customHeight="1" x14ac:dyDescent="0.25">
      <c r="C363" s="10"/>
    </row>
    <row r="364" spans="3:3" ht="15" customHeight="1" x14ac:dyDescent="0.25">
      <c r="C364" s="10"/>
    </row>
    <row r="365" spans="3:3" ht="15" customHeight="1" x14ac:dyDescent="0.25">
      <c r="C365" s="10"/>
    </row>
    <row r="366" spans="3:3" ht="15" customHeight="1" x14ac:dyDescent="0.25">
      <c r="C366" s="10"/>
    </row>
    <row r="367" spans="3:3" ht="15" customHeight="1" x14ac:dyDescent="0.25">
      <c r="C367" s="10"/>
    </row>
    <row r="368" spans="3:3" ht="15" customHeight="1" x14ac:dyDescent="0.25">
      <c r="C368" s="10"/>
    </row>
    <row r="369" spans="3:3" ht="15" customHeight="1" x14ac:dyDescent="0.25">
      <c r="C369" s="10"/>
    </row>
    <row r="370" spans="3:3" ht="15" customHeight="1" x14ac:dyDescent="0.25">
      <c r="C370" s="10"/>
    </row>
    <row r="371" spans="3:3" ht="15" customHeight="1" x14ac:dyDescent="0.25">
      <c r="C371" s="10"/>
    </row>
    <row r="372" spans="3:3" ht="15" customHeight="1" x14ac:dyDescent="0.25">
      <c r="C372" s="10"/>
    </row>
    <row r="373" spans="3:3" ht="15" customHeight="1" x14ac:dyDescent="0.25">
      <c r="C373" s="10"/>
    </row>
    <row r="374" spans="3:3" ht="15" customHeight="1" x14ac:dyDescent="0.25">
      <c r="C374" s="10"/>
    </row>
    <row r="375" spans="3:3" ht="15" customHeight="1" x14ac:dyDescent="0.25">
      <c r="C375" s="10"/>
    </row>
    <row r="376" spans="3:3" ht="15" customHeight="1" x14ac:dyDescent="0.25">
      <c r="C376" s="10"/>
    </row>
    <row r="377" spans="3:3" ht="15" customHeight="1" x14ac:dyDescent="0.25">
      <c r="C377" s="10"/>
    </row>
    <row r="378" spans="3:3" ht="15" customHeight="1" x14ac:dyDescent="0.25">
      <c r="C378" s="10"/>
    </row>
    <row r="379" spans="3:3" ht="15" customHeight="1" x14ac:dyDescent="0.25">
      <c r="C379" s="10"/>
    </row>
    <row r="380" spans="3:3" ht="15" customHeight="1" x14ac:dyDescent="0.25">
      <c r="C380" s="10"/>
    </row>
    <row r="381" spans="3:3" ht="15" customHeight="1" x14ac:dyDescent="0.25">
      <c r="C381" s="10"/>
    </row>
    <row r="382" spans="3:3" ht="15" customHeight="1" x14ac:dyDescent="0.25">
      <c r="C382" s="10"/>
    </row>
    <row r="383" spans="3:3" ht="15" customHeight="1" x14ac:dyDescent="0.25">
      <c r="C383" s="10"/>
    </row>
    <row r="384" spans="3:3" ht="15" customHeight="1" x14ac:dyDescent="0.25">
      <c r="C384" s="10"/>
    </row>
    <row r="385" spans="3:3" ht="15" customHeight="1" x14ac:dyDescent="0.25">
      <c r="C385" s="10"/>
    </row>
    <row r="386" spans="3:3" ht="15" customHeight="1" x14ac:dyDescent="0.25">
      <c r="C386" s="10"/>
    </row>
    <row r="387" spans="3:3" ht="15" customHeight="1" x14ac:dyDescent="0.25">
      <c r="C387" s="10"/>
    </row>
    <row r="388" spans="3:3" ht="15" customHeight="1" x14ac:dyDescent="0.25">
      <c r="C388" s="10"/>
    </row>
    <row r="389" spans="3:3" ht="15" customHeight="1" x14ac:dyDescent="0.25">
      <c r="C389" s="10"/>
    </row>
    <row r="390" spans="3:3" ht="15" customHeight="1" x14ac:dyDescent="0.25">
      <c r="C390" s="10"/>
    </row>
    <row r="391" spans="3:3" ht="15" customHeight="1" x14ac:dyDescent="0.25">
      <c r="C391" s="10"/>
    </row>
    <row r="392" spans="3:3" ht="15" customHeight="1" x14ac:dyDescent="0.25">
      <c r="C392" s="10"/>
    </row>
    <row r="393" spans="3:3" ht="15" customHeight="1" x14ac:dyDescent="0.25">
      <c r="C393" s="10"/>
    </row>
    <row r="394" spans="3:3" ht="15" customHeight="1" x14ac:dyDescent="0.25">
      <c r="C394" s="10"/>
    </row>
    <row r="395" spans="3:3" ht="15" customHeight="1" x14ac:dyDescent="0.25">
      <c r="C395" s="10"/>
    </row>
    <row r="396" spans="3:3" ht="15" customHeight="1" x14ac:dyDescent="0.25">
      <c r="C396" s="10"/>
    </row>
    <row r="397" spans="3:3" ht="15" customHeight="1" x14ac:dyDescent="0.25">
      <c r="C397" s="10"/>
    </row>
    <row r="398" spans="3:3" ht="15" customHeight="1" x14ac:dyDescent="0.25">
      <c r="C398" s="10"/>
    </row>
    <row r="399" spans="3:3" ht="15" customHeight="1" x14ac:dyDescent="0.25">
      <c r="C399" s="10"/>
    </row>
    <row r="400" spans="3:3" ht="15" customHeight="1" x14ac:dyDescent="0.25">
      <c r="C400" s="10"/>
    </row>
    <row r="401" spans="3:3" ht="15" customHeight="1" x14ac:dyDescent="0.25">
      <c r="C401" s="10"/>
    </row>
    <row r="402" spans="3:3" ht="15" customHeight="1" x14ac:dyDescent="0.25">
      <c r="C402" s="10"/>
    </row>
    <row r="403" spans="3:3" ht="15" customHeight="1" x14ac:dyDescent="0.25">
      <c r="C403" s="10"/>
    </row>
    <row r="404" spans="3:3" ht="15" customHeight="1" x14ac:dyDescent="0.25">
      <c r="C404" s="10"/>
    </row>
    <row r="405" spans="3:3" ht="15" customHeight="1" x14ac:dyDescent="0.25">
      <c r="C405" s="10"/>
    </row>
    <row r="406" spans="3:3" ht="15" customHeight="1" x14ac:dyDescent="0.25">
      <c r="C406" s="10"/>
    </row>
    <row r="407" spans="3:3" ht="15" customHeight="1" x14ac:dyDescent="0.25">
      <c r="C407" s="10"/>
    </row>
    <row r="408" spans="3:3" ht="15" customHeight="1" x14ac:dyDescent="0.25">
      <c r="C408" s="10"/>
    </row>
    <row r="409" spans="3:3" ht="15" customHeight="1" x14ac:dyDescent="0.25">
      <c r="C409" s="10"/>
    </row>
    <row r="410" spans="3:3" ht="15" customHeight="1" x14ac:dyDescent="0.25">
      <c r="C410" s="10"/>
    </row>
    <row r="411" spans="3:3" ht="15" customHeight="1" x14ac:dyDescent="0.25">
      <c r="C411" s="10"/>
    </row>
    <row r="412" spans="3:3" ht="15" customHeight="1" x14ac:dyDescent="0.25">
      <c r="C412" s="10"/>
    </row>
    <row r="413" spans="3:3" ht="15" customHeight="1" x14ac:dyDescent="0.25">
      <c r="C413" s="10"/>
    </row>
    <row r="414" spans="3:3" ht="15" customHeight="1" x14ac:dyDescent="0.25">
      <c r="C414" s="10"/>
    </row>
    <row r="415" spans="3:3" ht="15" customHeight="1" x14ac:dyDescent="0.25">
      <c r="C415" s="10"/>
    </row>
    <row r="416" spans="3:3" ht="15" customHeight="1" x14ac:dyDescent="0.25">
      <c r="C416" s="10"/>
    </row>
    <row r="417" spans="3:3" ht="15" customHeight="1" x14ac:dyDescent="0.25">
      <c r="C417" s="10"/>
    </row>
    <row r="418" spans="3:3" ht="15" customHeight="1" x14ac:dyDescent="0.25">
      <c r="C418" s="10"/>
    </row>
    <row r="419" spans="3:3" ht="15" customHeight="1" x14ac:dyDescent="0.25">
      <c r="C419" s="10"/>
    </row>
    <row r="420" spans="3:3" ht="15" customHeight="1" x14ac:dyDescent="0.25">
      <c r="C420" s="10"/>
    </row>
    <row r="421" spans="3:3" ht="15" customHeight="1" x14ac:dyDescent="0.25">
      <c r="C421" s="10"/>
    </row>
    <row r="422" spans="3:3" ht="15" customHeight="1" x14ac:dyDescent="0.25">
      <c r="C422" s="10"/>
    </row>
    <row r="423" spans="3:3" ht="15" customHeight="1" x14ac:dyDescent="0.25">
      <c r="C423" s="10"/>
    </row>
    <row r="424" spans="3:3" ht="15" customHeight="1" x14ac:dyDescent="0.25">
      <c r="C424" s="10"/>
    </row>
    <row r="425" spans="3:3" ht="15" customHeight="1" x14ac:dyDescent="0.25">
      <c r="C425" s="10"/>
    </row>
    <row r="426" spans="3:3" ht="15" customHeight="1" x14ac:dyDescent="0.25">
      <c r="C426" s="10"/>
    </row>
    <row r="427" spans="3:3" ht="15" customHeight="1" x14ac:dyDescent="0.25">
      <c r="C427" s="10"/>
    </row>
    <row r="428" spans="3:3" ht="15" customHeight="1" x14ac:dyDescent="0.25">
      <c r="C428" s="10"/>
    </row>
    <row r="429" spans="3:3" ht="15" customHeight="1" x14ac:dyDescent="0.25">
      <c r="C429" s="10"/>
    </row>
    <row r="430" spans="3:3" ht="15" customHeight="1" x14ac:dyDescent="0.25">
      <c r="C430" s="10"/>
    </row>
    <row r="431" spans="3:3" ht="15" customHeight="1" x14ac:dyDescent="0.25">
      <c r="C431" s="10"/>
    </row>
    <row r="432" spans="3:3" ht="15" customHeight="1" x14ac:dyDescent="0.25">
      <c r="C432" s="10"/>
    </row>
    <row r="433" spans="3:3" ht="15" customHeight="1" x14ac:dyDescent="0.25">
      <c r="C433" s="10"/>
    </row>
    <row r="434" spans="3:3" ht="15" customHeight="1" x14ac:dyDescent="0.25">
      <c r="C434" s="10"/>
    </row>
    <row r="435" spans="3:3" ht="15" customHeight="1" x14ac:dyDescent="0.25">
      <c r="C435" s="10"/>
    </row>
    <row r="436" spans="3:3" ht="15" customHeight="1" x14ac:dyDescent="0.25">
      <c r="C436" s="10"/>
    </row>
    <row r="437" spans="3:3" ht="15" customHeight="1" x14ac:dyDescent="0.25">
      <c r="C437" s="10"/>
    </row>
    <row r="438" spans="3:3" ht="15" customHeight="1" x14ac:dyDescent="0.25">
      <c r="C438" s="10"/>
    </row>
    <row r="439" spans="3:3" ht="15" customHeight="1" x14ac:dyDescent="0.25">
      <c r="C439" s="10"/>
    </row>
    <row r="440" spans="3:3" ht="15" customHeight="1" x14ac:dyDescent="0.25">
      <c r="C440" s="10"/>
    </row>
    <row r="441" spans="3:3" ht="15" customHeight="1" x14ac:dyDescent="0.25">
      <c r="C441" s="10"/>
    </row>
    <row r="442" spans="3:3" ht="15" customHeight="1" x14ac:dyDescent="0.25">
      <c r="C442" s="10"/>
    </row>
    <row r="443" spans="3:3" ht="15" customHeight="1" x14ac:dyDescent="0.25">
      <c r="C443" s="10"/>
    </row>
    <row r="444" spans="3:3" ht="15" customHeight="1" x14ac:dyDescent="0.25">
      <c r="C444" s="10"/>
    </row>
    <row r="445" spans="3:3" ht="15" customHeight="1" x14ac:dyDescent="0.25">
      <c r="C445" s="10"/>
    </row>
    <row r="446" spans="3:3" ht="15" customHeight="1" x14ac:dyDescent="0.25">
      <c r="C446" s="10"/>
    </row>
    <row r="447" spans="3:3" ht="15" customHeight="1" x14ac:dyDescent="0.25">
      <c r="C447" s="10"/>
    </row>
    <row r="448" spans="3:3" ht="15" customHeight="1" x14ac:dyDescent="0.25">
      <c r="C448" s="10"/>
    </row>
    <row r="449" spans="3:3" ht="15" customHeight="1" x14ac:dyDescent="0.25">
      <c r="C449" s="10"/>
    </row>
    <row r="450" spans="3:3" ht="15" customHeight="1" x14ac:dyDescent="0.25">
      <c r="C450" s="10"/>
    </row>
    <row r="451" spans="3:3" ht="15" customHeight="1" x14ac:dyDescent="0.25">
      <c r="C451" s="10"/>
    </row>
    <row r="452" spans="3:3" ht="15" customHeight="1" x14ac:dyDescent="0.25">
      <c r="C452" s="10"/>
    </row>
    <row r="453" spans="3:3" ht="15" customHeight="1" x14ac:dyDescent="0.25">
      <c r="C453" s="10"/>
    </row>
    <row r="454" spans="3:3" ht="15" customHeight="1" x14ac:dyDescent="0.25">
      <c r="C454" s="10"/>
    </row>
    <row r="455" spans="3:3" ht="15" customHeight="1" x14ac:dyDescent="0.25">
      <c r="C455" s="10"/>
    </row>
    <row r="456" spans="3:3" ht="15" customHeight="1" x14ac:dyDescent="0.25">
      <c r="C456" s="10"/>
    </row>
    <row r="457" spans="3:3" ht="15" customHeight="1" x14ac:dyDescent="0.25">
      <c r="C457" s="10"/>
    </row>
  </sheetData>
  <mergeCells count="4">
    <mergeCell ref="A1:A4"/>
    <mergeCell ref="C24:C26"/>
    <mergeCell ref="C28:C30"/>
    <mergeCell ref="A9:A12"/>
  </mergeCells>
  <hyperlinks>
    <hyperlink ref="F35" r:id="rId1"/>
  </hyperlinks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D551"/>
  <sheetViews>
    <sheetView topLeftCell="D1" workbookViewId="0">
      <selection activeCell="K27" sqref="K27"/>
    </sheetView>
  </sheetViews>
  <sheetFormatPr defaultRowHeight="15" customHeight="1" x14ac:dyDescent="0.25"/>
  <cols>
    <col min="1" max="1" width="32.28515625" customWidth="1"/>
    <col min="3" max="3" width="30.28515625" customWidth="1"/>
    <col min="5" max="5" width="9.140625" customWidth="1"/>
  </cols>
  <sheetData>
    <row r="1" spans="1:29" ht="15" customHeight="1" x14ac:dyDescent="0.25">
      <c r="A1" s="80" t="s">
        <v>120</v>
      </c>
      <c r="AB1" t="s">
        <v>64</v>
      </c>
      <c r="AC1" t="s">
        <v>65</v>
      </c>
    </row>
    <row r="2" spans="1:29" ht="15" customHeight="1" x14ac:dyDescent="0.25">
      <c r="A2" s="80"/>
      <c r="C2" t="s">
        <v>0</v>
      </c>
      <c r="E2" s="8">
        <v>1</v>
      </c>
      <c r="F2" s="8">
        <v>2</v>
      </c>
      <c r="G2" s="8">
        <v>3</v>
      </c>
      <c r="H2" s="8">
        <v>4</v>
      </c>
      <c r="I2" s="8">
        <v>5</v>
      </c>
      <c r="J2" s="8">
        <v>6</v>
      </c>
      <c r="K2" s="8">
        <v>7</v>
      </c>
      <c r="L2" s="8">
        <v>8</v>
      </c>
      <c r="M2" s="8" t="s">
        <v>103</v>
      </c>
      <c r="N2" t="s">
        <v>2</v>
      </c>
      <c r="O2" t="s">
        <v>15</v>
      </c>
      <c r="AB2">
        <f>$E$17*AC2/(1+$E$18*AC2)</f>
        <v>0.17784628387783805</v>
      </c>
      <c r="AC2">
        <v>0.1</v>
      </c>
    </row>
    <row r="3" spans="1:29" ht="15" customHeight="1" x14ac:dyDescent="0.25">
      <c r="A3" s="80"/>
      <c r="C3" t="s">
        <v>26</v>
      </c>
      <c r="D3" s="1" t="s">
        <v>11</v>
      </c>
      <c r="E3" s="2">
        <v>0.52868749999999987</v>
      </c>
      <c r="F3" s="2">
        <v>0.91743750000000002</v>
      </c>
      <c r="G3" s="2">
        <v>1.2655000000000001</v>
      </c>
      <c r="H3" s="2">
        <v>1.6353958333333327</v>
      </c>
      <c r="I3" s="2">
        <v>1.9437291666666665</v>
      </c>
      <c r="J3" s="2">
        <v>2.2155416666666663</v>
      </c>
      <c r="K3" s="2">
        <v>2.5180416666666665</v>
      </c>
      <c r="L3" s="2">
        <v>2.7956041666666671</v>
      </c>
      <c r="M3" s="2">
        <v>3.1556875000000009</v>
      </c>
      <c r="N3" s="1" t="s">
        <v>104</v>
      </c>
      <c r="O3" t="s">
        <v>42</v>
      </c>
      <c r="AB3">
        <f t="shared" ref="AB3:AB59" si="0">$E$17*AC3/(1+$E$18*AC3)</f>
        <v>0.76924849475904822</v>
      </c>
      <c r="AC3">
        <v>0.5</v>
      </c>
    </row>
    <row r="4" spans="1:29" ht="15" customHeight="1" x14ac:dyDescent="0.25">
      <c r="A4" s="80"/>
      <c r="C4" s="3" t="s">
        <v>5</v>
      </c>
      <c r="D4" s="3" t="s">
        <v>12</v>
      </c>
      <c r="E4" s="2">
        <v>0.18988256328527628</v>
      </c>
      <c r="F4" s="2">
        <v>0.51525951357153688</v>
      </c>
      <c r="G4" s="2">
        <v>0.83071831606934499</v>
      </c>
      <c r="H4" s="2">
        <v>0.94003787933985505</v>
      </c>
      <c r="I4" s="2">
        <v>0.97565145415800825</v>
      </c>
      <c r="J4" s="2">
        <v>0.9890409620488283</v>
      </c>
      <c r="K4" s="2">
        <v>0.99470052453844637</v>
      </c>
      <c r="L4" s="2">
        <v>0.99730049511242003</v>
      </c>
      <c r="M4" s="2">
        <v>0.99856953956468197</v>
      </c>
      <c r="N4" s="5" t="s">
        <v>4</v>
      </c>
      <c r="O4" t="s">
        <v>42</v>
      </c>
      <c r="AB4">
        <f t="shared" si="0"/>
        <v>1.3164613146021833</v>
      </c>
      <c r="AC4">
        <v>1</v>
      </c>
    </row>
    <row r="5" spans="1:29" ht="15" customHeight="1" x14ac:dyDescent="0.25">
      <c r="A5" s="38" t="s">
        <v>44</v>
      </c>
      <c r="B5" s="17">
        <v>0.1</v>
      </c>
      <c r="C5" s="1" t="s">
        <v>6</v>
      </c>
      <c r="D5" s="1" t="s">
        <v>8</v>
      </c>
      <c r="E5" s="2">
        <v>0.2</v>
      </c>
      <c r="F5" s="2">
        <v>0.2</v>
      </c>
      <c r="G5" s="2">
        <v>0.2</v>
      </c>
      <c r="H5" s="2">
        <v>0.2</v>
      </c>
      <c r="I5" s="2">
        <v>0.2</v>
      </c>
      <c r="J5" s="2">
        <v>0.2</v>
      </c>
      <c r="K5" s="2">
        <v>0.2</v>
      </c>
      <c r="L5" s="2">
        <v>0.2</v>
      </c>
      <c r="M5" s="2">
        <v>0.2</v>
      </c>
      <c r="N5" s="4" t="s">
        <v>4</v>
      </c>
      <c r="O5" t="s">
        <v>43</v>
      </c>
      <c r="AB5">
        <f t="shared" si="0"/>
        <v>2.0431797775975853</v>
      </c>
      <c r="AC5">
        <v>2</v>
      </c>
    </row>
    <row r="6" spans="1:29" ht="15" customHeight="1" x14ac:dyDescent="0.35">
      <c r="C6" s="11" t="s">
        <v>7</v>
      </c>
      <c r="D6" s="11" t="s">
        <v>23</v>
      </c>
      <c r="E6" s="19">
        <v>1</v>
      </c>
      <c r="F6">
        <f>E6*EXP(-E5)</f>
        <v>0.81873075307798182</v>
      </c>
      <c r="G6">
        <f t="shared" ref="G6:L6" si="1">F6*EXP(-F5)</f>
        <v>0.67032004603563922</v>
      </c>
      <c r="H6">
        <f t="shared" si="1"/>
        <v>0.54881163609402639</v>
      </c>
      <c r="I6">
        <f t="shared" si="1"/>
        <v>0.44932896411722151</v>
      </c>
      <c r="J6">
        <f t="shared" si="1"/>
        <v>0.36787944117144222</v>
      </c>
      <c r="K6">
        <f t="shared" si="1"/>
        <v>0.30119421191220203</v>
      </c>
      <c r="L6">
        <f t="shared" si="1"/>
        <v>0.24659696394160641</v>
      </c>
      <c r="M6" s="20">
        <f>L6*EXP(-L5)/(1-EXP(-M5))</f>
        <v>1.1137935497768741</v>
      </c>
      <c r="N6" s="7" t="s">
        <v>4</v>
      </c>
      <c r="O6" t="s">
        <v>16</v>
      </c>
      <c r="AB6">
        <f t="shared" si="0"/>
        <v>2.503921507212437</v>
      </c>
      <c r="AC6">
        <v>3</v>
      </c>
    </row>
    <row r="7" spans="1:29" ht="15" customHeight="1" x14ac:dyDescent="0.35">
      <c r="C7" s="12" t="s">
        <v>10</v>
      </c>
      <c r="D7" s="15" t="s">
        <v>21</v>
      </c>
      <c r="E7">
        <f>SUMPRODUCT(E6:M6,E3:M3,E4:M4)</f>
        <v>8.6457264291539886</v>
      </c>
      <c r="N7" s="1" t="s">
        <v>105</v>
      </c>
      <c r="AB7">
        <f t="shared" si="0"/>
        <v>2.8221186205191118</v>
      </c>
      <c r="AC7">
        <v>4</v>
      </c>
    </row>
    <row r="8" spans="1:29" ht="15" customHeight="1" x14ac:dyDescent="0.25">
      <c r="C8" s="3" t="s">
        <v>3</v>
      </c>
      <c r="D8" s="3" t="s">
        <v>13</v>
      </c>
      <c r="E8" s="2">
        <v>4.0436359999999998E-3</v>
      </c>
      <c r="F8" s="2">
        <v>4.8546620999999998E-2</v>
      </c>
      <c r="G8" s="2">
        <v>0.35489582200000003</v>
      </c>
      <c r="H8" s="2">
        <v>0.72466872699999996</v>
      </c>
      <c r="I8" s="2">
        <v>0.90894166899999995</v>
      </c>
      <c r="J8" s="2">
        <v>0.97144023599999996</v>
      </c>
      <c r="K8" s="2">
        <v>0.98972695300000002</v>
      </c>
      <c r="L8" s="2">
        <v>0.99659088699999998</v>
      </c>
      <c r="M8" s="2">
        <v>0.99806452199999995</v>
      </c>
      <c r="N8" s="4" t="s">
        <v>4</v>
      </c>
      <c r="O8" t="s">
        <v>45</v>
      </c>
      <c r="AB8">
        <f t="shared" si="0"/>
        <v>3.0550599281390052</v>
      </c>
      <c r="AC8">
        <v>5</v>
      </c>
    </row>
    <row r="9" spans="1:29" ht="15" customHeight="1" x14ac:dyDescent="0.25">
      <c r="A9" s="80" t="s">
        <v>121</v>
      </c>
      <c r="C9" t="s">
        <v>20</v>
      </c>
      <c r="D9" t="s">
        <v>19</v>
      </c>
      <c r="E9" s="6">
        <f>B5</f>
        <v>0.1</v>
      </c>
      <c r="N9" s="4" t="s">
        <v>4</v>
      </c>
      <c r="AB9">
        <f t="shared" si="0"/>
        <v>3.2329618178416908</v>
      </c>
      <c r="AC9">
        <v>6</v>
      </c>
    </row>
    <row r="10" spans="1:29" ht="15" customHeight="1" x14ac:dyDescent="0.35">
      <c r="A10" s="80"/>
      <c r="C10" s="13" t="s">
        <v>17</v>
      </c>
      <c r="D10" s="13" t="s">
        <v>24</v>
      </c>
      <c r="E10" s="20">
        <v>1</v>
      </c>
      <c r="F10">
        <f>E10*EXP(-E5-$E$9*E8)</f>
        <v>0.81839975508951579</v>
      </c>
      <c r="G10">
        <f t="shared" ref="G10:L10" si="2">F10*EXP(-F5-$E$9*F8)</f>
        <v>0.66680406909640177</v>
      </c>
      <c r="H10">
        <f t="shared" si="2"/>
        <v>0.52689783648290989</v>
      </c>
      <c r="I10">
        <f t="shared" si="2"/>
        <v>0.40123199388411179</v>
      </c>
      <c r="J10">
        <f t="shared" si="2"/>
        <v>0.29995894985656085</v>
      </c>
      <c r="K10">
        <f t="shared" si="2"/>
        <v>0.22285060358771858</v>
      </c>
      <c r="L10">
        <f t="shared" si="2"/>
        <v>0.16526147434211816</v>
      </c>
      <c r="M10" s="20">
        <f>L10*EXP(-L5-$E$9*L8)/(1-EXP(-M5-$E$9*M8))</f>
        <v>0.47278883928200716</v>
      </c>
      <c r="N10" s="4" t="s">
        <v>4</v>
      </c>
      <c r="AB10">
        <f t="shared" si="0"/>
        <v>3.3732703026493445</v>
      </c>
      <c r="AC10">
        <v>7</v>
      </c>
    </row>
    <row r="11" spans="1:29" ht="15" customHeight="1" x14ac:dyDescent="0.35">
      <c r="A11" s="80"/>
      <c r="C11" s="14" t="s">
        <v>18</v>
      </c>
      <c r="D11" s="14" t="s">
        <v>22</v>
      </c>
      <c r="E11">
        <f>SUMPRODUCT(E10:M10,E3:M3,E4:M4)</f>
        <v>5.9252300739334878</v>
      </c>
      <c r="N11" s="1" t="s">
        <v>105</v>
      </c>
      <c r="AB11">
        <f t="shared" si="0"/>
        <v>3.4867627659393921</v>
      </c>
      <c r="AC11">
        <v>8</v>
      </c>
    </row>
    <row r="12" spans="1:29" ht="15" customHeight="1" x14ac:dyDescent="0.25">
      <c r="A12" s="80"/>
      <c r="C12" s="14" t="s">
        <v>51</v>
      </c>
      <c r="D12" s="14" t="s">
        <v>25</v>
      </c>
      <c r="E12">
        <f>E11/E7</f>
        <v>0.68533628984063166</v>
      </c>
      <c r="N12" s="4" t="s">
        <v>4</v>
      </c>
      <c r="AB12">
        <f t="shared" si="0"/>
        <v>3.5804563369475368</v>
      </c>
      <c r="AC12">
        <v>9</v>
      </c>
    </row>
    <row r="13" spans="1:29" ht="15" customHeight="1" x14ac:dyDescent="0.25">
      <c r="C13" s="14" t="s">
        <v>54</v>
      </c>
      <c r="D13" s="14" t="s">
        <v>53</v>
      </c>
      <c r="E13">
        <f>E10*E3*$E$9*E8*(1-EXP(-$E$9*E8-E5))/($E$9*E8+E5)</f>
        <v>1.9372262843376736E-4</v>
      </c>
      <c r="F13">
        <f t="shared" ref="F13:M13" si="3">F10*F3*$E$9*F8*(1-EXP(-$E$9*F8-F5))/($E$9*F8+F5)</f>
        <v>3.2959186610397725E-3</v>
      </c>
      <c r="G13">
        <f t="shared" si="3"/>
        <v>2.6682615564540248E-2</v>
      </c>
      <c r="H13">
        <f t="shared" si="3"/>
        <v>5.4659536821670462E-2</v>
      </c>
      <c r="I13">
        <f t="shared" si="3"/>
        <v>6.1507859870212421E-2</v>
      </c>
      <c r="J13">
        <f t="shared" si="3"/>
        <v>5.5850928657019398E-2</v>
      </c>
      <c r="K13">
        <f t="shared" si="3"/>
        <v>4.8005090742236592E-2</v>
      </c>
      <c r="L13">
        <f t="shared" si="3"/>
        <v>3.9784853213727378E-2</v>
      </c>
      <c r="M13">
        <f t="shared" si="3"/>
        <v>0.12865982806513587</v>
      </c>
      <c r="N13" t="s">
        <v>104</v>
      </c>
      <c r="AB13">
        <f t="shared" si="0"/>
        <v>3.6591162730240945</v>
      </c>
      <c r="AC13">
        <v>10</v>
      </c>
    </row>
    <row r="14" spans="1:29" ht="15" customHeight="1" x14ac:dyDescent="0.25">
      <c r="C14" s="14" t="s">
        <v>50</v>
      </c>
      <c r="D14" s="14" t="s">
        <v>52</v>
      </c>
      <c r="E14">
        <f>SUM(E13:M13)</f>
        <v>0.41864035422401591</v>
      </c>
      <c r="N14" t="s">
        <v>104</v>
      </c>
      <c r="AB14">
        <f t="shared" si="0"/>
        <v>3.7260921835717746</v>
      </c>
      <c r="AC14">
        <v>11</v>
      </c>
    </row>
    <row r="15" spans="1:29" ht="15" customHeight="1" x14ac:dyDescent="0.25">
      <c r="C15" s="18" t="s">
        <v>68</v>
      </c>
      <c r="D15" s="18" t="s">
        <v>29</v>
      </c>
      <c r="E15" s="17">
        <v>4.2758580000000004</v>
      </c>
      <c r="N15" t="s">
        <v>108</v>
      </c>
      <c r="O15" t="s">
        <v>45</v>
      </c>
      <c r="AB15">
        <f t="shared" si="0"/>
        <v>3.7838073816815534</v>
      </c>
      <c r="AC15">
        <v>12</v>
      </c>
    </row>
    <row r="16" spans="1:29" ht="15" customHeight="1" x14ac:dyDescent="0.25">
      <c r="C16" t="s">
        <v>27</v>
      </c>
      <c r="D16" s="1" t="s">
        <v>28</v>
      </c>
      <c r="E16" s="17">
        <v>0.8</v>
      </c>
      <c r="N16" s="7" t="s">
        <v>4</v>
      </c>
      <c r="O16" t="s">
        <v>43</v>
      </c>
      <c r="AB16">
        <f t="shared" si="0"/>
        <v>3.834058374811435</v>
      </c>
      <c r="AC16">
        <v>13</v>
      </c>
    </row>
    <row r="17" spans="1:29" ht="15" customHeight="1" x14ac:dyDescent="0.25">
      <c r="C17" s="1" t="s">
        <v>30</v>
      </c>
      <c r="D17" s="1" t="s">
        <v>32</v>
      </c>
      <c r="E17">
        <f>4*E16/(E7*(1-E16))</f>
        <v>1.8506252922885571</v>
      </c>
      <c r="N17" s="7" t="s">
        <v>109</v>
      </c>
      <c r="AB17">
        <f t="shared" si="0"/>
        <v>3.8782052151224962</v>
      </c>
      <c r="AC17">
        <v>14</v>
      </c>
    </row>
    <row r="18" spans="1:29" ht="15" customHeight="1" x14ac:dyDescent="0.25">
      <c r="C18" s="1" t="s">
        <v>31</v>
      </c>
      <c r="D18" s="1" t="s">
        <v>33</v>
      </c>
      <c r="E18">
        <f>1/E15*(E17-1/E7)</f>
        <v>0.4057574436570443</v>
      </c>
      <c r="N18" s="7" t="s">
        <v>110</v>
      </c>
      <c r="AB18">
        <f t="shared" si="0"/>
        <v>3.917296454282329</v>
      </c>
      <c r="AC18">
        <v>15</v>
      </c>
    </row>
    <row r="19" spans="1:29" ht="15" customHeight="1" x14ac:dyDescent="0.35">
      <c r="C19" s="18" t="s">
        <v>70</v>
      </c>
      <c r="D19" s="11" t="s">
        <v>67</v>
      </c>
      <c r="E19">
        <f>E15/(E17-E18*E15)</f>
        <v>36.967898517909482</v>
      </c>
      <c r="F19" s="43">
        <v>0</v>
      </c>
      <c r="N19" t="s">
        <v>66</v>
      </c>
      <c r="AB19">
        <f t="shared" si="0"/>
        <v>3.9521534945293268</v>
      </c>
      <c r="AC19">
        <v>16</v>
      </c>
    </row>
    <row r="20" spans="1:29" ht="15" customHeight="1" x14ac:dyDescent="0.35">
      <c r="C20" s="44" t="s">
        <v>69</v>
      </c>
      <c r="D20" s="13" t="s">
        <v>71</v>
      </c>
      <c r="E20">
        <f>1/E18*(E17-1/E11)</f>
        <v>4.144977500179249</v>
      </c>
      <c r="N20" t="s">
        <v>108</v>
      </c>
      <c r="AB20">
        <f t="shared" si="0"/>
        <v>3.9834289382627417</v>
      </c>
      <c r="AC20">
        <v>17</v>
      </c>
    </row>
    <row r="21" spans="1:29" ht="15" customHeight="1" x14ac:dyDescent="0.35">
      <c r="B21" s="42"/>
      <c r="C21" s="44" t="s">
        <v>72</v>
      </c>
      <c r="D21" s="13" t="s">
        <v>73</v>
      </c>
      <c r="E21">
        <f>E20/(E17-E20*E18)</f>
        <v>24.559945339839725</v>
      </c>
      <c r="N21" t="s">
        <v>66</v>
      </c>
      <c r="AB21">
        <f t="shared" si="0"/>
        <v>4.011647830100884</v>
      </c>
      <c r="AC21">
        <v>18</v>
      </c>
    </row>
    <row r="22" spans="1:29" ht="15" customHeight="1" x14ac:dyDescent="0.25">
      <c r="C22" s="45" t="s">
        <v>74</v>
      </c>
      <c r="D22" s="41" t="s">
        <v>74</v>
      </c>
      <c r="E22">
        <f>MAX(E14*E20,0)</f>
        <v>1.7352548489256168</v>
      </c>
      <c r="N22" t="s">
        <v>66</v>
      </c>
      <c r="AB22">
        <f t="shared" si="0"/>
        <v>4.0372373705066602</v>
      </c>
      <c r="AC22">
        <v>19</v>
      </c>
    </row>
    <row r="23" spans="1:29" ht="15" customHeight="1" x14ac:dyDescent="0.25">
      <c r="C23" s="45"/>
      <c r="D23" s="41"/>
      <c r="AB23">
        <f t="shared" si="0"/>
        <v>4.0605486932675214</v>
      </c>
      <c r="AC23">
        <v>20</v>
      </c>
    </row>
    <row r="24" spans="1:29" ht="15" customHeight="1" x14ac:dyDescent="0.25">
      <c r="A24" s="80" t="s">
        <v>114</v>
      </c>
      <c r="C24" t="s">
        <v>78</v>
      </c>
      <c r="D24" s="10" t="s">
        <v>76</v>
      </c>
      <c r="E24">
        <f>VLOOKUP(E25,G43:K544,5,FALSE)</f>
        <v>0.56000000000000005</v>
      </c>
      <c r="N24" s="7" t="s">
        <v>4</v>
      </c>
      <c r="O24" t="s">
        <v>123</v>
      </c>
      <c r="AB24">
        <f t="shared" si="0"/>
        <v>4.0818730743619103</v>
      </c>
      <c r="AC24">
        <v>21</v>
      </c>
    </row>
    <row r="25" spans="1:29" ht="15" customHeight="1" x14ac:dyDescent="0.25">
      <c r="A25" s="80"/>
      <c r="C25" t="s">
        <v>75</v>
      </c>
      <c r="D25" s="10" t="s">
        <v>75</v>
      </c>
      <c r="E25">
        <f>MAX(G43:G294)</f>
        <v>2.7774322135890999</v>
      </c>
      <c r="N25" t="s">
        <v>66</v>
      </c>
      <c r="O25" t="s">
        <v>125</v>
      </c>
      <c r="AB25">
        <f t="shared" si="0"/>
        <v>4.1014541655516092</v>
      </c>
      <c r="AC25">
        <v>22</v>
      </c>
    </row>
    <row r="26" spans="1:29" ht="15" customHeight="1" x14ac:dyDescent="0.35">
      <c r="A26" s="80"/>
      <c r="C26" t="s">
        <v>79</v>
      </c>
      <c r="D26" s="10" t="s">
        <v>77</v>
      </c>
      <c r="E26">
        <f>VLOOKUP(E24,A43:F544,6,FALSE)</f>
        <v>10.474357477658216</v>
      </c>
      <c r="N26" t="s">
        <v>66</v>
      </c>
      <c r="O26" t="s">
        <v>124</v>
      </c>
      <c r="AB26">
        <f t="shared" si="0"/>
        <v>4.1194973454718777</v>
      </c>
      <c r="AC26">
        <v>23</v>
      </c>
    </row>
    <row r="27" spans="1:29" ht="15" customHeight="1" x14ac:dyDescent="0.25">
      <c r="A27" s="80"/>
      <c r="AB27">
        <f t="shared" si="0"/>
        <v>4.1361769506556794</v>
      </c>
      <c r="AC27">
        <v>24</v>
      </c>
    </row>
    <row r="28" spans="1:29" ht="15" customHeight="1" x14ac:dyDescent="0.25">
      <c r="AB28">
        <f t="shared" si="0"/>
        <v>4.1516419268421378</v>
      </c>
      <c r="AC28">
        <v>25</v>
      </c>
    </row>
    <row r="29" spans="1:29" ht="15" customHeight="1" x14ac:dyDescent="0.25">
      <c r="AB29">
        <f t="shared" si="0"/>
        <v>4.1660202890531561</v>
      </c>
      <c r="AC29">
        <v>26</v>
      </c>
    </row>
    <row r="30" spans="1:29" ht="15" customHeight="1" x14ac:dyDescent="0.25">
      <c r="C30" s="10"/>
      <c r="AB30">
        <f t="shared" si="0"/>
        <v>4.1794226734436659</v>
      </c>
      <c r="AC30">
        <v>27</v>
      </c>
    </row>
    <row r="31" spans="1:29" ht="15" customHeight="1" x14ac:dyDescent="0.25">
      <c r="C31" s="9"/>
      <c r="AB31">
        <f t="shared" si="0"/>
        <v>4.1919451896136302</v>
      </c>
      <c r="AC31">
        <v>28</v>
      </c>
    </row>
    <row r="32" spans="1:29" ht="15" customHeight="1" x14ac:dyDescent="0.25">
      <c r="C32" s="9"/>
      <c r="F32" s="40"/>
      <c r="AB32">
        <f t="shared" si="0"/>
        <v>4.203671729010007</v>
      </c>
      <c r="AC32">
        <v>29</v>
      </c>
    </row>
    <row r="33" spans="1:30" ht="15" customHeight="1" x14ac:dyDescent="0.25">
      <c r="C33" s="10"/>
      <c r="F33" s="40"/>
      <c r="AB33">
        <f t="shared" si="0"/>
        <v>4.2146758466965295</v>
      </c>
      <c r="AC33">
        <v>30</v>
      </c>
    </row>
    <row r="34" spans="1:30" ht="15" customHeight="1" x14ac:dyDescent="0.25">
      <c r="C34" s="10"/>
      <c r="F34" s="40"/>
      <c r="AB34">
        <f t="shared" si="0"/>
        <v>4.2250223057328284</v>
      </c>
      <c r="AC34">
        <v>31</v>
      </c>
    </row>
    <row r="35" spans="1:30" ht="15" customHeight="1" x14ac:dyDescent="0.25">
      <c r="C35" s="10"/>
      <c r="F35" s="16"/>
      <c r="AB35">
        <f t="shared" si="0"/>
        <v>4.2347683526894224</v>
      </c>
      <c r="AC35">
        <v>32</v>
      </c>
    </row>
    <row r="36" spans="1:30" ht="15" customHeight="1" x14ac:dyDescent="0.25">
      <c r="C36" s="10"/>
      <c r="AB36">
        <f t="shared" si="0"/>
        <v>4.2439647773670925</v>
      </c>
      <c r="AC36">
        <v>33</v>
      </c>
    </row>
    <row r="37" spans="1:30" ht="15" customHeight="1" x14ac:dyDescent="0.25">
      <c r="C37" s="10"/>
      <c r="AB37">
        <f t="shared" si="0"/>
        <v>4.2526567981463312</v>
      </c>
      <c r="AC37">
        <v>34</v>
      </c>
    </row>
    <row r="38" spans="1:30" ht="15" customHeight="1" x14ac:dyDescent="0.25">
      <c r="C38" s="10"/>
      <c r="AB38">
        <f t="shared" si="0"/>
        <v>4.2608848055467528</v>
      </c>
      <c r="AC38">
        <v>35</v>
      </c>
    </row>
    <row r="39" spans="1:30" ht="15" customHeight="1" x14ac:dyDescent="0.25">
      <c r="C39" s="10"/>
      <c r="AB39">
        <f t="shared" si="0"/>
        <v>4.2686849898002599</v>
      </c>
      <c r="AC39">
        <v>36</v>
      </c>
    </row>
    <row r="40" spans="1:30" ht="15" customHeight="1" x14ac:dyDescent="0.25">
      <c r="C40" s="10"/>
      <c r="AB40">
        <f t="shared" si="0"/>
        <v>4.2760898730109389</v>
      </c>
      <c r="AC40">
        <v>37</v>
      </c>
    </row>
    <row r="41" spans="1:30" s="25" customFormat="1" ht="15" customHeight="1" x14ac:dyDescent="0.25">
      <c r="A41" s="82" t="s">
        <v>113</v>
      </c>
      <c r="B41" s="83"/>
      <c r="C41" s="83"/>
      <c r="D41" s="83"/>
      <c r="E41" s="83"/>
      <c r="F41" s="83"/>
      <c r="G41" s="83"/>
      <c r="AB41">
        <f t="shared" si="0"/>
        <v>4.2831287624073449</v>
      </c>
      <c r="AC41">
        <v>38</v>
      </c>
      <c r="AD41"/>
    </row>
    <row r="42" spans="1:30" ht="15" customHeight="1" x14ac:dyDescent="0.35">
      <c r="A42" s="35" t="s">
        <v>19</v>
      </c>
      <c r="B42" s="36" t="s">
        <v>25</v>
      </c>
      <c r="C42" s="36" t="s">
        <v>52</v>
      </c>
      <c r="D42" s="36" t="s">
        <v>22</v>
      </c>
      <c r="E42" s="46" t="s">
        <v>112</v>
      </c>
      <c r="F42" s="46" t="s">
        <v>111</v>
      </c>
      <c r="G42" s="47" t="s">
        <v>74</v>
      </c>
      <c r="K42" t="s">
        <v>19</v>
      </c>
      <c r="AB42">
        <f t="shared" si="0"/>
        <v>4.2898281380082697</v>
      </c>
      <c r="AC42">
        <v>39</v>
      </c>
    </row>
    <row r="43" spans="1:30" s="25" customFormat="1" ht="15" customHeight="1" x14ac:dyDescent="0.25">
      <c r="A43" s="48"/>
      <c r="B43" s="49">
        <f>E12</f>
        <v>0.68533628984063166</v>
      </c>
      <c r="C43" s="49">
        <f>E14</f>
        <v>0.41864035422401591</v>
      </c>
      <c r="D43" s="49">
        <f>E11</f>
        <v>5.9252300739334878</v>
      </c>
      <c r="E43" s="27">
        <f>E20</f>
        <v>4.144977500179249</v>
      </c>
      <c r="F43" s="27">
        <f>E21</f>
        <v>24.559945339839725</v>
      </c>
      <c r="G43" s="28">
        <f>E22</f>
        <v>1.7352548489256168</v>
      </c>
      <c r="K43" s="25">
        <f>A43</f>
        <v>0</v>
      </c>
      <c r="V43" s="25" t="s">
        <v>19</v>
      </c>
      <c r="W43" s="25" t="s">
        <v>75</v>
      </c>
      <c r="Y43" s="25" t="s">
        <v>115</v>
      </c>
      <c r="AB43">
        <f t="shared" si="0"/>
        <v>4.2962119855135175</v>
      </c>
      <c r="AC43">
        <v>40</v>
      </c>
      <c r="AD43"/>
    </row>
    <row r="44" spans="1:30" ht="15" customHeight="1" x14ac:dyDescent="0.25">
      <c r="A44" s="29">
        <v>1E-4</v>
      </c>
      <c r="B44" s="30">
        <f t="dataTable" ref="B44:G531" dt2D="0" dtr="0" r1="B5"/>
        <v>0.99952159084272474</v>
      </c>
      <c r="C44" s="30">
        <v>6.8128969288715636E-4</v>
      </c>
      <c r="D44" s="30">
        <v>8.6415902344589846</v>
      </c>
      <c r="E44" s="30">
        <v>4.2757215607513865</v>
      </c>
      <c r="F44" s="30">
        <v>36.949033684654829</v>
      </c>
      <c r="G44" s="31">
        <v>2.913005028995305E-3</v>
      </c>
      <c r="J44" s="25"/>
      <c r="K44" s="25">
        <f t="shared" ref="K44:K107" si="4">A44</f>
        <v>1E-4</v>
      </c>
      <c r="V44" t="str">
        <f>D20</f>
        <v>Eq_recF</v>
      </c>
      <c r="W44">
        <f>VLOOKUP(E24,A44:E294,5,FALSE)</f>
        <v>3.6921774754315249</v>
      </c>
      <c r="X44">
        <v>0</v>
      </c>
      <c r="Y44">
        <f>E15</f>
        <v>4.2758580000000004</v>
      </c>
      <c r="AB44">
        <f t="shared" si="0"/>
        <v>4.3023020832412167</v>
      </c>
      <c r="AC44">
        <v>41</v>
      </c>
    </row>
    <row r="45" spans="1:30" ht="15" customHeight="1" x14ac:dyDescent="0.25">
      <c r="A45" s="29">
        <v>0.01</v>
      </c>
      <c r="B45" s="30">
        <v>0.95448419702497456</v>
      </c>
      <c r="C45" s="30">
        <v>6.43343462730398E-2</v>
      </c>
      <c r="D45" s="30">
        <v>8.2522092484286453</v>
      </c>
      <c r="E45" s="30">
        <v>4.2622646818578529</v>
      </c>
      <c r="F45" s="30">
        <v>35.173100026878096</v>
      </c>
      <c r="G45" s="31">
        <v>0.27421001194999095</v>
      </c>
      <c r="J45" s="25"/>
      <c r="K45" s="25">
        <f t="shared" si="4"/>
        <v>0.01</v>
      </c>
      <c r="V45" t="str">
        <f>D21</f>
        <v>Eq_SSBF</v>
      </c>
      <c r="W45">
        <f>E26</f>
        <v>10.474357477658216</v>
      </c>
      <c r="X45">
        <v>0</v>
      </c>
      <c r="Y45">
        <f>E19</f>
        <v>36.967898517909482</v>
      </c>
      <c r="AB45">
        <f t="shared" si="0"/>
        <v>4.3081182503461131</v>
      </c>
      <c r="AC45">
        <v>42</v>
      </c>
    </row>
    <row r="46" spans="1:30" ht="15" customHeight="1" x14ac:dyDescent="0.25">
      <c r="A46" s="29">
        <v>0.02</v>
      </c>
      <c r="B46" s="30">
        <v>0.91323765685305125</v>
      </c>
      <c r="C46" s="30">
        <v>0.12173192642859101</v>
      </c>
      <c r="D46" s="30">
        <v>7.8956029459530868</v>
      </c>
      <c r="E46" s="30">
        <v>4.2487760784242585</v>
      </c>
      <c r="F46" s="30">
        <v>33.546648921501578</v>
      </c>
      <c r="G46" s="31">
        <v>0.51721169699029923</v>
      </c>
      <c r="J46" s="25"/>
      <c r="K46" s="25">
        <f t="shared" si="4"/>
        <v>0.02</v>
      </c>
      <c r="V46" t="str">
        <f>CONCATENATE("(",V45,",",V44,") at F",W43)</f>
        <v>(Eq_SSBF,Eq_recF) at FMSY</v>
      </c>
      <c r="AB46">
        <f t="shared" si="0"/>
        <v>4.3136785622802218</v>
      </c>
      <c r="AC46">
        <v>43</v>
      </c>
    </row>
    <row r="47" spans="1:30" ht="15" customHeight="1" x14ac:dyDescent="0.25">
      <c r="A47" s="29">
        <v>0.03</v>
      </c>
      <c r="B47" s="30">
        <v>0.87569913806345145</v>
      </c>
      <c r="C47" s="30">
        <v>0.17314724253319588</v>
      </c>
      <c r="D47" s="30">
        <v>7.5710551819425493</v>
      </c>
      <c r="E47" s="30">
        <v>4.2353956378471995</v>
      </c>
      <c r="F47" s="30">
        <v>32.066414091499936</v>
      </c>
      <c r="G47" s="31">
        <v>0.73334707573036895</v>
      </c>
      <c r="J47" s="25"/>
      <c r="K47" s="25">
        <f t="shared" si="4"/>
        <v>0.03</v>
      </c>
      <c r="AB47">
        <f t="shared" si="0"/>
        <v>4.3189995384308917</v>
      </c>
      <c r="AC47">
        <v>44</v>
      </c>
    </row>
    <row r="48" spans="1:30" ht="15" customHeight="1" x14ac:dyDescent="0.25">
      <c r="A48" s="29">
        <v>0.04</v>
      </c>
      <c r="B48" s="30">
        <v>0.84140098817357856</v>
      </c>
      <c r="C48" s="30">
        <v>0.21937345502736541</v>
      </c>
      <c r="D48" s="30">
        <v>7.2745227609685905</v>
      </c>
      <c r="E48" s="30">
        <v>4.2221264369647065</v>
      </c>
      <c r="F48" s="30">
        <v>30.713954865386903</v>
      </c>
      <c r="G48" s="31">
        <v>0.92622246403932762</v>
      </c>
      <c r="J48" s="25"/>
      <c r="K48" s="25">
        <f t="shared" si="4"/>
        <v>0.04</v>
      </c>
      <c r="AB48">
        <f t="shared" si="0"/>
        <v>4.3240963060395021</v>
      </c>
      <c r="AC48">
        <v>45</v>
      </c>
    </row>
    <row r="49" spans="1:29" ht="15" customHeight="1" x14ac:dyDescent="0.25">
      <c r="A49" s="29">
        <v>0.05</v>
      </c>
      <c r="B49" s="30">
        <v>0.80995044719986264</v>
      </c>
      <c r="C49" s="30">
        <v>0.26107472664256853</v>
      </c>
      <c r="D49" s="30">
        <v>7.0026099876609447</v>
      </c>
      <c r="E49" s="30">
        <v>4.2089712002337283</v>
      </c>
      <c r="F49" s="30">
        <v>29.473783764533952</v>
      </c>
      <c r="G49" s="31">
        <v>1.0988560055474641</v>
      </c>
      <c r="J49" s="25"/>
      <c r="K49" s="25">
        <f t="shared" si="4"/>
        <v>0.05</v>
      </c>
      <c r="AB49">
        <f t="shared" si="0"/>
        <v>4.3289827438267139</v>
      </c>
      <c r="AC49">
        <v>46</v>
      </c>
    </row>
    <row r="50" spans="1:29" ht="15" customHeight="1" x14ac:dyDescent="0.25">
      <c r="A50" s="29">
        <v>0.06</v>
      </c>
      <c r="B50" s="30">
        <v>0.78101525965315455</v>
      </c>
      <c r="C50" s="30">
        <v>0.29881110713728715</v>
      </c>
      <c r="D50" s="30">
        <v>6.7524442719558433</v>
      </c>
      <c r="E50" s="30">
        <v>4.1959323184534956</v>
      </c>
      <c r="F50" s="30">
        <v>28.332799149255699</v>
      </c>
      <c r="G50" s="31">
        <v>1.2537911815502132</v>
      </c>
      <c r="J50" s="25"/>
      <c r="K50" s="25">
        <f t="shared" si="4"/>
        <v>0.06</v>
      </c>
      <c r="AB50">
        <f t="shared" si="0"/>
        <v>4.3336716081961146</v>
      </c>
      <c r="AC50">
        <v>47</v>
      </c>
    </row>
    <row r="51" spans="1:29" ht="15" customHeight="1" x14ac:dyDescent="0.25">
      <c r="A51" s="29">
        <v>7.0000000000000007E-2</v>
      </c>
      <c r="B51" s="30">
        <v>0.75431247955756053</v>
      </c>
      <c r="C51" s="30">
        <v>0.33305789025881521</v>
      </c>
      <c r="D51" s="30">
        <v>6.5215793403514786</v>
      </c>
      <c r="E51" s="30">
        <v>4.1830118671965986</v>
      </c>
      <c r="F51" s="30">
        <v>27.279843773554404</v>
      </c>
      <c r="G51" s="31">
        <v>1.3931851074160864</v>
      </c>
      <c r="J51" s="25"/>
      <c r="K51" s="25">
        <f t="shared" si="4"/>
        <v>7.0000000000000007E-2</v>
      </c>
      <c r="AB51">
        <f t="shared" si="0"/>
        <v>4.3381746444328328</v>
      </c>
      <c r="AC51">
        <v>48</v>
      </c>
    </row>
    <row r="52" spans="1:29" ht="15" customHeight="1" x14ac:dyDescent="0.25">
      <c r="A52" s="29">
        <v>0.08</v>
      </c>
      <c r="B52" s="30">
        <v>0.72959967133015535</v>
      </c>
      <c r="C52" s="30">
        <v>0.36422082325420319</v>
      </c>
      <c r="D52" s="30">
        <v>6.3079191611211876</v>
      </c>
      <c r="E52" s="30">
        <v>4.1702116248732413</v>
      </c>
      <c r="F52" s="30">
        <v>26.305357814468234</v>
      </c>
      <c r="G52" s="31">
        <v>1.5188779111555804</v>
      </c>
      <c r="J52" s="25"/>
      <c r="K52" s="25">
        <f t="shared" si="4"/>
        <v>0.08</v>
      </c>
      <c r="AB52">
        <f t="shared" si="0"/>
        <v>4.3425026849380428</v>
      </c>
      <c r="AC52">
        <v>49</v>
      </c>
    </row>
    <row r="53" spans="1:29" ht="15" customHeight="1" x14ac:dyDescent="0.25">
      <c r="A53" s="29">
        <v>0.09</v>
      </c>
      <c r="B53" s="30">
        <v>0.7066679289726443</v>
      </c>
      <c r="C53" s="30">
        <v>0.39264816896870791</v>
      </c>
      <c r="D53" s="30">
        <v>6.1096575901543044</v>
      </c>
      <c r="E53" s="30">
        <v>4.1575330903655399</v>
      </c>
      <c r="F53" s="30">
        <v>25.401103601869465</v>
      </c>
      <c r="G53" s="31">
        <v>1.6324477553588428</v>
      </c>
      <c r="J53" s="25"/>
      <c r="K53" s="25">
        <f t="shared" si="4"/>
        <v>0.09</v>
      </c>
      <c r="AB53">
        <f t="shared" si="0"/>
        <v>4.3466657362290793</v>
      </c>
      <c r="AC53">
        <v>50</v>
      </c>
    </row>
    <row r="54" spans="1:29" ht="15" customHeight="1" x14ac:dyDescent="0.25">
      <c r="A54" s="29">
        <v>0.1</v>
      </c>
      <c r="B54" s="30">
        <v>0.68533628984063166</v>
      </c>
      <c r="C54" s="30">
        <v>0.41864035422401591</v>
      </c>
      <c r="D54" s="30">
        <v>5.9252300739334878</v>
      </c>
      <c r="E54" s="30">
        <v>4.144977500179249</v>
      </c>
      <c r="F54" s="30">
        <v>24.559945339839725</v>
      </c>
      <c r="G54" s="31">
        <v>1.7352548489256168</v>
      </c>
      <c r="J54" s="25"/>
      <c r="K54" s="25">
        <f t="shared" si="4"/>
        <v>0.1</v>
      </c>
      <c r="AB54">
        <f t="shared" si="0"/>
        <v>4.3506730561760527</v>
      </c>
      <c r="AC54">
        <v>51</v>
      </c>
    </row>
    <row r="55" spans="1:29" ht="15" customHeight="1" x14ac:dyDescent="0.25">
      <c r="A55" s="29">
        <v>0.11</v>
      </c>
      <c r="B55" s="30">
        <v>0.66544722847070559</v>
      </c>
      <c r="C55" s="30">
        <v>0.44245774905277546</v>
      </c>
      <c r="D55" s="30">
        <v>5.7532746903964522</v>
      </c>
      <c r="E55" s="30">
        <v>4.1325458450699282</v>
      </c>
      <c r="F55" s="30">
        <v>23.775671417343794</v>
      </c>
      <c r="G55" s="31">
        <v>1.8284769324670402</v>
      </c>
      <c r="J55" s="25"/>
      <c r="K55" s="25">
        <f t="shared" si="4"/>
        <v>0.11</v>
      </c>
      <c r="AB55">
        <f t="shared" si="0"/>
        <v>4.3545332227298186</v>
      </c>
      <c r="AC55">
        <v>52</v>
      </c>
    </row>
    <row r="56" spans="1:29" ht="15" customHeight="1" x14ac:dyDescent="0.25">
      <c r="A56" s="29">
        <v>0.12</v>
      </c>
      <c r="B56" s="30">
        <v>0.64686299448063744</v>
      </c>
      <c r="C56" s="30">
        <v>0.46432698537526651</v>
      </c>
      <c r="D56" s="30">
        <v>5.5926004874229376</v>
      </c>
      <c r="E56" s="30">
        <v>4.1202388861093429</v>
      </c>
      <c r="F56" s="30">
        <v>23.042850002754033</v>
      </c>
      <c r="G56" s="31">
        <v>1.9131381010130972</v>
      </c>
      <c r="J56" s="25"/>
      <c r="K56" s="25">
        <f t="shared" si="4"/>
        <v>0.12</v>
      </c>
      <c r="AB56">
        <f t="shared" si="0"/>
        <v>4.3582541952151361</v>
      </c>
      <c r="AC56">
        <v>53</v>
      </c>
    </row>
    <row r="57" spans="1:29" ht="15" customHeight="1" x14ac:dyDescent="0.25">
      <c r="A57" s="29">
        <v>0.13</v>
      </c>
      <c r="B57" s="30">
        <v>0.62946261569958595</v>
      </c>
      <c r="C57" s="30">
        <v>0.48444612475875548</v>
      </c>
      <c r="D57" s="30">
        <v>5.4421615727183106</v>
      </c>
      <c r="E57" s="30">
        <v>4.1080571701657949</v>
      </c>
      <c r="F57" s="30">
        <v>22.356710870006197</v>
      </c>
      <c r="G57" s="31">
        <v>1.9901323763742387</v>
      </c>
      <c r="J57" s="25"/>
      <c r="K57" s="25">
        <f t="shared" si="4"/>
        <v>0.13</v>
      </c>
      <c r="AB57">
        <f t="shared" si="0"/>
        <v>4.3618433691107388</v>
      </c>
      <c r="AC57">
        <v>54</v>
      </c>
    </row>
    <row r="58" spans="1:29" ht="15" customHeight="1" x14ac:dyDescent="0.25">
      <c r="A58" s="29">
        <v>0.14000000000000001</v>
      </c>
      <c r="B58" s="30">
        <v>0.6131394297182754</v>
      </c>
      <c r="C58" s="30">
        <v>0.50298891211688024</v>
      </c>
      <c r="D58" s="30">
        <v>5.3010357722716979</v>
      </c>
      <c r="E58" s="30">
        <v>4.096001044779257</v>
      </c>
      <c r="F58" s="30">
        <v>21.713048061637071</v>
      </c>
      <c r="G58" s="31">
        <v>2.0602431095431233</v>
      </c>
      <c r="J58" s="25"/>
      <c r="K58" s="25">
        <f t="shared" si="4"/>
        <v>0.14000000000000001</v>
      </c>
      <c r="AB58">
        <f t="shared" si="0"/>
        <v>4.3653076251096836</v>
      </c>
      <c r="AC58">
        <v>55</v>
      </c>
    </row>
    <row r="59" spans="1:29" ht="15" customHeight="1" x14ac:dyDescent="0.25">
      <c r="A59" s="29">
        <v>0.15</v>
      </c>
      <c r="B59" s="30">
        <v>0.59779903828564174</v>
      </c>
      <c r="C59" s="30">
        <v>0.52010829811866577</v>
      </c>
      <c r="D59" s="30">
        <v>5.1684069446290097</v>
      </c>
      <c r="E59" s="30">
        <v>4.0840706724184868</v>
      </c>
      <c r="F59" s="30">
        <v>21.108139225683363</v>
      </c>
      <c r="G59" s="31">
        <v>2.1241590468279341</v>
      </c>
      <c r="J59" s="25"/>
      <c r="K59" s="25">
        <f t="shared" si="4"/>
        <v>0.15</v>
      </c>
      <c r="AB59">
        <f t="shared" si="0"/>
        <v>4.3686533731448325</v>
      </c>
      <c r="AC59">
        <v>56</v>
      </c>
    </row>
    <row r="60" spans="1:29" ht="15" customHeight="1" x14ac:dyDescent="0.25">
      <c r="A60" s="29">
        <v>0.16</v>
      </c>
      <c r="B60" s="30">
        <v>0.58335760241424339</v>
      </c>
      <c r="C60" s="30">
        <v>0.53593937249685797</v>
      </c>
      <c r="D60" s="30">
        <v>5.0435502408407284</v>
      </c>
      <c r="E60" s="30">
        <v>4.0722660441129728</v>
      </c>
      <c r="F60" s="30">
        <v>20.538678387553471</v>
      </c>
      <c r="G60" s="31">
        <v>2.1824877083221685</v>
      </c>
      <c r="J60" s="25"/>
      <c r="K60" s="25">
        <f t="shared" si="4"/>
        <v>0.16</v>
      </c>
    </row>
    <row r="61" spans="1:29" ht="15" customHeight="1" x14ac:dyDescent="0.25">
      <c r="A61" s="29">
        <v>0.17</v>
      </c>
      <c r="B61" s="30">
        <v>0.56974041379787388</v>
      </c>
      <c r="C61" s="30">
        <v>0.55060181972622135</v>
      </c>
      <c r="D61" s="30">
        <v>4.9258197533294084</v>
      </c>
      <c r="E61" s="30">
        <v>4.0605869924575222</v>
      </c>
      <c r="F61" s="30">
        <v>20.001719617559715</v>
      </c>
      <c r="G61" s="31">
        <v>2.2357665872037358</v>
      </c>
      <c r="J61" s="25"/>
      <c r="K61" s="25">
        <f t="shared" si="4"/>
        <v>0.17</v>
      </c>
    </row>
    <row r="62" spans="1:29" ht="15" customHeight="1" x14ac:dyDescent="0.25">
      <c r="A62" s="29">
        <v>0.18</v>
      </c>
      <c r="B62" s="30">
        <v>0.55688069168838961</v>
      </c>
      <c r="C62" s="30">
        <v>0.56420198509193298</v>
      </c>
      <c r="D62" s="30">
        <v>4.8146381140158638</v>
      </c>
      <c r="E62" s="30">
        <v>4.0490332039915842</v>
      </c>
      <c r="F62" s="30">
        <v>19.494629588853638</v>
      </c>
      <c r="G62" s="31">
        <v>2.2844725713952014</v>
      </c>
      <c r="J62" s="25"/>
      <c r="K62" s="25">
        <f t="shared" si="4"/>
        <v>0.18</v>
      </c>
    </row>
    <row r="63" spans="1:29" ht="15" customHeight="1" x14ac:dyDescent="0.25">
      <c r="A63" s="29">
        <v>0.19</v>
      </c>
      <c r="B63" s="30">
        <v>0.54471856479999958</v>
      </c>
      <c r="C63" s="30">
        <v>0.57683462112432093</v>
      </c>
      <c r="D63" s="30">
        <v>4.7094876921421855</v>
      </c>
      <c r="E63" s="30">
        <v>4.0376042309592028</v>
      </c>
      <c r="F63" s="30">
        <v>19.015047431443559</v>
      </c>
      <c r="G63" s="31">
        <v>2.3290299068153071</v>
      </c>
      <c r="J63" s="25"/>
      <c r="K63" s="25">
        <f t="shared" si="4"/>
        <v>0.19</v>
      </c>
    </row>
    <row r="64" spans="1:29" ht="15" customHeight="1" x14ac:dyDescent="0.25">
      <c r="A64" s="29">
        <v>0.2</v>
      </c>
      <c r="B64" s="30">
        <v>0.53320020588797934</v>
      </c>
      <c r="C64" s="30">
        <v>0.5885843703885929</v>
      </c>
      <c r="D64" s="30">
        <v>4.6099031120760507</v>
      </c>
      <c r="E64" s="30">
        <v>4.0262995024586381</v>
      </c>
      <c r="F64" s="30">
        <v>18.560850606534334</v>
      </c>
      <c r="G64" s="31">
        <v>2.3698169576505226</v>
      </c>
      <c r="J64" s="25"/>
      <c r="K64" s="25">
        <f t="shared" si="4"/>
        <v>0.2</v>
      </c>
    </row>
    <row r="65" spans="1:11" ht="15" customHeight="1" x14ac:dyDescent="0.25">
      <c r="A65" s="29">
        <v>0.21</v>
      </c>
      <c r="B65" s="30">
        <v>0.52227709295577129</v>
      </c>
      <c r="C65" s="30">
        <v>0.59952702969842908</v>
      </c>
      <c r="D65" s="30">
        <v>4.5154648659094265</v>
      </c>
      <c r="E65" s="30">
        <v>4.0151183349934394</v>
      </c>
      <c r="F65" s="30">
        <v>18.13012577413161</v>
      </c>
      <c r="G65" s="31">
        <v>2.4071719692663187</v>
      </c>
      <c r="J65" s="25"/>
      <c r="K65" s="25">
        <f t="shared" si="4"/>
        <v>0.21</v>
      </c>
    </row>
    <row r="66" spans="1:11" ht="15" customHeight="1" x14ac:dyDescent="0.25">
      <c r="A66" s="29">
        <v>0.22</v>
      </c>
      <c r="B66" s="30">
        <v>0.51190537600119057</v>
      </c>
      <c r="C66" s="30">
        <v>0.60973063224063184</v>
      </c>
      <c r="D66" s="30">
        <v>4.4257938385195033</v>
      </c>
      <c r="E66" s="30">
        <v>4.0040599424390066</v>
      </c>
      <c r="F66" s="30">
        <v>17.721143822309291</v>
      </c>
      <c r="G66" s="31">
        <v>2.4413980002327236</v>
      </c>
      <c r="J66" s="25"/>
      <c r="K66" s="25">
        <f t="shared" si="4"/>
        <v>0.22</v>
      </c>
    </row>
    <row r="67" spans="1:11" ht="15" customHeight="1" x14ac:dyDescent="0.25">
      <c r="A67" s="29">
        <v>0.23</v>
      </c>
      <c r="B67" s="30">
        <v>0.50204533213265934</v>
      </c>
      <c r="C67" s="30">
        <v>0.6192563773111408</v>
      </c>
      <c r="D67" s="30">
        <v>4.3405465966527252</v>
      </c>
      <c r="E67" s="30">
        <v>3.9931234454405189</v>
      </c>
      <c r="F67" s="30">
        <v>17.33233838112103</v>
      </c>
      <c r="G67" s="31">
        <v>2.4727671589796767</v>
      </c>
      <c r="J67" s="25"/>
      <c r="K67" s="25">
        <f t="shared" si="4"/>
        <v>0.23</v>
      </c>
    </row>
    <row r="68" spans="1:11" ht="15" customHeight="1" x14ac:dyDescent="0.25">
      <c r="A68" s="29">
        <v>0.24</v>
      </c>
      <c r="B68" s="30">
        <v>0.4926608950054514</v>
      </c>
      <c r="C68" s="30">
        <v>0.62815943196308066</v>
      </c>
      <c r="D68" s="30">
        <v>4.2594113205592894</v>
      </c>
      <c r="E68" s="30">
        <v>3.9823078802596221</v>
      </c>
      <c r="F68" s="30">
        <v>16.962287267130289</v>
      </c>
      <c r="G68" s="31">
        <v>2.5015242559659843</v>
      </c>
      <c r="J68" s="25"/>
      <c r="K68" s="25">
        <f t="shared" si="4"/>
        <v>0.24</v>
      </c>
    </row>
    <row r="69" spans="1:11" ht="15" customHeight="1" x14ac:dyDescent="0.25">
      <c r="A69" s="29">
        <v>0.25</v>
      </c>
      <c r="B69" s="30">
        <v>0.48371924702369723</v>
      </c>
      <c r="C69" s="30">
        <v>0.63648962454709368</v>
      </c>
      <c r="D69" s="30">
        <v>4.182104278283246</v>
      </c>
      <c r="E69" s="30">
        <v>3.9716122070884219</v>
      </c>
      <c r="F69" s="30">
        <v>16.609696402946462</v>
      </c>
      <c r="G69" s="31">
        <v>2.5278899625363636</v>
      </c>
      <c r="J69" s="25"/>
      <c r="K69" s="25">
        <f t="shared" si="4"/>
        <v>0.25</v>
      </c>
    </row>
    <row r="70" spans="1:11" ht="15" customHeight="1" x14ac:dyDescent="0.25">
      <c r="A70" s="29">
        <v>0.26</v>
      </c>
      <c r="B70" s="30">
        <v>0.47519046476178278</v>
      </c>
      <c r="C70" s="30">
        <v>0.64429204664858242</v>
      </c>
      <c r="D70" s="30">
        <v>4.1083667600729123</v>
      </c>
      <c r="E70" s="30">
        <v>3.9610353178502145</v>
      </c>
      <c r="F70" s="30">
        <v>16.273385835330643</v>
      </c>
      <c r="G70" s="31">
        <v>2.5520635517850327</v>
      </c>
      <c r="J70" s="25"/>
      <c r="K70" s="25">
        <f t="shared" si="4"/>
        <v>0.26</v>
      </c>
    </row>
    <row r="71" spans="1:11" ht="15" customHeight="1" x14ac:dyDescent="0.25">
      <c r="A71" s="29">
        <v>0.27</v>
      </c>
      <c r="B71" s="30">
        <v>0.46704720968245955</v>
      </c>
      <c r="C71" s="30">
        <v>0.65160757711605088</v>
      </c>
      <c r="D71" s="30">
        <v>4.037962404414265</v>
      </c>
      <c r="E71" s="30">
        <v>3.9505760435070036</v>
      </c>
      <c r="F71" s="30">
        <v>15.952277539460924</v>
      </c>
      <c r="G71" s="31">
        <v>2.574225283922313</v>
      </c>
      <c r="J71" s="25"/>
      <c r="K71" s="25">
        <f t="shared" si="4"/>
        <v>0.27</v>
      </c>
    </row>
    <row r="72" spans="1:11" ht="15" customHeight="1" x14ac:dyDescent="0.25">
      <c r="A72" s="29">
        <v>0.28000000000000003</v>
      </c>
      <c r="B72" s="30">
        <v>0.45926445754849993</v>
      </c>
      <c r="C72" s="30">
        <v>0.65847333959100185</v>
      </c>
      <c r="D72" s="30">
        <v>3.970674858598136</v>
      </c>
      <c r="E72" s="30">
        <v>3.9402331608942482</v>
      </c>
      <c r="F72" s="30">
        <v>15.645384748977447</v>
      </c>
      <c r="G72" s="31">
        <v>2.5945384882212448</v>
      </c>
      <c r="J72" s="25"/>
      <c r="K72" s="25">
        <f t="shared" si="4"/>
        <v>0.28000000000000003</v>
      </c>
    </row>
    <row r="73" spans="1:11" ht="15" customHeight="1" x14ac:dyDescent="0.25">
      <c r="A73" s="29">
        <v>0.28999999999999998</v>
      </c>
      <c r="B73" s="30">
        <v>0.45181926100204461</v>
      </c>
      <c r="C73" s="30">
        <v>0.66492310308541891</v>
      </c>
      <c r="D73" s="30">
        <v>3.9063057260462011</v>
      </c>
      <c r="E73" s="30">
        <v>3.9300053991035084</v>
      </c>
      <c r="F73" s="30">
        <v>15.351802593910511</v>
      </c>
      <c r="G73" s="31">
        <v>2.6131513851143549</v>
      </c>
      <c r="J73" s="25"/>
      <c r="K73" s="25">
        <f t="shared" si="4"/>
        <v>0.28999999999999998</v>
      </c>
    </row>
    <row r="74" spans="1:11" ht="15" customHeight="1" x14ac:dyDescent="0.25">
      <c r="A74" s="29">
        <v>0.3</v>
      </c>
      <c r="B74" s="30">
        <v>0.44469054066934505</v>
      </c>
      <c r="C74" s="30">
        <v>0.67098763362390867</v>
      </c>
      <c r="D74" s="30">
        <v>3.844672760259733</v>
      </c>
      <c r="E74" s="30">
        <v>3.9198914454336586</v>
      </c>
      <c r="F74" s="30">
        <v>15.070699863433939</v>
      </c>
      <c r="G74" s="31">
        <v>2.6301986850341335</v>
      </c>
      <c r="J74" s="25"/>
      <c r="K74" s="25">
        <f t="shared" si="4"/>
        <v>0.3</v>
      </c>
    </row>
    <row r="75" spans="1:11" ht="15" customHeight="1" x14ac:dyDescent="0.25">
      <c r="A75" s="29">
        <v>0.31</v>
      </c>
      <c r="B75" s="30">
        <v>0.43785890087636159</v>
      </c>
      <c r="C75" s="30">
        <v>0.67669500370839575</v>
      </c>
      <c r="D75" s="30">
        <v>3.7856082715470758</v>
      </c>
      <c r="E75" s="30">
        <v>3.9098899509312557</v>
      </c>
      <c r="F75" s="30">
        <v>14.801311739084149</v>
      </c>
      <c r="G75" s="31">
        <v>2.6458029948448454</v>
      </c>
      <c r="J75" s="25"/>
      <c r="K75" s="25">
        <f t="shared" si="4"/>
        <v>0.31</v>
      </c>
    </row>
    <row r="76" spans="1:11" ht="15" customHeight="1" x14ac:dyDescent="0.25">
      <c r="A76" s="29">
        <v>0.32</v>
      </c>
      <c r="B76" s="30">
        <v>0.43130646666254246</v>
      </c>
      <c r="C76" s="30">
        <v>0.68207086532196659</v>
      </c>
      <c r="D76" s="30">
        <v>3.7289577178893669</v>
      </c>
      <c r="E76" s="30">
        <v>3.8999995355403922</v>
      </c>
      <c r="F76" s="30">
        <v>14.542933367818293</v>
      </c>
      <c r="G76" s="31">
        <v>2.660076057961303</v>
      </c>
      <c r="J76" s="25"/>
      <c r="K76" s="25">
        <f t="shared" si="4"/>
        <v>0.32</v>
      </c>
    </row>
    <row r="77" spans="1:11" ht="15" customHeight="1" x14ac:dyDescent="0.25">
      <c r="A77" s="29">
        <v>0.33</v>
      </c>
      <c r="B77" s="30">
        <v>0.42501673927986727</v>
      </c>
      <c r="C77" s="30">
        <v>0.68713869132399574</v>
      </c>
      <c r="D77" s="30">
        <v>3.6745784556247987</v>
      </c>
      <c r="E77" s="30">
        <v>3.8902187928820346</v>
      </c>
      <c r="F77" s="30">
        <v>14.294914163991031</v>
      </c>
      <c r="G77" s="31">
        <v>2.6731198503049756</v>
      </c>
      <c r="J77" s="25"/>
      <c r="K77" s="25">
        <f t="shared" si="4"/>
        <v>0.33</v>
      </c>
    </row>
    <row r="78" spans="1:11" ht="15" customHeight="1" x14ac:dyDescent="0.25">
      <c r="A78" s="29">
        <v>0.34</v>
      </c>
      <c r="B78" s="30">
        <v>0.41897446778074526</v>
      </c>
      <c r="C78" s="30">
        <v>0.69191998936830301</v>
      </c>
      <c r="D78" s="30">
        <v>3.6223386292327158</v>
      </c>
      <c r="E78" s="30">
        <v>3.8805462946824236</v>
      </c>
      <c r="F78" s="30">
        <v>14.056652745754027</v>
      </c>
      <c r="G78" s="31">
        <v>2.68502755095987</v>
      </c>
      <c r="J78" s="25"/>
      <c r="K78" s="25">
        <f t="shared" si="4"/>
        <v>0.34</v>
      </c>
    </row>
    <row r="79" spans="1:11" ht="15" customHeight="1" x14ac:dyDescent="0.25">
      <c r="A79" s="29">
        <v>0.35</v>
      </c>
      <c r="B79" s="30">
        <v>0.41316553464675532</v>
      </c>
      <c r="C79" s="30">
        <v>0.69643449187361295</v>
      </c>
      <c r="D79" s="30">
        <v>3.5721161825109902</v>
      </c>
      <c r="E79" s="30">
        <v>3.8709805948695992</v>
      </c>
      <c r="F79" s="30">
        <v>13.827592425119704</v>
      </c>
      <c r="G79" s="31">
        <v>2.6958844036406253</v>
      </c>
      <c r="J79" s="25"/>
      <c r="K79" s="25">
        <f t="shared" si="4"/>
        <v>0.35</v>
      </c>
    </row>
    <row r="80" spans="1:11" ht="15" customHeight="1" x14ac:dyDescent="0.25">
      <c r="A80" s="29">
        <v>0.36</v>
      </c>
      <c r="B80" s="30">
        <v>0.40757685370266106</v>
      </c>
      <c r="C80" s="30">
        <v>0.70070032506996671</v>
      </c>
      <c r="D80" s="30">
        <v>3.5237979759685256</v>
      </c>
      <c r="E80" s="30">
        <v>3.861520233356587</v>
      </c>
      <c r="F80" s="30">
        <v>13.607217182463446</v>
      </c>
      <c r="G80" s="31">
        <v>2.7057684827772142</v>
      </c>
      <c r="J80" s="25"/>
      <c r="K80" s="25">
        <f t="shared" si="4"/>
        <v>0.36</v>
      </c>
    </row>
    <row r="81" spans="1:11" ht="15" customHeight="1" x14ac:dyDescent="0.25">
      <c r="A81" s="29">
        <v>0.37</v>
      </c>
      <c r="B81" s="30">
        <v>0.40219627880642972</v>
      </c>
      <c r="C81" s="30">
        <v>0.70473415971899789</v>
      </c>
      <c r="D81" s="30">
        <v>3.4772789973841358</v>
      </c>
      <c r="E81" s="30">
        <v>3.8521637395291455</v>
      </c>
      <c r="F81" s="30">
        <v>13.395048065949414</v>
      </c>
      <c r="G81" s="31">
        <v>2.7147513760770652</v>
      </c>
      <c r="J81" s="25"/>
      <c r="K81" s="25">
        <f t="shared" si="4"/>
        <v>0.37</v>
      </c>
    </row>
    <row r="82" spans="1:11" ht="15" customHeight="1" x14ac:dyDescent="0.25">
      <c r="A82" s="29">
        <v>0.38</v>
      </c>
      <c r="B82" s="30">
        <v>0.39701252201407877</v>
      </c>
      <c r="C82" s="30">
        <v>0.70855134574633194</v>
      </c>
      <c r="D82" s="30">
        <v>3.4324616542822004</v>
      </c>
      <c r="E82" s="30">
        <v>3.8429096354553853</v>
      </c>
      <c r="F82" s="30">
        <v>13.190639964572203</v>
      </c>
      <c r="G82" s="31">
        <v>2.7228987937834592</v>
      </c>
      <c r="J82" s="25"/>
      <c r="K82" s="25">
        <f t="shared" si="4"/>
        <v>0.38</v>
      </c>
    </row>
    <row r="83" spans="1:11" ht="15" customHeight="1" x14ac:dyDescent="0.25">
      <c r="A83" s="29">
        <v>0.39</v>
      </c>
      <c r="B83" s="30">
        <v>0.3920150800945556</v>
      </c>
      <c r="C83" s="30">
        <v>0.71216603271964074</v>
      </c>
      <c r="D83" s="30">
        <v>3.3892551386004168</v>
      </c>
      <c r="E83" s="30">
        <v>3.8337564388338654</v>
      </c>
      <c r="F83" s="30">
        <v>12.993578710460097</v>
      </c>
      <c r="G83" s="31">
        <v>2.7302711134576918</v>
      </c>
      <c r="J83" s="25"/>
      <c r="K83" s="25">
        <f t="shared" si="4"/>
        <v>0.39</v>
      </c>
    </row>
    <row r="84" spans="1:11" ht="15" customHeight="1" x14ac:dyDescent="0.25">
      <c r="A84" s="29">
        <v>0.4</v>
      </c>
      <c r="B84" s="30">
        <v>0.38719416841978377</v>
      </c>
      <c r="C84" s="30">
        <v>0.71559127784690002</v>
      </c>
      <c r="D84" s="30">
        <v>3.3475748551212252</v>
      </c>
      <c r="E84" s="30">
        <v>3.8247026656961518</v>
      </c>
      <c r="F84" s="30">
        <v>12.803478471999549</v>
      </c>
      <c r="G84" s="31">
        <v>2.7369238679299541</v>
      </c>
      <c r="J84" s="25"/>
      <c r="K84" s="25">
        <f t="shared" si="4"/>
        <v>0.4</v>
      </c>
    </row>
    <row r="85" spans="1:11" ht="15" customHeight="1" x14ac:dyDescent="0.25">
      <c r="A85" s="29">
        <v>0.41</v>
      </c>
      <c r="B85" s="30">
        <v>0.3825406613828321</v>
      </c>
      <c r="C85" s="30">
        <v>0.71883914294866724</v>
      </c>
      <c r="D85" s="30">
        <v>3.307341906343598</v>
      </c>
      <c r="E85" s="30">
        <v>3.8157468328790847</v>
      </c>
      <c r="F85" s="30">
        <v>12.619979404378848</v>
      </c>
      <c r="G85" s="31">
        <v>2.7429081830558926</v>
      </c>
      <c r="J85" s="25"/>
      <c r="K85" s="25">
        <f t="shared" si="4"/>
        <v>0.41</v>
      </c>
    </row>
    <row r="86" spans="1:11" ht="15" customHeight="1" x14ac:dyDescent="0.25">
      <c r="A86" s="29">
        <v>0.42</v>
      </c>
      <c r="B86" s="30">
        <v>0.37804603860644587</v>
      </c>
      <c r="C86" s="30">
        <v>0.72192078166957041</v>
      </c>
      <c r="D86" s="30">
        <v>3.2684826274167182</v>
      </c>
      <c r="E86" s="30">
        <v>3.8068874602813709</v>
      </c>
      <c r="F86" s="30">
        <v>12.442745528460206</v>
      </c>
      <c r="G86" s="31">
        <v>2.7482711710544128</v>
      </c>
      <c r="J86" s="25"/>
      <c r="K86" s="25">
        <f t="shared" si="4"/>
        <v>0.42</v>
      </c>
    </row>
    <row r="87" spans="1:11" ht="15" customHeight="1" x14ac:dyDescent="0.25">
      <c r="A87" s="29">
        <v>0.43</v>
      </c>
      <c r="B87" s="30">
        <v>0.37370233629784722</v>
      </c>
      <c r="C87" s="30">
        <v>0.72484651803252975</v>
      </c>
      <c r="D87" s="30">
        <v>3.2309281655668896</v>
      </c>
      <c r="E87" s="30">
        <v>3.7981230729183957</v>
      </c>
      <c r="F87" s="30">
        <v>12.271462812581509</v>
      </c>
      <c r="G87" s="31">
        <v>2.753056284463911</v>
      </c>
      <c r="J87" s="25"/>
      <c r="K87" s="25">
        <f t="shared" si="4"/>
        <v>0.43</v>
      </c>
    </row>
    <row r="88" spans="1:11" ht="15" customHeight="1" x14ac:dyDescent="0.25">
      <c r="A88" s="29">
        <v>0.44</v>
      </c>
      <c r="B88" s="30">
        <v>0.36950210318622317</v>
      </c>
      <c r="C88" s="30">
        <v>0.72762591730038206</v>
      </c>
      <c r="D88" s="30">
        <v>3.194614099145114</v>
      </c>
      <c r="E88" s="30">
        <v>3.7894522027884912</v>
      </c>
      <c r="F88" s="30">
        <v>12.105837435064617</v>
      </c>
      <c r="G88" s="31">
        <v>2.7573036351199294</v>
      </c>
      <c r="J88" s="25"/>
      <c r="K88" s="25">
        <f t="shared" si="4"/>
        <v>0.44</v>
      </c>
    </row>
    <row r="89" spans="1:11" ht="15" customHeight="1" x14ac:dyDescent="0.25">
      <c r="A89" s="29">
        <v>0.45</v>
      </c>
      <c r="B89" s="30">
        <v>0.36543836054868317</v>
      </c>
      <c r="C89" s="30">
        <v>0.73026784998995797</v>
      </c>
      <c r="D89" s="30">
        <v>3.1594800920224544</v>
      </c>
      <c r="E89" s="30">
        <v>3.7808733905632343</v>
      </c>
      <c r="F89" s="30">
        <v>11.945594207941969</v>
      </c>
      <c r="G89" s="31">
        <v>2.761050282010856</v>
      </c>
      <c r="J89" s="25"/>
      <c r="K89" s="25">
        <f t="shared" si="4"/>
        <v>0.45</v>
      </c>
    </row>
    <row r="90" spans="1:11" ht="15" customHeight="1" x14ac:dyDescent="0.25">
      <c r="A90" s="29">
        <v>0.46</v>
      </c>
      <c r="B90" s="30">
        <v>0.36150456589037933</v>
      </c>
      <c r="C90" s="30">
        <v>0.73278054978041451</v>
      </c>
      <c r="D90" s="30">
        <v>3.1254695795782919</v>
      </c>
      <c r="E90" s="30">
        <v>3.772385187113692</v>
      </c>
      <c r="F90" s="30">
        <v>11.790475144775602</v>
      </c>
      <c r="G90" s="31">
        <v>2.7643304913966631</v>
      </c>
      <c r="J90" s="25"/>
      <c r="K90" s="25">
        <f t="shared" si="4"/>
        <v>0.46</v>
      </c>
    </row>
    <row r="91" spans="1:11" ht="15" customHeight="1" x14ac:dyDescent="0.25">
      <c r="A91" s="29">
        <v>0.47</v>
      </c>
      <c r="B91" s="30">
        <v>0.35769457989634645</v>
      </c>
      <c r="C91" s="30">
        <v>0.73517166596827765</v>
      </c>
      <c r="D91" s="30">
        <v>3.0925294829749754</v>
      </c>
      <c r="E91" s="30">
        <v>3.7639861548839</v>
      </c>
      <c r="F91" s="30">
        <v>11.640238157488072</v>
      </c>
      <c r="G91" s="31">
        <v>2.7671759721675282</v>
      </c>
      <c r="J91" s="25"/>
      <c r="K91" s="25">
        <f t="shared" si="4"/>
        <v>0.47</v>
      </c>
    </row>
    <row r="92" spans="1:11" ht="15" customHeight="1" x14ac:dyDescent="0.25">
      <c r="A92" s="29">
        <v>0.48</v>
      </c>
      <c r="B92" s="30">
        <v>0.35400263631762141</v>
      </c>
      <c r="C92" s="30">
        <v>0.73744831104416164</v>
      </c>
      <c r="D92" s="30">
        <v>3.0606099488014471</v>
      </c>
      <c r="E92" s="30">
        <v>3.7556748691222421</v>
      </c>
      <c r="F92" s="30">
        <v>11.494655868899097</v>
      </c>
      <c r="G92" s="31">
        <v>2.7696160890652002</v>
      </c>
      <c r="J92" s="25"/>
      <c r="K92" s="25">
        <f t="shared" si="4"/>
        <v>0.48</v>
      </c>
    </row>
    <row r="93" spans="1:11" ht="15" customHeight="1" x14ac:dyDescent="0.25">
      <c r="A93" s="29">
        <v>0.49</v>
      </c>
      <c r="B93" s="30">
        <v>0.35042331449334041</v>
      </c>
      <c r="C93" s="30">
        <v>0.73961710389878788</v>
      </c>
      <c r="D93" s="30">
        <v>3.029664111506813</v>
      </c>
      <c r="E93" s="30">
        <v>3.7474499189808137</v>
      </c>
      <c r="F93" s="30">
        <v>11.353514529205286</v>
      </c>
      <c r="G93" s="31">
        <v>2.7716780560823366</v>
      </c>
      <c r="J93" s="25"/>
      <c r="K93" s="25">
        <f t="shared" si="4"/>
        <v>0.49</v>
      </c>
    </row>
    <row r="94" spans="1:11" ht="15" customHeight="1" x14ac:dyDescent="0.25">
      <c r="A94" s="29">
        <v>0.5</v>
      </c>
      <c r="B94" s="30">
        <v>0.34695151424461262</v>
      </c>
      <c r="C94" s="30">
        <v>0.7416842091072724</v>
      </c>
      <c r="D94" s="30">
        <v>2.9996478763396439</v>
      </c>
      <c r="E94" s="30">
        <v>3.7393099084922512</v>
      </c>
      <c r="F94" s="30">
        <v>11.216613025984572</v>
      </c>
      <c r="G94" s="31">
        <v>2.7733871120870623</v>
      </c>
      <c r="J94" s="25"/>
      <c r="K94" s="25">
        <f t="shared" si="4"/>
        <v>0.5</v>
      </c>
    </row>
    <row r="95" spans="1:11" ht="15" customHeight="1" x14ac:dyDescent="0.25">
      <c r="A95" s="29">
        <v>0.51</v>
      </c>
      <c r="B95" s="30">
        <v>0.34358243290575535</v>
      </c>
      <c r="C95" s="30">
        <v>0.74365537268946535</v>
      </c>
      <c r="D95" s="30">
        <v>2.9705197207663159</v>
      </c>
      <c r="E95" s="30">
        <v>3.7312534574329952</v>
      </c>
      <c r="F95" s="30">
        <v>11.083761978482205</v>
      </c>
      <c r="G95" s="31">
        <v>2.7747666804861901</v>
      </c>
      <c r="J95" s="25"/>
      <c r="K95" s="25">
        <f t="shared" si="4"/>
        <v>0.51</v>
      </c>
    </row>
    <row r="96" spans="1:11" ht="15" customHeight="1" x14ac:dyDescent="0.25">
      <c r="A96" s="29">
        <v>0.52</v>
      </c>
      <c r="B96" s="30">
        <v>0.34031154428453309</v>
      </c>
      <c r="C96" s="30">
        <v>0.74553595469935863</v>
      </c>
      <c r="D96" s="30">
        <v>2.9422405125669959</v>
      </c>
      <c r="E96" s="30">
        <v>3.7232792020813843</v>
      </c>
      <c r="F96" s="30">
        <v>10.95478290796196</v>
      </c>
      <c r="G96" s="31">
        <v>2.7758385145360109</v>
      </c>
      <c r="J96" s="25"/>
      <c r="K96" s="25">
        <f t="shared" si="4"/>
        <v>0.52</v>
      </c>
    </row>
    <row r="97" spans="1:11" ht="15" customHeight="1" x14ac:dyDescent="0.25">
      <c r="A97" s="29">
        <v>0.53</v>
      </c>
      <c r="B97" s="30">
        <v>0.33713457936589597</v>
      </c>
      <c r="C97" s="30">
        <v>0.74733095895737112</v>
      </c>
      <c r="D97" s="30">
        <v>2.9147733430054399</v>
      </c>
      <c r="E97" s="30">
        <v>3.7153857958784959</v>
      </c>
      <c r="F97" s="30">
        <v>10.82950747680769</v>
      </c>
      <c r="G97" s="31">
        <v>2.776622829730472</v>
      </c>
      <c r="J97" s="25"/>
      <c r="K97" s="25">
        <f t="shared" si="4"/>
        <v>0.53</v>
      </c>
    </row>
    <row r="98" spans="1:11" ht="15" customHeight="1" x14ac:dyDescent="0.25">
      <c r="A98" s="29">
        <v>0.54</v>
      </c>
      <c r="B98" s="30">
        <v>0.3340475085937758</v>
      </c>
      <c r="C98" s="30">
        <v>0.74904506020489758</v>
      </c>
      <c r="D98" s="30">
        <v>2.8880833736422518</v>
      </c>
      <c r="E98" s="30">
        <v>3.70757190999915</v>
      </c>
      <c r="F98" s="30">
        <v>10.707776789851588</v>
      </c>
      <c r="G98" s="31">
        <v>2.7771384245393005</v>
      </c>
      <c r="J98" s="25"/>
      <c r="K98" s="25">
        <f t="shared" si="4"/>
        <v>0.54</v>
      </c>
    </row>
    <row r="99" spans="1:11" ht="15" customHeight="1" x14ac:dyDescent="0.25">
      <c r="A99" s="29">
        <v>0.55000000000000004</v>
      </c>
      <c r="B99" s="30">
        <v>0.33104652558316783</v>
      </c>
      <c r="C99" s="30">
        <v>0.75068262893023951</v>
      </c>
      <c r="D99" s="30">
        <v>2.8621376955139963</v>
      </c>
      <c r="E99" s="30">
        <v>3.6998362338400432</v>
      </c>
      <c r="F99" s="30">
        <v>10.589440752102126</v>
      </c>
      <c r="G99" s="31">
        <v>2.7774027906304002</v>
      </c>
      <c r="J99" s="25"/>
      <c r="K99" s="25">
        <f t="shared" si="4"/>
        <v>0.55000000000000004</v>
      </c>
    </row>
    <row r="100" spans="1:11" ht="15" customHeight="1" x14ac:dyDescent="0.25">
      <c r="A100" s="29">
        <v>0.56000000000000005</v>
      </c>
      <c r="B100" s="30">
        <v>0.32812803213029046</v>
      </c>
      <c r="C100" s="30">
        <v>0.75224775408838829</v>
      </c>
      <c r="D100" s="30">
        <v>2.8369051995351415</v>
      </c>
      <c r="E100" s="30">
        <v>3.6921774754315249</v>
      </c>
      <c r="F100" s="30">
        <v>10.474357477658216</v>
      </c>
      <c r="G100" s="31">
        <v>2.7774322135890999</v>
      </c>
      <c r="J100" s="25"/>
      <c r="K100" s="25">
        <f t="shared" si="4"/>
        <v>0.56000000000000005</v>
      </c>
    </row>
    <row r="101" spans="1:11" ht="15" customHeight="1" x14ac:dyDescent="0.25">
      <c r="A101" s="29">
        <v>0.56999999999999995</v>
      </c>
      <c r="B101" s="30">
        <v>0.32528862440236567</v>
      </c>
      <c r="C101" s="30">
        <v>0.75374426391359517</v>
      </c>
      <c r="D101" s="30">
        <v>2.8123564570986779</v>
      </c>
      <c r="E101" s="30">
        <v>3.6845943617791144</v>
      </c>
      <c r="F101" s="30">
        <v>10.362392745138875</v>
      </c>
      <c r="G101" s="31">
        <v>2.7772418650393815</v>
      </c>
      <c r="J101" s="25"/>
      <c r="K101" s="25">
        <f t="shared" si="4"/>
        <v>0.56999999999999995</v>
      </c>
    </row>
    <row r="102" spans="1:11" ht="15" customHeight="1" x14ac:dyDescent="0.25">
      <c r="A102" s="29">
        <v>0.57999999999999996</v>
      </c>
      <c r="B102" s="30">
        <v>0.32252508020073262</v>
      </c>
      <c r="C102" s="30">
        <v>0.75517574500289719</v>
      </c>
      <c r="D102" s="30">
        <v>2.7884636099564837</v>
      </c>
      <c r="E102" s="30">
        <v>3.6770856391404645</v>
      </c>
      <c r="F102" s="30">
        <v>10.253419495436759</v>
      </c>
      <c r="G102" s="31">
        <v>2.7768458869773545</v>
      </c>
      <c r="J102" s="25"/>
      <c r="K102" s="25">
        <f t="shared" si="4"/>
        <v>0.57999999999999996</v>
      </c>
    </row>
    <row r="103" spans="1:11" ht="15" customHeight="1" x14ac:dyDescent="0.25">
      <c r="A103" s="29">
        <v>0.59</v>
      </c>
      <c r="B103" s="30">
        <v>0.31983434720177595</v>
      </c>
      <c r="C103" s="30">
        <v>0.75654555983034633</v>
      </c>
      <c r="D103" s="30">
        <v>2.7652002685536075</v>
      </c>
      <c r="E103" s="30">
        <v>3.6696500732431043</v>
      </c>
      <c r="F103" s="30">
        <v>10.147317368029599</v>
      </c>
      <c r="G103" s="31">
        <v>2.7762574690431756</v>
      </c>
      <c r="J103" s="25"/>
      <c r="K103" s="25">
        <f t="shared" si="4"/>
        <v>0.59</v>
      </c>
    </row>
    <row r="104" spans="1:11" ht="15" customHeight="1" x14ac:dyDescent="0.25">
      <c r="A104" s="29">
        <v>0.6</v>
      </c>
      <c r="B104" s="30">
        <v>0.31721353208972275</v>
      </c>
      <c r="C104" s="30">
        <v>0.75785686283539866</v>
      </c>
      <c r="D104" s="30">
        <v>2.7425414180734027</v>
      </c>
      <c r="E104" s="30">
        <v>3.6622864494479188</v>
      </c>
      <c r="F104" s="30">
        <v>10.043972272459895</v>
      </c>
      <c r="G104" s="31">
        <v>2.7754889193831906</v>
      </c>
      <c r="J104" s="25"/>
      <c r="K104" s="25">
        <f t="shared" si="4"/>
        <v>0.6</v>
      </c>
    </row>
    <row r="105" spans="1:11" ht="15" customHeight="1" x14ac:dyDescent="0.25">
      <c r="A105" s="29">
        <v>0.61</v>
      </c>
      <c r="B105" s="30">
        <v>0.31465989050385901</v>
      </c>
      <c r="C105" s="30">
        <v>0.75911261521442286</v>
      </c>
      <c r="D105" s="30">
        <v>2.7204633315239142</v>
      </c>
      <c r="E105" s="30">
        <v>3.6549935728630198</v>
      </c>
      <c r="F105" s="30">
        <v>9.9432759919294238</v>
      </c>
      <c r="G105" s="31">
        <v>2.7745517296879543</v>
      </c>
      <c r="J105" s="25"/>
      <c r="K105" s="25">
        <f t="shared" si="4"/>
        <v>0.61</v>
      </c>
    </row>
    <row r="106" spans="1:11" ht="15" customHeight="1" x14ac:dyDescent="0.25">
      <c r="A106" s="29">
        <v>0.62</v>
      </c>
      <c r="B106" s="30">
        <v>0.31217081773028965</v>
      </c>
      <c r="C106" s="30">
        <v>0.76031559853142527</v>
      </c>
      <c r="D106" s="30">
        <v>2.6989434892613779</v>
      </c>
      <c r="E106" s="30">
        <v>3.6477702684123057</v>
      </c>
      <c r="F106" s="30">
        <v>9.845125816252617</v>
      </c>
      <c r="G106" s="31">
        <v>2.7734566349330398</v>
      </c>
      <c r="J106" s="25"/>
      <c r="K106" s="25">
        <f t="shared" si="4"/>
        <v>0.62</v>
      </c>
    </row>
    <row r="107" spans="1:11" ht="15" customHeight="1" x14ac:dyDescent="0.25">
      <c r="A107" s="29">
        <v>0.630000000000001</v>
      </c>
      <c r="B107" s="30">
        <v>0.30974384007510924</v>
      </c>
      <c r="C107" s="30">
        <v>0.76146842725260622</v>
      </c>
      <c r="D107" s="30">
        <v>2.6779605044050183</v>
      </c>
      <c r="E107" s="30">
        <v>3.6406153808627515</v>
      </c>
      <c r="F107" s="30">
        <v>9.7494242016798847</v>
      </c>
      <c r="G107" s="31">
        <v>2.7722136682972072</v>
      </c>
      <c r="J107" s="25"/>
      <c r="K107" s="25">
        <f t="shared" si="4"/>
        <v>0.630000000000001</v>
      </c>
    </row>
    <row r="108" spans="1:11" ht="15" customHeight="1" x14ac:dyDescent="0.25">
      <c r="A108" s="29">
        <v>0.64000000000000101</v>
      </c>
      <c r="B108" s="30">
        <v>0.30737660686187851</v>
      </c>
      <c r="C108" s="30">
        <v>0.76257356029915868</v>
      </c>
      <c r="D108" s="30">
        <v>2.6574940536494185</v>
      </c>
      <c r="E108" s="30">
        <v>3.6335277748141528</v>
      </c>
      <c r="F108" s="30">
        <v>9.6560784553386085</v>
      </c>
      <c r="G108" s="31">
        <v>2.7708322116859083</v>
      </c>
      <c r="J108" s="25"/>
      <c r="K108" s="25">
        <f t="shared" ref="K108:K171" si="5">A108</f>
        <v>0.64000000000000101</v>
      </c>
    </row>
    <row r="109" spans="1:11" ht="15" customHeight="1" x14ac:dyDescent="0.25">
      <c r="A109" s="29">
        <v>0.65000000000000102</v>
      </c>
      <c r="B109" s="30">
        <v>0.30506688300168533</v>
      </c>
      <c r="C109" s="30">
        <v>0.76363331170357784</v>
      </c>
      <c r="D109" s="30">
        <v>2.6375248130272984</v>
      </c>
      <c r="E109" s="30">
        <v>3.6265063346548052</v>
      </c>
      <c r="F109" s="30">
        <v>9.5650004422527211</v>
      </c>
      <c r="G109" s="31">
        <v>2.7693210422464523</v>
      </c>
      <c r="J109" s="25"/>
      <c r="K109" s="25">
        <f t="shared" si="5"/>
        <v>0.65000000000000102</v>
      </c>
    </row>
    <row r="110" spans="1:11" ht="15" customHeight="1" x14ac:dyDescent="0.25">
      <c r="A110" s="29">
        <v>0.66000000000000103</v>
      </c>
      <c r="B110" s="30">
        <v>0.30281254208889358</v>
      </c>
      <c r="C110" s="30">
        <v>0.76464986044659866</v>
      </c>
      <c r="D110" s="30">
        <v>2.6180343982172518</v>
      </c>
      <c r="E110" s="30">
        <v>3.6195499644863447</v>
      </c>
      <c r="F110" s="30">
        <v>9.4761063130912806</v>
      </c>
      <c r="G110" s="31">
        <v>2.7676883752239747</v>
      </c>
      <c r="J110" s="25"/>
      <c r="K110" s="25">
        <f t="shared" si="5"/>
        <v>0.66000000000000103</v>
      </c>
    </row>
    <row r="111" spans="1:11" ht="15" customHeight="1" x14ac:dyDescent="0.25">
      <c r="A111" s="29">
        <v>0.67000000000000104</v>
      </c>
      <c r="B111" s="30">
        <v>0.30061155998000538</v>
      </c>
      <c r="C111" s="30">
        <v>0.76562525954456939</v>
      </c>
      <c r="D111" s="30">
        <v>2.599005309028342</v>
      </c>
      <c r="E111" s="30">
        <v>3.6126575880207401</v>
      </c>
      <c r="F111" s="30">
        <v>9.3893162509674273</v>
      </c>
      <c r="G111" s="31">
        <v>2.7659419034740371</v>
      </c>
      <c r="J111" s="25"/>
      <c r="K111" s="25">
        <f t="shared" si="5"/>
        <v>0.67000000000000104</v>
      </c>
    </row>
    <row r="112" spans="1:11" ht="15" customHeight="1" x14ac:dyDescent="0.25">
      <c r="A112" s="29">
        <v>0.68000000000000105</v>
      </c>
      <c r="B112" s="30">
        <v>0.29846200881694057</v>
      </c>
      <c r="C112" s="30">
        <v>0.76656144445053243</v>
      </c>
      <c r="D112" s="30">
        <v>2.5804208777270139</v>
      </c>
      <c r="E112" s="30">
        <v>3.6058281484522179</v>
      </c>
      <c r="F112" s="30">
        <v>9.3045542357618434</v>
      </c>
      <c r="G112" s="31">
        <v>2.764088833917921</v>
      </c>
      <c r="J112" s="25"/>
      <c r="K112" s="25">
        <f t="shared" si="5"/>
        <v>0.68000000000000105</v>
      </c>
    </row>
    <row r="113" spans="1:11" ht="15" customHeight="1" x14ac:dyDescent="0.25">
      <c r="A113" s="29">
        <v>0.69000000000000095</v>
      </c>
      <c r="B113" s="30">
        <v>0.29636205145952887</v>
      </c>
      <c r="C113" s="30">
        <v>0.76746024082639375</v>
      </c>
      <c r="D113" s="30">
        <v>2.562265220901943</v>
      </c>
      <c r="E113" s="30">
        <v>3.5990606083066794</v>
      </c>
      <c r="F113" s="30">
        <v>9.2217478245823905</v>
      </c>
      <c r="G113" s="31">
        <v>2.7621359211998313</v>
      </c>
      <c r="J113" s="25"/>
      <c r="K113" s="25">
        <f t="shared" si="5"/>
        <v>0.69000000000000095</v>
      </c>
    </row>
    <row r="114" spans="1:11" ht="15" customHeight="1" x14ac:dyDescent="0.25">
      <c r="A114" s="29">
        <v>0.70000000000000095</v>
      </c>
      <c r="B114" s="30">
        <v>0.2943099362951469</v>
      </c>
      <c r="C114" s="30">
        <v>0.76832337173830079</v>
      </c>
      <c r="D114" s="30">
        <v>2.5445231945895781</v>
      </c>
      <c r="E114" s="30">
        <v>3.5923539492709997</v>
      </c>
      <c r="F114" s="30">
        <v>9.1408279470955325</v>
      </c>
      <c r="G114" s="31">
        <v>2.7600894987812952</v>
      </c>
      <c r="J114" s="25"/>
      <c r="K114" s="25">
        <f t="shared" si="5"/>
        <v>0.70000000000000095</v>
      </c>
    </row>
    <row r="115" spans="1:11" ht="15" customHeight="1" x14ac:dyDescent="0.25">
      <c r="A115" s="29">
        <v>0.71000000000000096</v>
      </c>
      <c r="B115" s="30">
        <v>0.29230399239626098</v>
      </c>
      <c r="C115" s="30">
        <v>0.76915246432259832</v>
      </c>
      <c r="D115" s="30">
        <v>2.52718035240758</v>
      </c>
      <c r="E115" s="30">
        <v>3.5857071720043954</v>
      </c>
      <c r="F115" s="30">
        <v>9.0617287145764518</v>
      </c>
      <c r="G115" s="31">
        <v>2.7579555076863955</v>
      </c>
      <c r="J115" s="25"/>
      <c r="K115" s="25">
        <f t="shared" si="5"/>
        <v>0.71000000000000096</v>
      </c>
    </row>
    <row r="116" spans="1:11" ht="15" customHeight="1" x14ac:dyDescent="0.25">
      <c r="A116" s="29">
        <v>0.72000000000000097</v>
      </c>
      <c r="B116" s="30">
        <v>0.29034262499918528</v>
      </c>
      <c r="C116" s="30">
        <v>0.7699490559654496</v>
      </c>
      <c r="D116" s="30">
        <v>2.5102229064654016</v>
      </c>
      <c r="E116" s="30">
        <v>3.5791192959338991</v>
      </c>
      <c r="F116" s="30">
        <v>8.984387241625587</v>
      </c>
      <c r="G116" s="31">
        <v>2.7557395230920303</v>
      </c>
      <c r="J116" s="25"/>
      <c r="K116" s="25">
        <f t="shared" si="5"/>
        <v>0.72000000000000097</v>
      </c>
    </row>
    <row r="117" spans="1:11" ht="15" customHeight="1" x14ac:dyDescent="0.25">
      <c r="A117" s="29">
        <v>0.73000000000000098</v>
      </c>
      <c r="B117" s="30">
        <v>0.28842431127967422</v>
      </c>
      <c r="C117" s="30">
        <v>0.77071460003537218</v>
      </c>
      <c r="D117" s="30">
        <v>2.4936376908412163</v>
      </c>
      <c r="E117" s="30">
        <v>3.5725893590358146</v>
      </c>
      <c r="F117" s="30">
        <v>8.9087434795899654</v>
      </c>
      <c r="G117" s="31">
        <v>2.7534467789399146</v>
      </c>
      <c r="J117" s="25"/>
      <c r="K117" s="25">
        <f t="shared" si="5"/>
        <v>0.73000000000000098</v>
      </c>
    </row>
    <row r="118" spans="1:11" ht="15" customHeight="1" x14ac:dyDescent="0.25">
      <c r="A118" s="29">
        <v>0.74000000000000099</v>
      </c>
      <c r="B118" s="30">
        <v>0.28654759640304583</v>
      </c>
      <c r="C118" s="30">
        <v>0.77145047120445087</v>
      </c>
      <c r="D118" s="30">
        <v>2.4774121274323639</v>
      </c>
      <c r="E118" s="30">
        <v>3.5661164176048743</v>
      </c>
      <c r="F118" s="30">
        <v>8.8347400608099722</v>
      </c>
      <c r="G118" s="31">
        <v>2.7510821907312084</v>
      </c>
      <c r="J118" s="25"/>
      <c r="K118" s="25">
        <f t="shared" si="5"/>
        <v>0.74000000000000099</v>
      </c>
    </row>
    <row r="119" spans="1:11" ht="15" customHeight="1" x14ac:dyDescent="0.25">
      <c r="A119" s="29">
        <v>0.750000000000001</v>
      </c>
      <c r="B119" s="30">
        <v>0.28471108982841986</v>
      </c>
      <c r="C119" s="30">
        <v>0.77215797039086109</v>
      </c>
      <c r="D119" s="30">
        <v>2.4615341940028048</v>
      </c>
      <c r="E119" s="30">
        <v>3.5596995460126939</v>
      </c>
      <c r="F119" s="30">
        <v>8.762322152886501</v>
      </c>
      <c r="G119" s="31">
        <v>2.7486503766504313</v>
      </c>
      <c r="J119" s="25"/>
      <c r="K119" s="25">
        <f t="shared" si="5"/>
        <v>0.750000000000001</v>
      </c>
    </row>
    <row r="120" spans="1:11" ht="15" customHeight="1" x14ac:dyDescent="0.25">
      <c r="A120" s="29">
        <v>0.76000000000000101</v>
      </c>
      <c r="B120" s="30">
        <v>0.28291346184836447</v>
      </c>
      <c r="C120" s="30">
        <v>0.77283832935248309</v>
      </c>
      <c r="D120" s="30">
        <v>2.4459923942658532</v>
      </c>
      <c r="E120" s="30">
        <v>3.5533378364569939</v>
      </c>
      <c r="F120" s="30">
        <v>8.6914373222308861</v>
      </c>
      <c r="G120" s="31">
        <v>2.7461556771523901</v>
      </c>
      <c r="J120" s="25"/>
      <c r="K120" s="25">
        <f t="shared" si="5"/>
        <v>0.76000000000000101</v>
      </c>
    </row>
    <row r="121" spans="1:11" ht="15" customHeight="1" x14ac:dyDescent="0.25">
      <c r="A121" s="29">
        <v>0.77000000000000102</v>
      </c>
      <c r="B121" s="30">
        <v>0.28115344034679318</v>
      </c>
      <c r="C121" s="30">
        <v>0.77349271495883754</v>
      </c>
      <c r="D121" s="30">
        <v>2.4307757298538393</v>
      </c>
      <c r="E121" s="30">
        <v>3.5470303987029164</v>
      </c>
      <c r="F121" s="30">
        <v>8.6220354062208369</v>
      </c>
      <c r="G121" s="31">
        <v>2.7436021731342466</v>
      </c>
      <c r="J121" s="25"/>
      <c r="K121" s="25">
        <f t="shared" si="5"/>
        <v>0.77000000000000102</v>
      </c>
    </row>
    <row r="122" spans="1:11" ht="15" customHeight="1" x14ac:dyDescent="0.25">
      <c r="A122" s="29">
        <v>0.78000000000000103</v>
      </c>
      <c r="B122" s="30">
        <v>0.27942980775936099</v>
      </c>
      <c r="C122" s="30">
        <v>0.77412223316622819</v>
      </c>
      <c r="D122" s="30">
        <v>2.4158736740385254</v>
      </c>
      <c r="E122" s="30">
        <v>3.5407763598176913</v>
      </c>
      <c r="F122" s="30">
        <v>8.5540683933415202</v>
      </c>
      <c r="G122" s="31">
        <v>2.7409937028042597</v>
      </c>
      <c r="J122" s="25"/>
      <c r="K122" s="25">
        <f t="shared" si="5"/>
        <v>0.78000000000000103</v>
      </c>
    </row>
    <row r="123" spans="1:11" ht="15" customHeight="1" x14ac:dyDescent="0.25">
      <c r="A123" s="29">
        <v>0.79000000000000103</v>
      </c>
      <c r="B123" s="30">
        <v>0.27774139822188904</v>
      </c>
      <c r="C123" s="30">
        <v>0.77472793271887752</v>
      </c>
      <c r="D123" s="30">
        <v>2.4012761470771689</v>
      </c>
      <c r="E123" s="30">
        <v>3.5345748638997754</v>
      </c>
      <c r="F123" s="30">
        <v>8.4874903107410571</v>
      </c>
      <c r="G123" s="31">
        <v>2.7383338773491808</v>
      </c>
      <c r="J123" s="25"/>
      <c r="K123" s="25">
        <f t="shared" si="5"/>
        <v>0.79000000000000103</v>
      </c>
    </row>
    <row r="124" spans="1:11" ht="15" customHeight="1" x14ac:dyDescent="0.25">
      <c r="A124" s="29">
        <v>0.80000000000000104</v>
      </c>
      <c r="B124" s="30">
        <v>0.27608709489350874</v>
      </c>
      <c r="C124" s="30">
        <v>0.77531080859692192</v>
      </c>
      <c r="D124" s="30">
        <v>2.3869734930691537</v>
      </c>
      <c r="E124" s="30">
        <v>3.5284250718034929</v>
      </c>
      <c r="F124" s="30">
        <v>8.4222571186755566</v>
      </c>
      <c r="G124" s="31">
        <v>2.7356260954936182</v>
      </c>
      <c r="J124" s="25"/>
      <c r="K124" s="25">
        <f t="shared" si="5"/>
        <v>0.80000000000000104</v>
      </c>
    </row>
    <row r="125" spans="1:11" ht="15" customHeight="1" x14ac:dyDescent="0.25">
      <c r="A125" s="29">
        <v>0.81000000000000105</v>
      </c>
      <c r="B125" s="30">
        <v>0.27446582744227777</v>
      </c>
      <c r="C125" s="30">
        <v>0.77587180523039667</v>
      </c>
      <c r="D125" s="30">
        <v>2.372956458217319</v>
      </c>
      <c r="E125" s="30">
        <v>3.5223261608601475</v>
      </c>
      <c r="F125" s="30">
        <v>8.3583266113609049</v>
      </c>
      <c r="G125" s="31">
        <v>2.732873557036815</v>
      </c>
      <c r="J125" s="25"/>
      <c r="K125" s="25">
        <f t="shared" si="5"/>
        <v>0.81000000000000105</v>
      </c>
    </row>
    <row r="126" spans="1:11" ht="15" customHeight="1" x14ac:dyDescent="0.25">
      <c r="A126" s="29">
        <v>0.82000000000000095</v>
      </c>
      <c r="B126" s="30">
        <v>0.27287656968198415</v>
      </c>
      <c r="C126" s="30">
        <v>0.77641181949675198</v>
      </c>
      <c r="D126" s="30">
        <v>2.3592161703964103</v>
      </c>
      <c r="E126" s="30">
        <v>3.5162773245964383</v>
      </c>
      <c r="F126" s="30">
        <v>8.2956583237861459</v>
      </c>
      <c r="G126" s="31">
        <v>2.730079275445092</v>
      </c>
      <c r="J126" s="25"/>
      <c r="K126" s="25">
        <f t="shared" si="5"/>
        <v>0.82000000000000095</v>
      </c>
    </row>
    <row r="127" spans="1:11" ht="15" customHeight="1" x14ac:dyDescent="0.25">
      <c r="A127" s="29">
        <v>0.83000000000000096</v>
      </c>
      <c r="B127" s="30">
        <v>0.27131833734974009</v>
      </c>
      <c r="C127" s="30">
        <v>0.77693170351801299</v>
      </c>
      <c r="D127" s="30">
        <v>2.3457441199387654</v>
      </c>
      <c r="E127" s="30">
        <v>3.5102777724510097</v>
      </c>
      <c r="F127" s="30">
        <v>8.2342134440786978</v>
      </c>
      <c r="G127" s="31">
        <v>2.7272460895717789</v>
      </c>
      <c r="J127" s="25"/>
      <c r="K127" s="25">
        <f t="shared" si="5"/>
        <v>0.83000000000000096</v>
      </c>
    </row>
    <row r="128" spans="1:11" ht="15" customHeight="1" x14ac:dyDescent="0.25">
      <c r="A128" s="29">
        <v>0.84000000000000097</v>
      </c>
      <c r="B128" s="30">
        <v>0.26979018601476701</v>
      </c>
      <c r="C128" s="30">
        <v>0.77743226727237369</v>
      </c>
      <c r="D128" s="30">
        <v>2.3325321415542417</v>
      </c>
      <c r="E128" s="30">
        <v>3.5043267294898186</v>
      </c>
      <c r="F128" s="30">
        <v>8.1739547310426541</v>
      </c>
      <c r="G128" s="31">
        <v>2.7243766745704519</v>
      </c>
      <c r="J128" s="25"/>
      <c r="K128" s="25">
        <f t="shared" si="5"/>
        <v>0.84000000000000097</v>
      </c>
    </row>
    <row r="129" spans="1:11" ht="15" customHeight="1" x14ac:dyDescent="0.25">
      <c r="A129" s="29">
        <v>0.85000000000000098</v>
      </c>
      <c r="B129" s="30">
        <v>0.26829120910951282</v>
      </c>
      <c r="C129" s="30">
        <v>0.77791428103383009</v>
      </c>
      <c r="D129" s="30">
        <v>2.3195723973077942</v>
      </c>
      <c r="E129" s="30">
        <v>3.4984234361209849</v>
      </c>
      <c r="F129" s="30">
        <v>8.1148464365209207</v>
      </c>
      <c r="G129" s="31">
        <v>2.7214735520619575</v>
      </c>
      <c r="J129" s="25"/>
      <c r="K129" s="25">
        <f t="shared" si="5"/>
        <v>0.85000000000000098</v>
      </c>
    </row>
    <row r="130" spans="1:11" ht="15" customHeight="1" x14ac:dyDescent="0.25">
      <c r="A130" s="29">
        <v>0.86000000000000099</v>
      </c>
      <c r="B130" s="30">
        <v>0.26682053607491346</v>
      </c>
      <c r="C130" s="30">
        <v>0.77837847765236101</v>
      </c>
      <c r="D130" s="30">
        <v>2.3068573605839147</v>
      </c>
      <c r="E130" s="30">
        <v>3.4925671478097211</v>
      </c>
      <c r="F130" s="30">
        <v>8.0568542322584253</v>
      </c>
      <c r="G130" s="31">
        <v>2.7185390996107794</v>
      </c>
      <c r="J130" s="25"/>
      <c r="K130" s="25">
        <f t="shared" si="5"/>
        <v>0.86000000000000099</v>
      </c>
    </row>
    <row r="131" spans="1:11" ht="15" customHeight="1" x14ac:dyDescent="0.25">
      <c r="A131" s="29">
        <v>0.87000000000000099</v>
      </c>
      <c r="B131" s="30">
        <v>0.26537733061222946</v>
      </c>
      <c r="C131" s="30">
        <v>0.77882555468617654</v>
      </c>
      <c r="D131" s="30">
        <v>2.2943798009724881</v>
      </c>
      <c r="E131" s="30">
        <v>3.4867571347938697</v>
      </c>
      <c r="F131" s="30">
        <v>7.9999451409677578</v>
      </c>
      <c r="G131" s="31">
        <v>2.7155755595618194</v>
      </c>
      <c r="J131" s="25"/>
      <c r="K131" s="25">
        <f t="shared" si="5"/>
        <v>0.87000000000000099</v>
      </c>
    </row>
    <row r="132" spans="1:11" ht="15" customHeight="1" x14ac:dyDescent="0.25">
      <c r="A132" s="29">
        <v>0.880000000000001</v>
      </c>
      <c r="B132" s="30">
        <v>0.26396078903444964</v>
      </c>
      <c r="C132" s="30">
        <v>0.77925617639663614</v>
      </c>
      <c r="D132" s="30">
        <v>2.2821327700154814</v>
      </c>
      <c r="E132" s="30">
        <v>3.4809926818005374</v>
      </c>
      <c r="F132" s="30">
        <v>7.944087471321077</v>
      </c>
      <c r="G132" s="31">
        <v>2.7125850472845592</v>
      </c>
      <c r="J132" s="25"/>
      <c r="K132" s="25">
        <f t="shared" si="5"/>
        <v>0.880000000000001</v>
      </c>
    </row>
    <row r="133" spans="1:11" ht="15" customHeight="1" x14ac:dyDescent="0.25">
      <c r="A133" s="29">
        <v>0.89000000000000101</v>
      </c>
      <c r="B133" s="30">
        <v>0.2625701387107745</v>
      </c>
      <c r="C133" s="30">
        <v>0.7796709756156176</v>
      </c>
      <c r="D133" s="30">
        <v>2.2701095877583719</v>
      </c>
      <c r="E133" s="30">
        <v>3.475273087764247</v>
      </c>
      <c r="F133" s="30">
        <v>7.8892507566122605</v>
      </c>
      <c r="G133" s="31">
        <v>2.7095695588678503</v>
      </c>
      <c r="J133" s="25"/>
      <c r="K133" s="25">
        <f t="shared" si="5"/>
        <v>0.89000000000000101</v>
      </c>
    </row>
    <row r="134" spans="1:11" ht="15" customHeight="1" x14ac:dyDescent="0.25">
      <c r="A134" s="29">
        <v>0.90000000000000102</v>
      </c>
      <c r="B134" s="30">
        <v>0.26120463659816773</v>
      </c>
      <c r="C134" s="30">
        <v>0.78007055549435178</v>
      </c>
      <c r="D134" s="30">
        <v>2.2583038300543419</v>
      </c>
      <c r="E134" s="30">
        <v>3.4695976655470169</v>
      </c>
      <c r="F134" s="30">
        <v>7.8354056968524333</v>
      </c>
      <c r="G134" s="31">
        <v>2.7065309783051674</v>
      </c>
      <c r="J134" s="25"/>
      <c r="K134" s="25">
        <f t="shared" si="5"/>
        <v>0.90000000000000102</v>
      </c>
    </row>
    <row r="135" spans="1:11" ht="15" customHeight="1" x14ac:dyDescent="0.25">
      <c r="A135" s="29">
        <v>0.91000000000000103</v>
      </c>
      <c r="B135" s="30">
        <v>0.25986356785439985</v>
      </c>
      <c r="C135" s="30">
        <v>0.78045549114204249</v>
      </c>
      <c r="D135" s="30">
        <v>2.2467093165730354</v>
      </c>
      <c r="E135" s="30">
        <v>3.4639657416607075</v>
      </c>
      <c r="F135" s="30">
        <v>7.7825241040789361</v>
      </c>
      <c r="G135" s="31">
        <v>2.7034710842070169</v>
      </c>
      <c r="J135" s="25"/>
      <c r="K135" s="25">
        <f t="shared" si="5"/>
        <v>0.91000000000000103</v>
      </c>
    </row>
    <row r="136" spans="1:11" ht="15" customHeight="1" x14ac:dyDescent="0.25">
      <c r="A136" s="29">
        <v>0.92000000000000104</v>
      </c>
      <c r="B136" s="30">
        <v>0.25854624452740771</v>
      </c>
      <c r="C136" s="30">
        <v>0.78082633116195332</v>
      </c>
      <c r="D136" s="30">
        <v>2.2353200994691185</v>
      </c>
      <c r="E136" s="30">
        <v>3.4583766559919398</v>
      </c>
      <c r="F136" s="30">
        <v>7.7305788506735791</v>
      </c>
      <c r="G136" s="31">
        <v>2.7003915560743312</v>
      </c>
      <c r="J136" s="25"/>
      <c r="K136" s="25">
        <f t="shared" si="5"/>
        <v>0.92000000000000104</v>
      </c>
    </row>
    <row r="137" spans="1:11" ht="15" customHeight="1" x14ac:dyDescent="0.25">
      <c r="A137" s="29">
        <v>0.93000000000000105</v>
      </c>
      <c r="B137" s="30">
        <v>0.25725200431616829</v>
      </c>
      <c r="C137" s="30">
        <v>0.78118359909206092</v>
      </c>
      <c r="D137" s="30">
        <v>2.2241304526691321</v>
      </c>
      <c r="E137" s="30">
        <v>3.4528297615298746</v>
      </c>
      <c r="F137" s="30">
        <v>7.6795438205008892</v>
      </c>
      <c r="G137" s="31">
        <v>2.6972939801640901</v>
      </c>
      <c r="J137" s="25"/>
      <c r="K137" s="25">
        <f t="shared" si="5"/>
        <v>0.93000000000000105</v>
      </c>
    </row>
    <row r="138" spans="1:11" ht="15" customHeight="1" x14ac:dyDescent="0.25">
      <c r="A138" s="29">
        <v>0.94000000000000095</v>
      </c>
      <c r="B138" s="30">
        <v>0.25598020939862115</v>
      </c>
      <c r="C138" s="30">
        <v>0.78152779475683642</v>
      </c>
      <c r="D138" s="30">
        <v>2.2131348617380309</v>
      </c>
      <c r="E138" s="30">
        <v>3.4473244240970899</v>
      </c>
      <c r="F138" s="30">
        <v>7.6293938626902511</v>
      </c>
      <c r="G138" s="31">
        <v>2.6941798549759799</v>
      </c>
      <c r="J138" s="25"/>
      <c r="K138" s="25">
        <f t="shared" si="5"/>
        <v>0.94000000000000095</v>
      </c>
    </row>
    <row r="139" spans="1:11" ht="15" customHeight="1" x14ac:dyDescent="0.25">
      <c r="A139" s="29">
        <v>0.95000000000000095</v>
      </c>
      <c r="B139" s="30">
        <v>0.25473024532248617</v>
      </c>
      <c r="C139" s="30">
        <v>0.78185939553621864</v>
      </c>
      <c r="D139" s="30">
        <v>2.2023280142894981</v>
      </c>
      <c r="E139" s="30">
        <v>3.4418600220837687</v>
      </c>
      <c r="F139" s="30">
        <v>7.5801047478981491</v>
      </c>
      <c r="G139" s="31">
        <v>2.6910505963866918</v>
      </c>
      <c r="J139" s="25"/>
      <c r="K139" s="25">
        <f t="shared" si="5"/>
        <v>0.95000000000000095</v>
      </c>
    </row>
    <row r="140" spans="1:11" ht="15" customHeight="1" x14ac:dyDescent="0.25">
      <c r="A140" s="29">
        <v>0.96000000000000096</v>
      </c>
      <c r="B140" s="30">
        <v>0.25350151995511871</v>
      </c>
      <c r="C140" s="30">
        <v>0.7821788575574028</v>
      </c>
      <c r="D140" s="30">
        <v>2.1917047909066771</v>
      </c>
      <c r="E140" s="30">
        <v>3.4364359461853957</v>
      </c>
      <c r="F140" s="30">
        <v>7.5316531268984495</v>
      </c>
      <c r="G140" s="31">
        <v>2.6879075424564856</v>
      </c>
      <c r="J140" s="25"/>
      <c r="K140" s="25">
        <f t="shared" si="5"/>
        <v>0.96000000000000096</v>
      </c>
    </row>
    <row r="141" spans="1:11" ht="15" customHeight="1" x14ac:dyDescent="0.25">
      <c r="A141" s="29">
        <v>0.97000000000000097</v>
      </c>
      <c r="B141" s="30">
        <v>0.25229346248880324</v>
      </c>
      <c r="C141" s="30">
        <v>0.78248661681464149</v>
      </c>
      <c r="D141" s="30">
        <v>2.1812602565422168</v>
      </c>
      <c r="E141" s="30">
        <v>3.4310515991441091</v>
      </c>
      <c r="F141" s="30">
        <v>7.48401649135866</v>
      </c>
      <c r="G141" s="31">
        <v>2.6847519579307395</v>
      </c>
      <c r="J141" s="25"/>
      <c r="K141" s="25">
        <f t="shared" si="5"/>
        <v>0.97000000000000097</v>
      </c>
    </row>
    <row r="142" spans="1:11" ht="15" customHeight="1" x14ac:dyDescent="0.25">
      <c r="A142" s="29">
        <v>0.98000000000000098</v>
      </c>
      <c r="B142" s="30">
        <v>0.25110552249813711</v>
      </c>
      <c r="C142" s="30">
        <v>0.78278309022187265</v>
      </c>
      <c r="D142" s="30">
        <v>2.1709896523686654</v>
      </c>
      <c r="E142" s="30">
        <v>3.4257063954938598</v>
      </c>
      <c r="F142" s="30">
        <v>7.4371731366703262</v>
      </c>
      <c r="G142" s="31">
        <v>2.6815850384575164</v>
      </c>
      <c r="J142" s="25"/>
      <c r="K142" s="25">
        <f t="shared" si="5"/>
        <v>0.98000000000000098</v>
      </c>
    </row>
    <row r="143" spans="1:11" ht="15" customHeight="1" x14ac:dyDescent="0.25">
      <c r="A143" s="29">
        <v>0.99000000000000099</v>
      </c>
      <c r="B143" s="30">
        <v>0.24993716904638388</v>
      </c>
      <c r="C143" s="30">
        <v>0.78306867660264989</v>
      </c>
      <c r="D143" s="30">
        <v>2.1608883880522494</v>
      </c>
      <c r="E143" s="30">
        <v>3.4203997613094925</v>
      </c>
      <c r="F143" s="30">
        <v>7.3911021267103632</v>
      </c>
      <c r="G143" s="31">
        <v>2.6784079145406441</v>
      </c>
      <c r="J143" s="25"/>
      <c r="K143" s="25">
        <f t="shared" si="5"/>
        <v>0.99000000000000099</v>
      </c>
    </row>
    <row r="144" spans="1:11" ht="15" customHeight="1" x14ac:dyDescent="0.25">
      <c r="A144" s="29">
        <v>1</v>
      </c>
      <c r="B144" s="30">
        <v>0.24878788983788414</v>
      </c>
      <c r="C144" s="30">
        <v>0.78334375762150366</v>
      </c>
      <c r="D144" s="30">
        <v>2.1509520344248458</v>
      </c>
      <c r="E144" s="30">
        <v>3.4151311339598496</v>
      </c>
      <c r="F144" s="30">
        <v>7.3457832604185702</v>
      </c>
      <c r="G144" s="31">
        <v>2.6752216552462955</v>
      </c>
      <c r="J144" s="25"/>
      <c r="K144" s="25">
        <f t="shared" si="5"/>
        <v>1</v>
      </c>
    </row>
    <row r="145" spans="1:11" ht="15" customHeight="1" x14ac:dyDescent="0.25">
      <c r="A145" s="29">
        <v>1.01</v>
      </c>
      <c r="B145" s="30">
        <v>0.24765719041380529</v>
      </c>
      <c r="C145" s="30">
        <v>0.78360869866059335</v>
      </c>
      <c r="D145" s="30">
        <v>2.1411763165306583</v>
      </c>
      <c r="E145" s="30">
        <v>3.4098999618649644</v>
      </c>
      <c r="F145" s="30">
        <v>7.3011970400840527</v>
      </c>
      <c r="G145" s="31">
        <v>2.6720272716798115</v>
      </c>
      <c r="J145" s="25"/>
      <c r="K145" s="25">
        <f t="shared" si="5"/>
        <v>1.01</v>
      </c>
    </row>
    <row r="146" spans="1:11" ht="15" customHeight="1" x14ac:dyDescent="0.25">
      <c r="A146" s="29">
        <v>1.02</v>
      </c>
      <c r="B146" s="30">
        <v>0.24654459338869789</v>
      </c>
      <c r="C146" s="30">
        <v>0.78386384964519984</v>
      </c>
      <c r="D146" s="30">
        <v>2.1315571070256891</v>
      </c>
      <c r="E146" s="30">
        <v>3.4047057042574438</v>
      </c>
      <c r="F146" s="30">
        <v>7.2573246412408556</v>
      </c>
      <c r="G146" s="31">
        <v>2.6688257202482113</v>
      </c>
      <c r="J146" s="25"/>
      <c r="K146" s="25">
        <f t="shared" si="5"/>
        <v>1.02</v>
      </c>
    </row>
    <row r="147" spans="1:11" ht="15" customHeight="1" x14ac:dyDescent="0.25">
      <c r="A147" s="29">
        <v>1.03</v>
      </c>
      <c r="B147" s="30">
        <v>0.24544963772548459</v>
      </c>
      <c r="C147" s="30">
        <v>0.78410954582138837</v>
      </c>
      <c r="D147" s="30">
        <v>2.1220904199094939</v>
      </c>
      <c r="E147" s="30">
        <v>3.3995478309480518</v>
      </c>
      <c r="F147" s="30">
        <v>7.2141478840789617</v>
      </c>
      <c r="G147" s="31">
        <v>2.6656179057227627</v>
      </c>
      <c r="J147" s="25"/>
      <c r="K147" s="25">
        <f t="shared" si="5"/>
        <v>1.03</v>
      </c>
    </row>
    <row r="148" spans="1:11" ht="15" customHeight="1" x14ac:dyDescent="0.25">
      <c r="A148" s="29">
        <v>1.04</v>
      </c>
      <c r="B148" s="30">
        <v>0.24437187804666854</v>
      </c>
      <c r="C148" s="30">
        <v>0.7843461084889104</v>
      </c>
      <c r="D148" s="30">
        <v>2.1127724045700775</v>
      </c>
      <c r="E148" s="30">
        <v>3.3944258220955521</v>
      </c>
      <c r="F148" s="30">
        <v>7.1716492062835773</v>
      </c>
      <c r="G148" s="31">
        <v>2.6624046841149167</v>
      </c>
      <c r="J148" s="25"/>
      <c r="K148" s="25">
        <f t="shared" si="5"/>
        <v>1.04</v>
      </c>
    </row>
    <row r="149" spans="1:11" ht="15" customHeight="1" x14ac:dyDescent="0.25">
      <c r="A149" s="29">
        <v>1.05</v>
      </c>
      <c r="B149" s="30">
        <v>0.243310883979691</v>
      </c>
      <c r="C149" s="30">
        <v>0.78457384569221311</v>
      </c>
      <c r="D149" s="30">
        <v>2.1035993401240343</v>
      </c>
      <c r="E149" s="30">
        <v>3.3893391679808427</v>
      </c>
      <c r="F149" s="30">
        <v>7.1298116372210441</v>
      </c>
      <c r="G149" s="31">
        <v>2.6591868653779756</v>
      </c>
      <c r="J149" s="25"/>
      <c r="K149" s="25">
        <f t="shared" si="5"/>
        <v>1.05</v>
      </c>
    </row>
    <row r="150" spans="1:11" ht="15" customHeight="1" x14ac:dyDescent="0.25">
      <c r="A150" s="29">
        <v>1.06</v>
      </c>
      <c r="B150" s="30">
        <v>0.24226623953449766</v>
      </c>
      <c r="C150" s="30">
        <v>0.78479305287221657</v>
      </c>
      <c r="D150" s="30">
        <v>2.0945676300351574</v>
      </c>
      <c r="E150" s="30">
        <v>3.3842873687853707</v>
      </c>
      <c r="F150" s="30">
        <v>7.0886187733946917</v>
      </c>
      <c r="G150" s="31">
        <v>2.6559652159459524</v>
      </c>
      <c r="J150" s="25"/>
      <c r="K150" s="25">
        <f t="shared" si="5"/>
        <v>1.06</v>
      </c>
    </row>
    <row r="151" spans="1:11" ht="15" customHeight="1" x14ac:dyDescent="0.25">
      <c r="A151" s="29">
        <v>1.07</v>
      </c>
      <c r="B151" s="30">
        <v>0.24123754251150048</v>
      </c>
      <c r="C151" s="30">
        <v>0.78500401348133952</v>
      </c>
      <c r="D151" s="30">
        <v>2.0856737969958385</v>
      </c>
      <c r="E151" s="30">
        <v>3.3792699343738573</v>
      </c>
      <c r="F151" s="30">
        <v>7.0480547550994013</v>
      </c>
      <c r="G151" s="31">
        <v>2.6527404611203007</v>
      </c>
      <c r="J151" s="25"/>
      <c r="K151" s="25">
        <f t="shared" si="5"/>
        <v>1.07</v>
      </c>
    </row>
    <row r="152" spans="1:11" ht="15" customHeight="1" x14ac:dyDescent="0.25">
      <c r="A152" s="29">
        <v>1.08</v>
      </c>
      <c r="B152" s="30">
        <v>0.24022440393823571</v>
      </c>
      <c r="C152" s="30">
        <v>0.78520699956407713</v>
      </c>
      <c r="D152" s="30">
        <v>2.076914478056568</v>
      </c>
      <c r="E152" s="30">
        <v>3.3742863840813175</v>
      </c>
      <c r="F152" s="30">
        <v>7.0081042442076331</v>
      </c>
      <c r="G152" s="31">
        <v>2.6495132873144107</v>
      </c>
      <c r="J152" s="25"/>
      <c r="K152" s="25">
        <f t="shared" si="5"/>
        <v>1.08</v>
      </c>
    </row>
    <row r="153" spans="1:11" ht="15" customHeight="1" x14ac:dyDescent="0.25">
      <c r="A153" s="29">
        <v>1.0900000000000001</v>
      </c>
      <c r="B153" s="30">
        <v>0.23922644753312411</v>
      </c>
      <c r="C153" s="30">
        <v>0.78540227230528181</v>
      </c>
      <c r="D153" s="30">
        <v>2.068286419989751</v>
      </c>
      <c r="E153" s="30">
        <v>3.3693362465043588</v>
      </c>
      <c r="F153" s="30">
        <v>6.9687524030242045</v>
      </c>
      <c r="G153" s="31">
        <v>2.6462843441650725</v>
      </c>
      <c r="J153" s="25"/>
      <c r="K153" s="25">
        <f t="shared" si="5"/>
        <v>1.0900000000000001</v>
      </c>
    </row>
    <row r="154" spans="1:11" ht="15" customHeight="1" x14ac:dyDescent="0.25">
      <c r="A154" s="29">
        <v>1.1000000000000001</v>
      </c>
      <c r="B154" s="30">
        <v>0.2382433091948403</v>
      </c>
      <c r="C154" s="30">
        <v>0.78559008254815044</v>
      </c>
      <c r="D154" s="30">
        <v>2.0597864748749362</v>
      </c>
      <c r="E154" s="30">
        <v>3.3644190592967398</v>
      </c>
      <c r="F154" s="30">
        <v>6.929984874150878</v>
      </c>
      <c r="G154" s="31">
        <v>2.6430542465194966</v>
      </c>
      <c r="J154" s="25"/>
      <c r="K154" s="25">
        <f t="shared" si="5"/>
        <v>1.1000000000000001</v>
      </c>
    </row>
    <row r="155" spans="1:11" ht="15" customHeight="1" x14ac:dyDescent="0.25">
      <c r="A155" s="29">
        <v>1.1100000000000001</v>
      </c>
      <c r="B155" s="30">
        <v>0.23727463651589242</v>
      </c>
      <c r="C155" s="30">
        <v>0.78577067128378231</v>
      </c>
      <c r="D155" s="30">
        <v>2.0514115958933572</v>
      </c>
      <c r="E155" s="30">
        <v>3.3595343689691743</v>
      </c>
      <c r="F155" s="30">
        <v>6.8917877613056362</v>
      </c>
      <c r="G155" s="31">
        <v>2.639823576305846</v>
      </c>
      <c r="J155" s="25"/>
      <c r="K155" s="25">
        <f t="shared" si="5"/>
        <v>1.1100000000000001</v>
      </c>
    </row>
    <row r="156" spans="1:11" ht="15" customHeight="1" x14ac:dyDescent="0.25">
      <c r="A156" s="29">
        <v>1.1200000000000001</v>
      </c>
      <c r="B156" s="30">
        <v>0.23632008831909385</v>
      </c>
      <c r="C156" s="30">
        <v>0.78594427011404733</v>
      </c>
      <c r="D156" s="30">
        <v>2.0431588333203945</v>
      </c>
      <c r="E156" s="30">
        <v>3.354681730693327</v>
      </c>
      <c r="F156" s="30">
        <v>6.8541476110446187</v>
      </c>
      <c r="G156" s="31">
        <v>2.636592884294696</v>
      </c>
      <c r="J156" s="25"/>
      <c r="K156" s="25">
        <f t="shared" si="5"/>
        <v>1.1200000000000001</v>
      </c>
    </row>
    <row r="157" spans="1:11" ht="15" customHeight="1" x14ac:dyDescent="0.25">
      <c r="A157" s="29">
        <v>1.1299999999999999</v>
      </c>
      <c r="B157" s="30">
        <v>0.23537933421569526</v>
      </c>
      <c r="C157" s="30">
        <v>0.78611110168939635</v>
      </c>
      <c r="D157" s="30">
        <v>2.0350253307053063</v>
      </c>
      <c r="E157" s="30">
        <v>3.3498607081099805</v>
      </c>
      <c r="F157" s="30">
        <v>6.8170513953382246</v>
      </c>
      <c r="G157" s="31">
        <v>2.6333626917583581</v>
      </c>
      <c r="J157" s="25"/>
      <c r="K157" s="25">
        <f t="shared" si="5"/>
        <v>1.1299999999999999</v>
      </c>
    </row>
    <row r="158" spans="1:11" ht="15" customHeight="1" x14ac:dyDescent="0.25">
      <c r="A158" s="29">
        <v>1.1399999999999999</v>
      </c>
      <c r="B158" s="30">
        <v>0.23445205418401688</v>
      </c>
      <c r="C158" s="30">
        <v>0.78627138012311693</v>
      </c>
      <c r="D158" s="30">
        <v>2.0270083212281977</v>
      </c>
      <c r="E158" s="30">
        <v>3.3450708731413235</v>
      </c>
      <c r="F158" s="30">
        <v>6.7804864949555324</v>
      </c>
      <c r="G158" s="31">
        <v>2.6301334920344681</v>
      </c>
      <c r="J158" s="25"/>
      <c r="K158" s="25">
        <f t="shared" si="5"/>
        <v>1.1399999999999999</v>
      </c>
    </row>
    <row r="159" spans="1:11" ht="15" customHeight="1" x14ac:dyDescent="0.25">
      <c r="A159" s="29">
        <v>1.1499999999999999</v>
      </c>
      <c r="B159" s="30">
        <v>0.23353793816749024</v>
      </c>
      <c r="C159" s="30">
        <v>0.78642531138346472</v>
      </c>
      <c r="D159" s="30">
        <v>2.0191051242248004</v>
      </c>
      <c r="E159" s="30">
        <v>3.3403118058073153</v>
      </c>
      <c r="F159" s="30">
        <v>6.7444406836141475</v>
      </c>
      <c r="G159" s="31">
        <v>2.6269057519998813</v>
      </c>
      <c r="J159" s="25"/>
      <c r="K159" s="25">
        <f t="shared" si="5"/>
        <v>1.1499999999999999</v>
      </c>
    </row>
    <row r="160" spans="1:11" ht="15" customHeight="1" x14ac:dyDescent="0.25">
      <c r="A160" s="29">
        <v>1.1599999999999999</v>
      </c>
      <c r="B160" s="30">
        <v>0.23263668569108592</v>
      </c>
      <c r="C160" s="30">
        <v>0.78657309366497985</v>
      </c>
      <c r="D160" s="30">
        <v>2.011313141870211</v>
      </c>
      <c r="E160" s="30">
        <v>3.3355830940460738</v>
      </c>
      <c r="F160" s="30">
        <v>6.7089021128549664</v>
      </c>
      <c r="G160" s="31">
        <v>2.6236799134604256</v>
      </c>
      <c r="J160" s="25"/>
      <c r="K160" s="25">
        <f t="shared" si="5"/>
        <v>1.1599999999999999</v>
      </c>
    </row>
    <row r="161" spans="1:11" ht="15" customHeight="1" x14ac:dyDescent="0.25">
      <c r="A161" s="29">
        <v>1.17</v>
      </c>
      <c r="B161" s="30">
        <v>0.23174800549516245</v>
      </c>
      <c r="C161" s="30">
        <v>0.78671491774023528</v>
      </c>
      <c r="D161" s="30">
        <v>2.0036298560132497</v>
      </c>
      <c r="E161" s="30">
        <v>3.3308843335382372</v>
      </c>
      <c r="F161" s="30">
        <v>6.673859297604003</v>
      </c>
      <c r="G161" s="31">
        <v>2.6204563944617725</v>
      </c>
      <c r="J161" s="25"/>
      <c r="K161" s="25">
        <f t="shared" si="5"/>
        <v>1.17</v>
      </c>
    </row>
    <row r="162" spans="1:11" ht="15" customHeight="1" x14ac:dyDescent="0.25">
      <c r="A162" s="29">
        <v>1.18</v>
      </c>
      <c r="B162" s="30">
        <v>0.23087161518582994</v>
      </c>
      <c r="C162" s="30">
        <v>0.78685096729316295</v>
      </c>
      <c r="D162" s="30">
        <v>1.9960528251535992</v>
      </c>
      <c r="E162" s="30">
        <v>3.3262151275352418</v>
      </c>
      <c r="F162" s="30">
        <v>6.6393011023853559</v>
      </c>
      <c r="G162" s="31">
        <v>2.6172355905262563</v>
      </c>
      <c r="J162" s="25"/>
      <c r="K162" s="25">
        <f t="shared" si="5"/>
        <v>1.18</v>
      </c>
    </row>
    <row r="163" spans="1:11" ht="15" customHeight="1" x14ac:dyDescent="0.25">
      <c r="A163" s="29">
        <v>1.19</v>
      </c>
      <c r="B163" s="30">
        <v>0.23000724090097513</v>
      </c>
      <c r="C163" s="30">
        <v>0.7869814192350475</v>
      </c>
      <c r="D163" s="30">
        <v>1.9885796815543488</v>
      </c>
      <c r="E163" s="30">
        <v>3.3215750866914564</v>
      </c>
      <c r="F163" s="30">
        <v>6.6052167281517526</v>
      </c>
      <c r="G163" s="31">
        <v>2.6140178758202182</v>
      </c>
      <c r="J163" s="25"/>
      <c r="K163" s="25">
        <f t="shared" si="5"/>
        <v>1.19</v>
      </c>
    </row>
    <row r="164" spans="1:11" ht="15" customHeight="1" x14ac:dyDescent="0.25">
      <c r="A164" s="29">
        <v>1.2</v>
      </c>
      <c r="B164" s="30">
        <v>0.22915461699114162</v>
      </c>
      <c r="C164" s="30">
        <v>0.78710644400419216</v>
      </c>
      <c r="D164" s="30">
        <v>1.9812081284829728</v>
      </c>
      <c r="E164" s="30">
        <v>3.3169638289001138</v>
      </c>
      <c r="F164" s="30">
        <v>6.5715956997009091</v>
      </c>
      <c r="G164" s="31">
        <v>2.6108036042560983</v>
      </c>
      <c r="J164" s="25"/>
      <c r="K164" s="25">
        <f t="shared" si="5"/>
        <v>1.2</v>
      </c>
    </row>
    <row r="165" spans="1:11" ht="15" customHeight="1" x14ac:dyDescent="0.25">
      <c r="A165" s="29">
        <v>1.21</v>
      </c>
      <c r="B165" s="30">
        <v>0.22831348571450999</v>
      </c>
      <c r="C165" s="30">
        <v>0.78722620585020631</v>
      </c>
      <c r="D165" s="30">
        <v>1.9739359375742107</v>
      </c>
      <c r="E165" s="30">
        <v>3.312380979132977</v>
      </c>
      <c r="F165" s="30">
        <v>6.5384278536478329</v>
      </c>
      <c r="G165" s="31">
        <v>2.6075931105332448</v>
      </c>
      <c r="J165" s="25"/>
      <c r="K165" s="25">
        <f t="shared" si="5"/>
        <v>1.21</v>
      </c>
    </row>
    <row r="166" spans="1:11" ht="15" customHeight="1" x14ac:dyDescent="0.25">
      <c r="A166" s="29">
        <v>1.22</v>
      </c>
      <c r="B166" s="30">
        <v>0.22748359694526149</v>
      </c>
      <c r="C166" s="30">
        <v>0.78734086310380158</v>
      </c>
      <c r="D166" s="30">
        <v>1.9667609463086608</v>
      </c>
      <c r="E166" s="30">
        <v>3.307826169283679</v>
      </c>
      <c r="F166" s="30">
        <v>6.5057033269249187</v>
      </c>
      <c r="G166" s="31">
        <v>2.6043867111211534</v>
      </c>
      <c r="J166" s="25"/>
      <c r="K166" s="25">
        <f t="shared" si="5"/>
        <v>1.22</v>
      </c>
    </row>
    <row r="167" spans="1:11" ht="15" customHeight="1" x14ac:dyDescent="0.25">
      <c r="A167" s="29">
        <v>1.23</v>
      </c>
      <c r="B167" s="30">
        <v>0.2266647078946521</v>
      </c>
      <c r="C167" s="30">
        <v>0.7874505684329236</v>
      </c>
      <c r="D167" s="30">
        <v>1.9596810556012623</v>
      </c>
      <c r="E167" s="30">
        <v>3.3032990380146625</v>
      </c>
      <c r="F167" s="30">
        <v>6.4734125457832068</v>
      </c>
      <c r="G167" s="31">
        <v>2.6011847051885759</v>
      </c>
      <c r="J167" s="25"/>
      <c r="K167" s="25">
        <f t="shared" si="5"/>
        <v>1.23</v>
      </c>
    </row>
    <row r="168" spans="1:11" ht="15" customHeight="1" x14ac:dyDescent="0.25">
      <c r="A168" s="29">
        <v>1.24</v>
      </c>
      <c r="B168" s="30">
        <v>0.22585658284416293</v>
      </c>
      <c r="C168" s="30">
        <v>0.78755546908600349</v>
      </c>
      <c r="D168" s="30">
        <v>1.9526942274941868</v>
      </c>
      <c r="E168" s="30">
        <v>3.2987992306076692</v>
      </c>
      <c r="F168" s="30">
        <v>6.4415462152698595</v>
      </c>
      <c r="G168" s="31">
        <v>2.5979873754817704</v>
      </c>
      <c r="J168" s="25"/>
      <c r="K168" s="25">
        <f t="shared" si="5"/>
        <v>1.24</v>
      </c>
    </row>
    <row r="169" spans="1:11" ht="15" customHeight="1" x14ac:dyDescent="0.25">
      <c r="A169" s="29">
        <v>1.25</v>
      </c>
      <c r="B169" s="30">
        <v>0.22505899289012465</v>
      </c>
      <c r="C169" s="30">
        <v>0.78765570712304978</v>
      </c>
      <c r="D169" s="30">
        <v>1.9457984829489303</v>
      </c>
      <c r="E169" s="30">
        <v>3.2943263988176947</v>
      </c>
      <c r="F169" s="30">
        <v>6.4100953091580806</v>
      </c>
      <c r="G169" s="31">
        <v>2.5947949891548814</v>
      </c>
      <c r="J169" s="25"/>
      <c r="K169" s="25">
        <f t="shared" si="5"/>
        <v>1.25</v>
      </c>
    </row>
    <row r="170" spans="1:11" ht="15" customHeight="1" x14ac:dyDescent="0.25">
      <c r="A170" s="29">
        <v>1.26</v>
      </c>
      <c r="B170" s="30">
        <v>0.22427171569925192</v>
      </c>
      <c r="C170" s="30">
        <v>0.78775141963527506</v>
      </c>
      <c r="D170" s="30">
        <v>1.9389918997327318</v>
      </c>
      <c r="E170" s="30">
        <v>3.2898802007303583</v>
      </c>
      <c r="F170" s="30">
        <v>6.3790510603072565</v>
      </c>
      <c r="G170" s="31">
        <v>2.5916077985553234</v>
      </c>
      <c r="J170" s="25"/>
      <c r="K170" s="25">
        <f t="shared" si="5"/>
        <v>1.26</v>
      </c>
    </row>
    <row r="171" spans="1:11" ht="15" customHeight="1" x14ac:dyDescent="0.25">
      <c r="A171" s="29">
        <v>1.27</v>
      </c>
      <c r="B171" s="30">
        <v>0.22349453527455171</v>
      </c>
      <c r="C171" s="30">
        <v>0.7878427389538889</v>
      </c>
      <c r="D171" s="30">
        <v>1.9322726103946801</v>
      </c>
      <c r="E171" s="30">
        <v>3.2854603006226095</v>
      </c>
      <c r="F171" s="30">
        <v>6.348404951432137</v>
      </c>
      <c r="G171" s="31">
        <v>2.5884260419667839</v>
      </c>
      <c r="J171" s="25"/>
      <c r="K171" s="25">
        <f t="shared" si="5"/>
        <v>1.27</v>
      </c>
    </row>
    <row r="172" spans="1:11" ht="15" customHeight="1" x14ac:dyDescent="0.25">
      <c r="A172" s="29">
        <v>1.28</v>
      </c>
      <c r="B172" s="30">
        <v>0.2227272417311007</v>
      </c>
      <c r="C172" s="30">
        <v>0.7879297928486676</v>
      </c>
      <c r="D172" s="30">
        <v>1.9256388003271465</v>
      </c>
      <c r="E172" s="30">
        <v>3.281066368826711</v>
      </c>
      <c r="F172" s="30">
        <v>6.3181487062612165</v>
      </c>
      <c r="G172" s="31">
        <v>2.5852499443123604</v>
      </c>
      <c r="J172" s="25"/>
      <c r="K172" s="25">
        <f t="shared" ref="K172:K235" si="6">A172</f>
        <v>1.28</v>
      </c>
    </row>
    <row r="173" spans="1:11" ht="15" customHeight="1" x14ac:dyDescent="0.25">
      <c r="A173" s="29">
        <v>1.29</v>
      </c>
      <c r="B173" s="30">
        <v>0.22196963108121426</v>
      </c>
      <c r="C173" s="30">
        <v>0.78801270471685891</v>
      </c>
      <c r="D173" s="30">
        <v>1.9190887059084147</v>
      </c>
      <c r="E173" s="30">
        <v>3.2766980815974232</v>
      </c>
      <c r="F173" s="30">
        <v>6.2882742810653802</v>
      </c>
      <c r="G173" s="31">
        <v>2.5820797178201285</v>
      </c>
      <c r="J173" s="25"/>
      <c r="K173" s="25">
        <f t="shared" si="6"/>
        <v>1.29</v>
      </c>
    </row>
    <row r="174" spans="1:11" ht="15" customHeight="1" x14ac:dyDescent="0.25">
      <c r="A174" s="29">
        <v>1.3</v>
      </c>
      <c r="B174" s="30">
        <v>0.22122150502855434</v>
      </c>
      <c r="C174" s="30">
        <v>0.78809159376296167</v>
      </c>
      <c r="D174" s="30">
        <v>1.9126206127225942</v>
      </c>
      <c r="E174" s="30">
        <v>3.2723551209823385</v>
      </c>
      <c r="F174" s="30">
        <v>6.2587738565391566</v>
      </c>
      <c r="G174" s="31">
        <v>2.5789155626533602</v>
      </c>
      <c r="J174" s="25"/>
      <c r="K174" s="25">
        <f t="shared" si="6"/>
        <v>1.3</v>
      </c>
    </row>
    <row r="175" spans="1:11" ht="15" customHeight="1" x14ac:dyDescent="0.25">
      <c r="A175" s="29">
        <v>1.31</v>
      </c>
      <c r="B175" s="30">
        <v>0.22048267077075084</v>
      </c>
      <c r="C175" s="30">
        <v>0.78816657516986643</v>
      </c>
      <c r="D175" s="30">
        <v>1.9062328538531381</v>
      </c>
      <c r="E175" s="30">
        <v>3.2680371746952761</v>
      </c>
      <c r="F175" s="30">
        <v>6.2296398300175211</v>
      </c>
      <c r="G175" s="31">
        <v>2.5757576675073821</v>
      </c>
      <c r="J175" s="25"/>
      <c r="K175" s="25">
        <f t="shared" si="6"/>
        <v>1.31</v>
      </c>
    </row>
    <row r="176" spans="1:11" ht="15" customHeight="1" x14ac:dyDescent="0.25">
      <c r="A176" s="29">
        <v>1.32</v>
      </c>
      <c r="B176" s="30">
        <v>0.21975294081013066</v>
      </c>
      <c r="C176" s="30">
        <v>0.78823776026184045</v>
      </c>
      <c r="D176" s="30">
        <v>1.8999238082464589</v>
      </c>
      <c r="E176" s="30">
        <v>3.2637439359926934</v>
      </c>
      <c r="F176" s="30">
        <v>6.200864808012521</v>
      </c>
      <c r="G176" s="31">
        <v>2.572606210175044</v>
      </c>
      <c r="J176" s="25"/>
      <c r="K176" s="25">
        <f t="shared" si="6"/>
        <v>1.32</v>
      </c>
    </row>
    <row r="177" spans="1:11" ht="15" customHeight="1" x14ac:dyDescent="0.25">
      <c r="A177" s="29">
        <v>1.33</v>
      </c>
      <c r="B177" s="30">
        <v>0.2190321327721724</v>
      </c>
      <c r="C177" s="30">
        <v>0.78830525665978612</v>
      </c>
      <c r="D177" s="30">
        <v>1.8936918991423364</v>
      </c>
      <c r="E177" s="30">
        <v>3.2594751035530374</v>
      </c>
      <c r="F177" s="30">
        <v>6.1724415990545118</v>
      </c>
      <c r="G177" s="31">
        <v>2.56946135808256</v>
      </c>
      <c r="J177" s="25"/>
      <c r="K177" s="25">
        <f t="shared" si="6"/>
        <v>1.33</v>
      </c>
    </row>
    <row r="178" spans="1:11" ht="15" customHeight="1" x14ac:dyDescent="0.25">
      <c r="A178" s="29">
        <v>1.34</v>
      </c>
      <c r="B178" s="30">
        <v>0.21832006923132488</v>
      </c>
      <c r="C178" s="30">
        <v>0.78836916842919158</v>
      </c>
      <c r="D178" s="30">
        <v>1.887535592567994</v>
      </c>
      <c r="E178" s="30">
        <v>3.255230381358968</v>
      </c>
      <c r="F178" s="30">
        <v>6.1443632068237362</v>
      </c>
      <c r="G178" s="31">
        <v>2.5663232687974098</v>
      </c>
      <c r="J178" s="25"/>
      <c r="K178" s="25">
        <f t="shared" si="6"/>
        <v>1.34</v>
      </c>
    </row>
    <row r="179" spans="1:11" ht="15" customHeight="1" x14ac:dyDescent="0.25">
      <c r="A179" s="29">
        <v>1.35</v>
      </c>
      <c r="B179" s="30">
        <v>0.21761657754384495</v>
      </c>
      <c r="C179" s="30">
        <v>0.78842959622116482</v>
      </c>
      <c r="D179" s="30">
        <v>1.8814533958928585</v>
      </c>
      <c r="E179" s="30">
        <v>3.2510094785823971</v>
      </c>
      <c r="F179" s="30">
        <v>6.1166228235587221</v>
      </c>
      <c r="G179" s="31">
        <v>2.563192090509899</v>
      </c>
      <c r="J179" s="25"/>
      <c r="K179" s="25">
        <f t="shared" si="6"/>
        <v>1.35</v>
      </c>
    </row>
    <row r="180" spans="1:11" ht="15" customHeight="1" x14ac:dyDescent="0.25">
      <c r="A180" s="29">
        <v>1.36</v>
      </c>
      <c r="B180" s="30">
        <v>0.21692148968733141</v>
      </c>
      <c r="C180" s="30">
        <v>0.78848663740691616</v>
      </c>
      <c r="D180" s="30">
        <v>1.8754438564412155</v>
      </c>
      <c r="E180" s="30">
        <v>3.2468121094722759</v>
      </c>
      <c r="F180" s="30">
        <v>6.089213823728719</v>
      </c>
      <c r="G180" s="31">
        <v>2.560067962489851</v>
      </c>
      <c r="J180" s="25"/>
      <c r="K180" s="25">
        <f t="shared" si="6"/>
        <v>1.36</v>
      </c>
    </row>
    <row r="181" spans="1:11" ht="15" customHeight="1" x14ac:dyDescent="0.25">
      <c r="A181" s="29">
        <v>1.37</v>
      </c>
      <c r="B181" s="30">
        <v>0.2162346421066447</v>
      </c>
      <c r="C181" s="30">
        <v>0.78854038620603628</v>
      </c>
      <c r="D181" s="30">
        <v>1.8695055601600721</v>
      </c>
      <c r="E181" s="30">
        <v>3.2426379932450677</v>
      </c>
      <c r="F181" s="30">
        <v>6.0621297579579485</v>
      </c>
      <c r="G181" s="31">
        <v>2.5569510155198323</v>
      </c>
      <c r="J181" s="25"/>
      <c r="K181" s="25">
        <f t="shared" si="6"/>
        <v>1.37</v>
      </c>
    </row>
    <row r="182" spans="1:11" ht="15" customHeight="1" x14ac:dyDescent="0.25">
      <c r="A182" s="29">
        <v>1.38</v>
      </c>
      <c r="B182" s="30">
        <v>0.21555587556592173</v>
      </c>
      <c r="C182" s="30">
        <v>0.78859093380888945</v>
      </c>
      <c r="D182" s="30">
        <v>1.8636371303397179</v>
      </c>
      <c r="E182" s="30">
        <v>3.2384868539778422</v>
      </c>
      <c r="F182" s="30">
        <v>6.0353643471901659</v>
      </c>
      <c r="G182" s="31">
        <v>2.553841372306199</v>
      </c>
      <c r="J182" s="25"/>
      <c r="K182" s="25">
        <f t="shared" si="6"/>
        <v>1.38</v>
      </c>
    </row>
    <row r="183" spans="1:11" ht="15" customHeight="1" x14ac:dyDescent="0.25">
      <c r="A183" s="29">
        <v>1.39</v>
      </c>
      <c r="B183" s="30">
        <v>0.21488503500640771</v>
      </c>
      <c r="C183" s="30">
        <v>0.78863836849343905</v>
      </c>
      <c r="D183" s="30">
        <v>1.8578372263845793</v>
      </c>
      <c r="E183" s="30">
        <v>3.2343584205039329</v>
      </c>
      <c r="F183" s="30">
        <v>6.008911477082636</v>
      </c>
      <c r="G183" s="31">
        <v>2.5507391478692383</v>
      </c>
      <c r="J183" s="25"/>
      <c r="K183" s="25">
        <f t="shared" si="6"/>
        <v>1.39</v>
      </c>
    </row>
    <row r="184" spans="1:11" ht="15" customHeight="1" x14ac:dyDescent="0.25">
      <c r="A184" s="29">
        <v>1.4</v>
      </c>
      <c r="B184" s="30">
        <v>0.21422196940984226</v>
      </c>
      <c r="C184" s="30">
        <v>0.78868277573678158</v>
      </c>
      <c r="D184" s="30">
        <v>1.8521045426320906</v>
      </c>
      <c r="E184" s="30">
        <v>3.2302524263110972</v>
      </c>
      <c r="F184" s="30">
        <v>5.9827651926191141</v>
      </c>
      <c r="G184" s="31">
        <v>2.5476444499135096</v>
      </c>
      <c r="J184" s="25"/>
      <c r="K184" s="25">
        <f t="shared" si="6"/>
        <v>1.4</v>
      </c>
    </row>
    <row r="185" spans="1:11" ht="15" customHeight="1" x14ac:dyDescent="0.25">
      <c r="A185" s="29">
        <v>1.41</v>
      </c>
      <c r="B185" s="30">
        <v>0.21356653166715087</v>
      </c>
      <c r="C185" s="30">
        <v>0.78872423832167271</v>
      </c>
      <c r="D185" s="30">
        <v>1.8464378072174386</v>
      </c>
      <c r="E185" s="30">
        <v>3.2261686094421256</v>
      </c>
      <c r="F185" s="30">
        <v>5.9569196929320505</v>
      </c>
      <c r="G185" s="31">
        <v>2.5445573791795306</v>
      </c>
      <c r="J185" s="25"/>
      <c r="K185" s="25">
        <f t="shared" si="6"/>
        <v>1.41</v>
      </c>
    </row>
    <row r="186" spans="1:11" ht="15" customHeight="1" x14ac:dyDescent="0.25">
      <c r="A186" s="29">
        <v>1.42</v>
      </c>
      <c r="B186" s="30">
        <v>0.21291857845220305</v>
      </c>
      <c r="C186" s="30">
        <v>0.78876283643829193</v>
      </c>
      <c r="D186" s="30">
        <v>1.8408357809821088</v>
      </c>
      <c r="E186" s="30">
        <v>3.22210671239782</v>
      </c>
      <c r="F186" s="30">
        <v>5.931369326324532</v>
      </c>
      <c r="G186" s="31">
        <v>2.5414780297777644</v>
      </c>
      <c r="J186" s="25"/>
      <c r="K186" s="25">
        <f t="shared" si="6"/>
        <v>1.42</v>
      </c>
    </row>
    <row r="187" spans="1:11" ht="15" customHeight="1" x14ac:dyDescent="0.25">
      <c r="A187" s="29">
        <v>1.43</v>
      </c>
      <c r="B187" s="30">
        <v>0.21227797010041399</v>
      </c>
      <c r="C187" s="30">
        <v>0.788798647781497</v>
      </c>
      <c r="D187" s="30">
        <v>1.8352972564243095</v>
      </c>
      <c r="E187" s="30">
        <v>3.2180664820423188</v>
      </c>
      <c r="F187" s="30">
        <v>5.9061085854832971</v>
      </c>
      <c r="G187" s="31">
        <v>2.5384064895059404</v>
      </c>
      <c r="J187" s="25"/>
      <c r="K187" s="25">
        <f t="shared" si="6"/>
        <v>1.43</v>
      </c>
    </row>
    <row r="188" spans="1:11" ht="15" customHeight="1" x14ac:dyDescent="0.25">
      <c r="A188" s="29">
        <v>1.44</v>
      </c>
      <c r="B188" s="30">
        <v>0.21164457049197488</v>
      </c>
      <c r="C188" s="30">
        <v>0.78883174764378861</v>
      </c>
      <c r="D188" s="30">
        <v>1.8298210566894115</v>
      </c>
      <c r="E188" s="30">
        <v>3.2140476695106757</v>
      </c>
      <c r="F188" s="30">
        <v>5.8811321028741634</v>
      </c>
      <c r="G188" s="31">
        <v>2.5353428401505522</v>
      </c>
      <c r="J188" s="25"/>
      <c r="K188" s="25">
        <f t="shared" si="6"/>
        <v>1.44</v>
      </c>
    </row>
    <row r="189" spans="1:11" ht="15" customHeight="1" x14ac:dyDescent="0.25">
      <c r="A189" s="29">
        <v>1.45</v>
      </c>
      <c r="B189" s="30">
        <v>0.21101824693950885</v>
      </c>
      <c r="C189" s="30">
        <v>0.78886220900420689</v>
      </c>
      <c r="D189" s="30">
        <v>1.8244060345986544</v>
      </c>
      <c r="E189" s="30">
        <v>3.2100500301186705</v>
      </c>
      <c r="F189" s="30">
        <v>5.8564346463120938</v>
      </c>
      <c r="G189" s="31">
        <v>2.5322871577734354</v>
      </c>
      <c r="J189" s="25"/>
      <c r="K189" s="25">
        <f t="shared" si="6"/>
        <v>1.45</v>
      </c>
    </row>
    <row r="190" spans="1:11" ht="15" customHeight="1" x14ac:dyDescent="0.25">
      <c r="A190" s="29">
        <v>1.46</v>
      </c>
      <c r="B190" s="30">
        <v>0.21039887007995942</v>
      </c>
      <c r="C190" s="30">
        <v>0.78889010261335923</v>
      </c>
      <c r="D190" s="30">
        <v>1.8190510717144415</v>
      </c>
      <c r="E190" s="30">
        <v>3.2060733232747709</v>
      </c>
      <c r="F190" s="30">
        <v>5.8320111146980524</v>
      </c>
      <c r="G190" s="31">
        <v>2.5292395129841876</v>
      </c>
      <c r="J190" s="25"/>
      <c r="K190" s="25">
        <f t="shared" si="6"/>
        <v>1.46</v>
      </c>
    </row>
    <row r="191" spans="1:11" ht="15" customHeight="1" x14ac:dyDescent="0.25">
      <c r="A191" s="29">
        <v>1.47</v>
      </c>
      <c r="B191" s="30">
        <v>0.20978631377052842</v>
      </c>
      <c r="C191" s="30">
        <v>0.78891549707477393</v>
      </c>
      <c r="D191" s="30">
        <v>1.813755077440649</v>
      </c>
      <c r="E191" s="30">
        <v>3.2021173123942082</v>
      </c>
      <c r="F191" s="30">
        <v>5.807856533915599</v>
      </c>
      <c r="G191" s="31">
        <v>2.5261999711992158</v>
      </c>
      <c r="J191" s="25"/>
      <c r="K191" s="25">
        <f t="shared" si="6"/>
        <v>1.47</v>
      </c>
    </row>
    <row r="192" spans="1:11" ht="15" customHeight="1" x14ac:dyDescent="0.25">
      <c r="A192" s="29">
        <v>1.48</v>
      </c>
      <c r="B192" s="30">
        <v>0.20918045498848767</v>
      </c>
      <c r="C192" s="30">
        <v>0.78893845892276049</v>
      </c>
      <c r="D192" s="30">
        <v>1.808516988156424</v>
      </c>
      <c r="E192" s="30">
        <v>3.1981817648151107</v>
      </c>
      <c r="F192" s="30">
        <v>5.7839660528802206</v>
      </c>
      <c r="G192" s="31">
        <v>2.523168592888108</v>
      </c>
      <c r="J192" s="25"/>
      <c r="K192" s="25">
        <f t="shared" si="6"/>
        <v>1.48</v>
      </c>
    </row>
    <row r="193" spans="1:11" ht="15" customHeight="1" x14ac:dyDescent="0.25">
      <c r="A193" s="29">
        <v>1.49</v>
      </c>
      <c r="B193" s="30">
        <v>0.20858117373469906</v>
      </c>
      <c r="C193" s="30">
        <v>0.78895905269694677</v>
      </c>
      <c r="D193" s="30">
        <v>1.8033357663820475</v>
      </c>
      <c r="E193" s="30">
        <v>3.1942664517166426</v>
      </c>
      <c r="F193" s="30">
        <v>5.7603349397348929</v>
      </c>
      <c r="G193" s="31">
        <v>2.5201454338079996</v>
      </c>
      <c r="J193" s="25"/>
      <c r="K193" s="25">
        <f t="shared" si="6"/>
        <v>1.49</v>
      </c>
    </row>
    <row r="194" spans="1:11" ht="15" customHeight="1" x14ac:dyDescent="0.25">
      <c r="A194" s="29">
        <v>1.5</v>
      </c>
      <c r="B194" s="30">
        <v>0.20798835294068493</v>
      </c>
      <c r="C194" s="30">
        <v>0.78897734101365913</v>
      </c>
      <c r="D194" s="30">
        <v>1.7982103999754875</v>
      </c>
      <c r="E194" s="30">
        <v>3.1903711480391008</v>
      </c>
      <c r="F194" s="30">
        <v>5.7369585781856465</v>
      </c>
      <c r="G194" s="31">
        <v>2.5171305452265846</v>
      </c>
      <c r="J194" s="25"/>
      <c r="K194" s="25">
        <f t="shared" si="6"/>
        <v>1.5</v>
      </c>
    </row>
    <row r="195" spans="1:11" ht="15" customHeight="1" x14ac:dyDescent="0.25">
      <c r="A195" s="29">
        <v>1.51</v>
      </c>
      <c r="B195" s="30">
        <v>0.20740187837909746</v>
      </c>
      <c r="C195" s="30">
        <v>0.78899338463429225</v>
      </c>
      <c r="D195" s="30">
        <v>1.793139901358344</v>
      </c>
      <c r="E195" s="30">
        <v>3.1864956324059159</v>
      </c>
      <c r="F195" s="30">
        <v>5.713832463971138</v>
      </c>
      <c r="G195" s="31">
        <v>2.5141239741343333</v>
      </c>
      <c r="J195" s="25"/>
      <c r="K195" s="25">
        <f t="shared" si="6"/>
        <v>1.51</v>
      </c>
    </row>
    <row r="196" spans="1:11" ht="15" customHeight="1" x14ac:dyDescent="0.25">
      <c r="A196" s="29">
        <v>1.52</v>
      </c>
      <c r="B196" s="30">
        <v>0.20682163857744484</v>
      </c>
      <c r="C196" s="30">
        <v>0.78900724253082388</v>
      </c>
      <c r="D196" s="30">
        <v>1.7881233067699489</v>
      </c>
      <c r="E196" s="30">
        <v>3.1826396870475211</v>
      </c>
      <c r="F196" s="30">
        <v>5.6909522014606857</v>
      </c>
      <c r="G196" s="31">
        <v>2.5111257634465289</v>
      </c>
      <c r="J196" s="25"/>
      <c r="K196" s="25">
        <f t="shared" si="6"/>
        <v>1.52</v>
      </c>
    </row>
    <row r="197" spans="1:11" ht="15" customHeight="1" x14ac:dyDescent="0.25">
      <c r="A197" s="29">
        <v>1.53</v>
      </c>
      <c r="B197" s="30">
        <v>0.20624752473493652</v>
      </c>
      <c r="C197" s="30">
        <v>0.78901897194859683</v>
      </c>
      <c r="D197" s="30">
        <v>1.7831596755484316</v>
      </c>
      <c r="E197" s="30">
        <v>3.1788030977270276</v>
      </c>
      <c r="F197" s="30">
        <v>5.6683135003752749</v>
      </c>
      <c r="G197" s="31">
        <v>2.5081359521955942</v>
      </c>
      <c r="J197" s="25"/>
      <c r="K197" s="25">
        <f t="shared" si="6"/>
        <v>1.53</v>
      </c>
    </row>
    <row r="198" spans="1:11" ht="15" customHeight="1" x14ac:dyDescent="0.25">
      <c r="A198" s="29">
        <v>1.54</v>
      </c>
      <c r="B198" s="30">
        <v>0.20567943064231864</v>
      </c>
      <c r="C198" s="30">
        <v>0.78902862846651822</v>
      </c>
      <c r="D198" s="30">
        <v>1.7782480894376389</v>
      </c>
      <c r="E198" s="30">
        <v>3.1749856536676733</v>
      </c>
      <c r="F198" s="30">
        <v>5.6459121726264518</v>
      </c>
      <c r="G198" s="31">
        <v>2.5051545757142759</v>
      </c>
      <c r="J198" s="25"/>
      <c r="K198" s="25">
        <f t="shared" si="6"/>
        <v>1.54</v>
      </c>
    </row>
    <row r="199" spans="1:11" ht="15" customHeight="1" x14ac:dyDescent="0.25">
      <c r="A199" s="29">
        <v>1.55</v>
      </c>
      <c r="B199" s="30">
        <v>0.20511725260457475</v>
      </c>
      <c r="C199" s="30">
        <v>0.78903626605477506</v>
      </c>
      <c r="D199" s="30">
        <v>1.7733876519188267</v>
      </c>
      <c r="E199" s="30">
        <v>3.1711871474819922</v>
      </c>
      <c r="F199" s="30">
        <v>5.6237441292682524</v>
      </c>
      <c r="G199" s="31">
        <v>2.5021816658100842</v>
      </c>
      <c r="J199" s="25"/>
      <c r="K199" s="25">
        <f t="shared" si="6"/>
        <v>1.55</v>
      </c>
    </row>
    <row r="200" spans="1:11" ht="15" customHeight="1" x14ac:dyDescent="0.25">
      <c r="A200" s="29">
        <v>1.56</v>
      </c>
      <c r="B200" s="30">
        <v>0.20456088936637412</v>
      </c>
      <c r="C200" s="30">
        <v>0.78904193713020665</v>
      </c>
      <c r="D200" s="30">
        <v>1.7685774875661058</v>
      </c>
      <c r="E200" s="30">
        <v>3.1674073751026675</v>
      </c>
      <c r="F200" s="30">
        <v>5.6018053775574312</v>
      </c>
      <c r="G200" s="31">
        <v>2.4992172509315118</v>
      </c>
      <c r="J200" s="25"/>
      <c r="K200" s="25">
        <f t="shared" si="6"/>
        <v>1.56</v>
      </c>
    </row>
    <row r="201" spans="1:11" ht="15" customHeight="1" x14ac:dyDescent="0.25">
      <c r="A201" s="29">
        <v>1.57</v>
      </c>
      <c r="B201" s="30">
        <v>0.20401024204015508</v>
      </c>
      <c r="C201" s="30">
        <v>0.78904569260942403</v>
      </c>
      <c r="D201" s="30">
        <v>1.7638167414246708</v>
      </c>
      <c r="E201" s="30">
        <v>3.1636461357150192</v>
      </c>
      <c r="F201" s="30">
        <v>5.5800920181176172</v>
      </c>
      <c r="G201" s="31">
        <v>2.4962613563263854</v>
      </c>
      <c r="J201" s="25"/>
      <c r="K201" s="25">
        <f t="shared" si="6"/>
        <v>1.57</v>
      </c>
    </row>
    <row r="202" spans="1:11" ht="15" customHeight="1" x14ac:dyDescent="0.25">
      <c r="A202" s="29">
        <v>1.58</v>
      </c>
      <c r="B202" s="30">
        <v>0.20346521403673554</v>
      </c>
      <c r="C202" s="30">
        <v>0.7890475819597963</v>
      </c>
      <c r="D202" s="30">
        <v>1.7591045784108774</v>
      </c>
      <c r="E202" s="30">
        <v>3.1599032316910924</v>
      </c>
      <c r="F202" s="30">
        <v>5.5586002422031271</v>
      </c>
      <c r="G202" s="31">
        <v>2.4933140041928024</v>
      </c>
      <c r="J202" s="25"/>
      <c r="K202" s="25">
        <f t="shared" si="6"/>
        <v>1.58</v>
      </c>
    </row>
    <row r="203" spans="1:11" ht="15" customHeight="1" x14ac:dyDescent="0.25">
      <c r="A203" s="29">
        <v>1.59</v>
      </c>
      <c r="B203" s="30">
        <v>0.20292571099834836</v>
      </c>
      <c r="C203" s="30">
        <v>0.78904765324838999</v>
      </c>
      <c r="D203" s="30">
        <v>1.7544401827332847</v>
      </c>
      <c r="E203" s="30">
        <v>3.1561784685252974</v>
      </c>
      <c r="F203" s="30">
        <v>5.5373263290583798</v>
      </c>
      <c r="G203" s="31">
        <v>2.4903752138229835</v>
      </c>
      <c r="J203" s="25"/>
      <c r="K203" s="25">
        <f t="shared" si="6"/>
        <v>1.59</v>
      </c>
    </row>
    <row r="204" spans="1:11" ht="15" customHeight="1" x14ac:dyDescent="0.25">
      <c r="A204" s="29">
        <v>1.6</v>
      </c>
      <c r="B204" s="30">
        <v>0.20239164073400459</v>
      </c>
      <c r="C204" s="30">
        <v>0.78904595318896831</v>
      </c>
      <c r="D204" s="30">
        <v>1.7498227573338225</v>
      </c>
      <c r="E204" s="30">
        <v>3.152471654771571</v>
      </c>
      <c r="F204" s="30">
        <v>5.5162666433691072</v>
      </c>
      <c r="G204" s="31">
        <v>2.4874450017404386</v>
      </c>
      <c r="J204" s="25"/>
      <c r="K204" s="25">
        <f t="shared" si="6"/>
        <v>1.6</v>
      </c>
    </row>
    <row r="205" spans="1:11" ht="15" customHeight="1" x14ac:dyDescent="0.25">
      <c r="A205" s="29">
        <v>1.61</v>
      </c>
      <c r="B205" s="30">
        <v>0.20186291315708896</v>
      </c>
      <c r="C205" s="30">
        <v>0.78904252718712631</v>
      </c>
      <c r="D205" s="30">
        <v>1.7452515233482604</v>
      </c>
      <c r="E205" s="30">
        <v>3.1487826019820098</v>
      </c>
      <c r="F205" s="30">
        <v>5.4954176328015993</v>
      </c>
      <c r="G205" s="31">
        <v>2.4845233818307402</v>
      </c>
      <c r="J205" s="25"/>
      <c r="K205" s="25">
        <f t="shared" si="6"/>
        <v>1.61</v>
      </c>
    </row>
    <row r="206" spans="1:11" ht="15" customHeight="1" x14ac:dyDescent="0.25">
      <c r="A206" s="29">
        <v>1.62</v>
      </c>
      <c r="B206" s="30">
        <v>0.20133944022510139</v>
      </c>
      <c r="C206" s="30">
        <v>0.78903741938365779</v>
      </c>
      <c r="D206" s="30">
        <v>1.7407257195852288</v>
      </c>
      <c r="E206" s="30">
        <v>3.1451111246469519</v>
      </c>
      <c r="F206" s="30">
        <v>5.4747758256265708</v>
      </c>
      <c r="G206" s="31">
        <v>2.4816103654662647</v>
      </c>
      <c r="J206" s="25"/>
      <c r="K206" s="25">
        <f t="shared" si="6"/>
        <v>1.62</v>
      </c>
    </row>
    <row r="207" spans="1:11" ht="15" customHeight="1" x14ac:dyDescent="0.25">
      <c r="A207" s="29">
        <v>1.63</v>
      </c>
      <c r="B207" s="30">
        <v>0.20082113588145756</v>
      </c>
      <c r="C207" s="30">
        <v>0.78903067269622773</v>
      </c>
      <c r="D207" s="30">
        <v>1.736244602023042</v>
      </c>
      <c r="E207" s="30">
        <v>3.1414570401364585</v>
      </c>
      <c r="F207" s="30">
        <v>5.4543378284242081</v>
      </c>
      <c r="G207" s="31">
        <v>2.4787059616251703</v>
      </c>
      <c r="J207" s="25"/>
      <c r="K207" s="25">
        <f t="shared" si="6"/>
        <v>1.63</v>
      </c>
    </row>
    <row r="208" spans="1:11" ht="15" customHeight="1" x14ac:dyDescent="0.25">
      <c r="A208" s="29">
        <v>1.64</v>
      </c>
      <c r="B208" s="30">
        <v>0.20030791599926717</v>
      </c>
      <c r="C208" s="30">
        <v>0.78902232885942603</v>
      </c>
      <c r="D208" s="30">
        <v>1.7318074433236212</v>
      </c>
      <c r="E208" s="30">
        <v>3.1378201686431622</v>
      </c>
      <c r="F208" s="30">
        <v>5.4341003238672068</v>
      </c>
      <c r="G208" s="31">
        <v>2.4758101770049046</v>
      </c>
      <c r="J208" s="25"/>
      <c r="K208" s="25">
        <f t="shared" si="6"/>
        <v>1.64</v>
      </c>
    </row>
    <row r="209" spans="1:11" ht="15" customHeight="1" x14ac:dyDescent="0.25">
      <c r="A209" s="29">
        <v>1.65</v>
      </c>
      <c r="B209" s="30">
        <v>0.19979969832701328</v>
      </c>
      <c r="C209" s="30">
        <v>0.78901242846328024</v>
      </c>
      <c r="D209" s="30">
        <v>1.7274135323628526</v>
      </c>
      <c r="E209" s="30">
        <v>3.1342003331264512</v>
      </c>
      <c r="F209" s="30">
        <v>5.4140600685787907</v>
      </c>
      <c r="G209" s="31">
        <v>2.4729230161305233</v>
      </c>
      <c r="J209" s="25"/>
      <c r="K209" s="25">
        <f t="shared" si="6"/>
        <v>1.65</v>
      </c>
    </row>
    <row r="210" spans="1:11" ht="15" customHeight="1" x14ac:dyDescent="0.25">
      <c r="A210" s="29">
        <v>1.66</v>
      </c>
      <c r="B210" s="30">
        <v>0.1992964024360577</v>
      </c>
      <c r="C210" s="30">
        <v>0.78900101099028941</v>
      </c>
      <c r="D210" s="30">
        <v>1.7230621737767335</v>
      </c>
      <c r="E210" s="30">
        <v>3.1305973592579535</v>
      </c>
      <c r="F210" s="30">
        <v>5.3942138910627087</v>
      </c>
      <c r="G210" s="31">
        <v>2.4700444814580553</v>
      </c>
      <c r="J210" s="25"/>
      <c r="K210" s="25">
        <f t="shared" si="6"/>
        <v>1.66</v>
      </c>
    </row>
    <row r="211" spans="1:11" ht="15" customHeight="1" x14ac:dyDescent="0.25">
      <c r="A211" s="29">
        <v>1.67</v>
      </c>
      <c r="B211" s="30">
        <v>0.1987979496699018</v>
      </c>
      <c r="C211" s="30">
        <v>0.78898811485104847</v>
      </c>
      <c r="D211" s="30">
        <v>1.7187526875226944</v>
      </c>
      <c r="E211" s="30">
        <v>3.1270110753682872</v>
      </c>
      <c r="F211" s="30">
        <v>5.3745586897024751</v>
      </c>
      <c r="G211" s="31">
        <v>2.4671745734731747</v>
      </c>
      <c r="J211" s="25"/>
      <c r="K211" s="25">
        <f t="shared" si="6"/>
        <v>1.67</v>
      </c>
    </row>
    <row r="212" spans="1:11" ht="15" customHeight="1" x14ac:dyDescent="0.25">
      <c r="A212" s="29">
        <v>1.68</v>
      </c>
      <c r="B212" s="30">
        <v>0.19830426309513469</v>
      </c>
      <c r="C212" s="30">
        <v>0.7889737774185257</v>
      </c>
      <c r="D212" s="30">
        <v>1.714484408455512</v>
      </c>
      <c r="E212" s="30">
        <v>3.1234413123950402</v>
      </c>
      <c r="F212" s="30">
        <v>5.3550914308271151</v>
      </c>
      <c r="G212" s="31">
        <v>2.4643132907853924</v>
      </c>
      <c r="J212" s="25"/>
      <c r="K212" s="25">
        <f t="shared" si="6"/>
        <v>1.68</v>
      </c>
    </row>
    <row r="213" spans="1:11" ht="15" customHeight="1" x14ac:dyDescent="0.25">
      <c r="A213" s="29">
        <v>1.69</v>
      </c>
      <c r="B213" s="30">
        <v>0.19781526745400385</v>
      </c>
      <c r="C213" s="30">
        <v>0.78895803506104578</v>
      </c>
      <c r="D213" s="30">
        <v>1.7102566859172459</v>
      </c>
      <c r="E213" s="30">
        <v>3.1198879038319647</v>
      </c>
      <c r="F213" s="30">
        <v>5.3358091468409592</v>
      </c>
      <c r="G213" s="31">
        <v>2.4614606302179918</v>
      </c>
      <c r="J213" s="25"/>
      <c r="K213" s="25">
        <f t="shared" si="6"/>
        <v>1.69</v>
      </c>
    </row>
    <row r="214" spans="1:11" ht="15" customHeight="1" x14ac:dyDescent="0.25">
      <c r="A214" s="29">
        <v>1.7</v>
      </c>
      <c r="B214" s="30">
        <v>0.1973308891185466</v>
      </c>
      <c r="C214" s="30">
        <v>0.78894092317404563</v>
      </c>
      <c r="D214" s="30">
        <v>1.7060688833406736</v>
      </c>
      <c r="E214" s="30">
        <v>3.1163506856793264</v>
      </c>
      <c r="F214" s="30">
        <v>5.3167089344148692</v>
      </c>
      <c r="G214" s="31">
        <v>2.458616586893918</v>
      </c>
      <c r="J214" s="25"/>
      <c r="K214" s="25">
        <f t="shared" si="6"/>
        <v>1.7</v>
      </c>
    </row>
    <row r="215" spans="1:11" ht="15" customHeight="1" x14ac:dyDescent="0.25">
      <c r="A215" s="29">
        <v>1.71</v>
      </c>
      <c r="B215" s="30">
        <v>0.19685105604622252</v>
      </c>
      <c r="C215" s="30">
        <v>0.78892247621064227</v>
      </c>
      <c r="D215" s="30">
        <v>1.7019203778656991</v>
      </c>
      <c r="E215" s="30">
        <v>3.1128294963954137</v>
      </c>
      <c r="F215" s="30">
        <v>5.2977879527367753</v>
      </c>
      <c r="G215" s="31">
        <v>2.4557811543177963</v>
      </c>
      <c r="J215" s="25"/>
      <c r="K215" s="25">
        <f t="shared" si="6"/>
        <v>1.71</v>
      </c>
    </row>
    <row r="216" spans="1:11" ht="15" customHeight="1" x14ac:dyDescent="0.25">
      <c r="A216" s="29">
        <v>1.72</v>
      </c>
      <c r="B216" s="30">
        <v>0.19637569773699026</v>
      </c>
      <c r="C216" s="30">
        <v>0.78890272771107861</v>
      </c>
      <c r="D216" s="30">
        <v>1.6978105599682518</v>
      </c>
      <c r="E216" s="30">
        <v>3.1093241768491486</v>
      </c>
      <c r="F216" s="30">
        <v>5.2790434218190736</v>
      </c>
      <c r="G216" s="31">
        <v>2.4529543244542977</v>
      </c>
      <c r="J216" s="25"/>
      <c r="K216" s="25">
        <f t="shared" si="6"/>
        <v>1.72</v>
      </c>
    </row>
    <row r="217" spans="1:11" ht="15" customHeight="1" x14ac:dyDescent="0.25">
      <c r="A217" s="29">
        <v>1.73</v>
      </c>
      <c r="B217" s="30">
        <v>0.19590474519177409</v>
      </c>
      <c r="C217" s="30">
        <v>0.7888817103310809</v>
      </c>
      <c r="D217" s="30">
        <v>1.6937388331011989</v>
      </c>
      <c r="E217" s="30">
        <v>3.1058345702737866</v>
      </c>
      <c r="F217" s="30">
        <v>5.2604726208608845</v>
      </c>
      <c r="G217" s="31">
        <v>2.4501360878029823</v>
      </c>
      <c r="J217" s="25"/>
      <c r="K217" s="25">
        <f t="shared" si="6"/>
        <v>1.73</v>
      </c>
    </row>
    <row r="218" spans="1:11" ht="15" customHeight="1" x14ac:dyDescent="0.25">
      <c r="A218" s="29">
        <v>1.74</v>
      </c>
      <c r="B218" s="30">
        <v>0.19543813087226836</v>
      </c>
      <c r="C218" s="30">
        <v>0.78885945586918504</v>
      </c>
      <c r="D218" s="30">
        <v>1.6897046133468265</v>
      </c>
      <c r="E218" s="30">
        <v>3.1023605222216726</v>
      </c>
      <c r="F218" s="30">
        <v>5.2420728866630286</v>
      </c>
      <c r="G218" s="31">
        <v>2.4473264334698293</v>
      </c>
      <c r="J218" s="25"/>
      <c r="K218" s="25">
        <f t="shared" si="6"/>
        <v>1.74</v>
      </c>
    </row>
    <row r="219" spans="1:11" ht="15" customHeight="1" x14ac:dyDescent="0.25">
      <c r="A219" s="29">
        <v>1.75</v>
      </c>
      <c r="B219" s="30">
        <v>0.19497578866203025</v>
      </c>
      <c r="C219" s="30">
        <v>0.78883599529306825</v>
      </c>
      <c r="D219" s="30">
        <v>1.6857073290804574</v>
      </c>
      <c r="E219" s="30">
        <v>3.0989018805200295</v>
      </c>
      <c r="F219" s="30">
        <v>5.2238416120938229</v>
      </c>
      <c r="G219" s="31">
        <v>2.4445253492355783</v>
      </c>
      <c r="J219" s="25"/>
      <c r="K219" s="25">
        <f t="shared" si="6"/>
        <v>1.75</v>
      </c>
    </row>
    <row r="220" spans="1:11" ht="15" customHeight="1" x14ac:dyDescent="0.25">
      <c r="A220" s="29">
        <v>1.76</v>
      </c>
      <c r="B220" s="30">
        <v>0.19451765382881223</v>
      </c>
      <c r="C220" s="30">
        <v>0.78881135876493236</v>
      </c>
      <c r="D220" s="30">
        <v>1.6817464206447885</v>
      </c>
      <c r="E220" s="30">
        <v>3.0954584952277524</v>
      </c>
      <c r="F220" s="30">
        <v>5.2057762446037739</v>
      </c>
      <c r="G220" s="31">
        <v>2.4417328216210561</v>
      </c>
      <c r="J220" s="25"/>
      <c r="K220" s="25">
        <f t="shared" si="6"/>
        <v>1.76</v>
      </c>
    </row>
    <row r="221" spans="1:11" ht="15" customHeight="1" x14ac:dyDescent="0.25">
      <c r="A221" s="29">
        <v>1.77</v>
      </c>
      <c r="B221" s="30">
        <v>0.19406366298808897</v>
      </c>
      <c r="C221" s="30">
        <v>0.78878557566597496</v>
      </c>
      <c r="D221" s="30">
        <v>1.6778213400345534</v>
      </c>
      <c r="E221" s="30">
        <v>3.0920302185931727</v>
      </c>
      <c r="F221" s="30">
        <v>5.1878742847873314</v>
      </c>
      <c r="G221" s="31">
        <v>2.4389488359496063</v>
      </c>
      <c r="J221" s="25"/>
      <c r="K221" s="25">
        <f t="shared" si="6"/>
        <v>1.77</v>
      </c>
    </row>
    <row r="222" spans="1:11" ht="15" customHeight="1" x14ac:dyDescent="0.25">
      <c r="A222" s="29">
        <v>1.78</v>
      </c>
      <c r="B222" s="30">
        <v>0.19361375406773551</v>
      </c>
      <c r="C222" s="30">
        <v>0.78875867461998772</v>
      </c>
      <c r="D222" s="30">
        <v>1.6739315505911414</v>
      </c>
      <c r="E222" s="30">
        <v>3.0886169050127901</v>
      </c>
      <c r="F222" s="30">
        <v>5.1701332849900696</v>
      </c>
      <c r="G222" s="31">
        <v>2.436173376406777</v>
      </c>
      <c r="J222" s="25"/>
      <c r="K222" s="25">
        <f t="shared" si="6"/>
        <v>1.78</v>
      </c>
    </row>
    <row r="223" spans="1:11" ht="15" customHeight="1" x14ac:dyDescent="0.25">
      <c r="A223" s="29">
        <v>1.79</v>
      </c>
      <c r="B223" s="30">
        <v>0.19316786627381274</v>
      </c>
      <c r="C223" s="30">
        <v>0.78873068351611819</v>
      </c>
      <c r="D223" s="30">
        <v>1.6700765267067863</v>
      </c>
      <c r="E223" s="30">
        <v>3.0852184109909246</v>
      </c>
      <c r="F223" s="30">
        <v>5.152550847959553</v>
      </c>
      <c r="G223" s="31">
        <v>2.4334064260973842</v>
      </c>
      <c r="J223" s="25"/>
      <c r="K223" s="25">
        <f t="shared" si="6"/>
        <v>1.79</v>
      </c>
    </row>
    <row r="224" spans="1:11" ht="15" customHeight="1" x14ac:dyDescent="0.25">
      <c r="A224" s="29">
        <v>1.8</v>
      </c>
      <c r="B224" s="30">
        <v>0.1927259400574225</v>
      </c>
      <c r="C224" s="30">
        <v>0.78870162953082934</v>
      </c>
      <c r="D224" s="30">
        <v>1.6662557535380051</v>
      </c>
      <c r="E224" s="30">
        <v>3.0818345951002786</v>
      </c>
      <c r="F224" s="30">
        <v>5.1351246255383076</v>
      </c>
      <c r="G224" s="31">
        <v>2.4306479671000734</v>
      </c>
      <c r="J224" s="25"/>
      <c r="K224" s="25">
        <f t="shared" si="6"/>
        <v>1.8</v>
      </c>
    </row>
    <row r="225" spans="1:11" ht="15" customHeight="1" x14ac:dyDescent="0.25">
      <c r="A225" s="29">
        <v>1.81</v>
      </c>
      <c r="B225" s="30">
        <v>0.19228791708259099</v>
      </c>
      <c r="C225" s="30">
        <v>0.78867153914908716</v>
      </c>
      <c r="D225" s="30">
        <v>1.6624687267279277</v>
      </c>
      <c r="E225" s="30">
        <v>3.0784653179433814</v>
      </c>
      <c r="F225" s="30">
        <v>5.1178523173974195</v>
      </c>
      <c r="G225" s="31">
        <v>2.4278979805194907</v>
      </c>
      <c r="J225" s="25"/>
      <c r="K225" s="25">
        <f t="shared" si="6"/>
        <v>1.81</v>
      </c>
    </row>
    <row r="226" spans="1:11" ht="15" customHeight="1" x14ac:dyDescent="0.25">
      <c r="A226" s="29">
        <v>1.82</v>
      </c>
      <c r="B226" s="30">
        <v>0.19185374019514573</v>
      </c>
      <c r="C226" s="30">
        <v>0.78864043818481255</v>
      </c>
      <c r="D226" s="30">
        <v>1.6587149521372142</v>
      </c>
      <c r="E226" s="30">
        <v>3.0751104421148967</v>
      </c>
      <c r="F226" s="30">
        <v>5.1007316698092566</v>
      </c>
      <c r="G226" s="31">
        <v>2.4251564465361848</v>
      </c>
      <c r="J226" s="25"/>
      <c r="K226" s="25">
        <f t="shared" si="6"/>
        <v>1.82</v>
      </c>
    </row>
    <row r="227" spans="1:11" ht="15" customHeight="1" x14ac:dyDescent="0.25">
      <c r="A227" s="29">
        <v>1.83</v>
      </c>
      <c r="B227" s="30">
        <v>0.19142335339254885</v>
      </c>
      <c r="C227" s="30">
        <v>0.78860835180062205</v>
      </c>
      <c r="D227" s="30">
        <v>1.6549939455832434</v>
      </c>
      <c r="E227" s="30">
        <v>3.071769832164772</v>
      </c>
      <c r="F227" s="30">
        <v>5.0837604744579519</v>
      </c>
      <c r="G227" s="31">
        <v>2.4224233444543342</v>
      </c>
      <c r="J227" s="25"/>
      <c r="K227" s="25">
        <f t="shared" si="6"/>
        <v>1.83</v>
      </c>
    </row>
    <row r="228" spans="1:11" ht="15" customHeight="1" x14ac:dyDescent="0.25">
      <c r="A228" s="29">
        <v>1.84</v>
      </c>
      <c r="B228" s="30">
        <v>0.19099670179465358</v>
      </c>
      <c r="C228" s="30">
        <v>0.78857530452688818</v>
      </c>
      <c r="D228" s="30">
        <v>1.6513052325872795</v>
      </c>
      <c r="E228" s="30">
        <v>3.0684433545621994</v>
      </c>
      <c r="F228" s="30">
        <v>5.0669365672862243</v>
      </c>
      <c r="G228" s="31">
        <v>2.4196986527473929</v>
      </c>
      <c r="J228" s="25"/>
      <c r="K228" s="25">
        <f t="shared" si="6"/>
        <v>1.84</v>
      </c>
    </row>
    <row r="229" spans="1:11" ht="15" customHeight="1" x14ac:dyDescent="0.25">
      <c r="A229" s="29">
        <v>1.85</v>
      </c>
      <c r="B229" s="30">
        <v>0.19057373161535066</v>
      </c>
      <c r="C229" s="30">
        <v>0.78854132028014834</v>
      </c>
      <c r="D229" s="30">
        <v>1.6476483481293362</v>
      </c>
      <c r="E229" s="30">
        <v>3.0651308776603794</v>
      </c>
      <c r="F229" s="30">
        <v>5.0502578273773437</v>
      </c>
      <c r="G229" s="31">
        <v>2.4169823491017652</v>
      </c>
      <c r="J229" s="25"/>
      <c r="K229" s="25">
        <f t="shared" si="6"/>
        <v>1.85</v>
      </c>
    </row>
    <row r="230" spans="1:11" ht="15" customHeight="1" x14ac:dyDescent="0.25">
      <c r="A230" s="29">
        <v>1.86</v>
      </c>
      <c r="B230" s="30">
        <v>0.19015439013507379</v>
      </c>
      <c r="C230" s="30">
        <v>0.78850642238088287</v>
      </c>
      <c r="D230" s="30">
        <v>1.6440228364104659</v>
      </c>
      <c r="E230" s="30">
        <v>3.0618322716620683</v>
      </c>
      <c r="F230" s="30">
        <v>5.0337221758709738</v>
      </c>
      <c r="G230" s="31">
        <v>2.4142744104585887</v>
      </c>
      <c r="J230" s="25"/>
      <c r="K230" s="25">
        <f t="shared" si="6"/>
        <v>1.86</v>
      </c>
    </row>
    <row r="231" spans="1:11" ht="15" customHeight="1" x14ac:dyDescent="0.25">
      <c r="A231" s="29">
        <v>1.87</v>
      </c>
      <c r="B231" s="30">
        <v>0.18973862567413327</v>
      </c>
      <c r="C231" s="30">
        <v>0.78847063357069458</v>
      </c>
      <c r="D231" s="30">
        <v>1.6404282506222096</v>
      </c>
      <c r="E231" s="30">
        <v>3.0585474085858704</v>
      </c>
      <c r="F231" s="30">
        <v>5.0173275749116124</v>
      </c>
      <c r="G231" s="31">
        <v>2.4115748130537074</v>
      </c>
      <c r="J231" s="25"/>
      <c r="K231" s="25">
        <f t="shared" si="6"/>
        <v>1.87</v>
      </c>
    </row>
    <row r="232" spans="1:11" ht="15" customHeight="1" x14ac:dyDescent="0.25">
      <c r="A232" s="29">
        <v>1.88</v>
      </c>
      <c r="B232" s="30">
        <v>0.18932638756684964</v>
      </c>
      <c r="C232" s="30">
        <v>0.78843397602890408</v>
      </c>
      <c r="D232" s="30">
        <v>1.636864152722963</v>
      </c>
      <c r="E232" s="30">
        <v>3.0552761622332834</v>
      </c>
      <c r="F232" s="30">
        <v>5.0010720266286484</v>
      </c>
      <c r="G232" s="31">
        <v>2.4088835324559188</v>
      </c>
      <c r="J232" s="25"/>
      <c r="K232" s="25">
        <f t="shared" si="6"/>
        <v>1.88</v>
      </c>
    </row>
    <row r="233" spans="1:11" ht="15" customHeight="1" x14ac:dyDescent="0.25">
      <c r="A233" s="29">
        <v>1.89</v>
      </c>
      <c r="B233" s="30">
        <v>0.18891762613645882</v>
      </c>
      <c r="C233" s="30">
        <v>0.78839647138859448</v>
      </c>
      <c r="D233" s="30">
        <v>1.6333301132210143</v>
      </c>
      <c r="E233" s="30">
        <v>3.0520184081564605</v>
      </c>
      <c r="F233" s="30">
        <v>4.9849535721468117</v>
      </c>
      <c r="G233" s="31">
        <v>2.4062005436035885</v>
      </c>
      <c r="J233" s="25"/>
      <c r="K233" s="25">
        <f t="shared" si="6"/>
        <v>1.89</v>
      </c>
    </row>
    <row r="234" spans="1:11" ht="15" customHeight="1" x14ac:dyDescent="0.25">
      <c r="A234" s="29">
        <v>1.9</v>
      </c>
      <c r="B234" s="30">
        <v>0.18851229267076222</v>
      </c>
      <c r="C234" s="30">
        <v>0.78835814075211508</v>
      </c>
      <c r="D234" s="30">
        <v>1.6298257109640206</v>
      </c>
      <c r="E234" s="30">
        <v>3.0487740236266694</v>
      </c>
      <c r="F234" s="30">
        <v>4.9689702906259727</v>
      </c>
      <c r="G234" s="31">
        <v>2.4035258208396661</v>
      </c>
      <c r="J234" s="25"/>
      <c r="K234" s="25">
        <f t="shared" si="6"/>
        <v>1.9</v>
      </c>
    </row>
    <row r="235" spans="1:11" ht="15" customHeight="1" x14ac:dyDescent="0.25">
      <c r="A235" s="29">
        <v>1.91</v>
      </c>
      <c r="B235" s="30">
        <v>0.18811033939849681</v>
      </c>
      <c r="C235" s="30">
        <v>0.78831900470607597</v>
      </c>
      <c r="D235" s="30">
        <v>1.6263505329347105</v>
      </c>
      <c r="E235" s="30">
        <v>3.0455428876034496</v>
      </c>
      <c r="F235" s="30">
        <v>4.9531202983293854</v>
      </c>
      <c r="G235" s="31">
        <v>2.4008593379452199</v>
      </c>
      <c r="J235" s="25"/>
      <c r="K235" s="25">
        <f t="shared" si="6"/>
        <v>1.91</v>
      </c>
    </row>
    <row r="236" spans="1:11" ht="15" customHeight="1" x14ac:dyDescent="0.25">
      <c r="A236" s="29">
        <v>1.92</v>
      </c>
      <c r="B236" s="30">
        <v>0.18771171946639917</v>
      </c>
      <c r="C236" s="30">
        <v>0.78827908333584451</v>
      </c>
      <c r="D236" s="30">
        <v>1.6229041740525865</v>
      </c>
      <c r="E236" s="30">
        <v>3.0423248807044283</v>
      </c>
      <c r="F236" s="30">
        <v>4.9374017477192549</v>
      </c>
      <c r="G236" s="31">
        <v>2.3982010681715193</v>
      </c>
      <c r="J236" s="25"/>
      <c r="K236" s="25">
        <f t="shared" ref="K236:K299" si="7">A236</f>
        <v>1.92</v>
      </c>
    </row>
    <row r="237" spans="1:11" ht="15" customHeight="1" x14ac:dyDescent="0.25">
      <c r="A237" s="29">
        <v>1.93</v>
      </c>
      <c r="B237" s="30">
        <v>0.18731638691694127</v>
      </c>
      <c r="C237" s="30">
        <v>0.78823839623956682</v>
      </c>
      <c r="D237" s="30">
        <v>1.6194862369814336</v>
      </c>
      <c r="E237" s="30">
        <v>3.0391198851757912</v>
      </c>
      <c r="F237" s="30">
        <v>4.9218128265787868</v>
      </c>
      <c r="G237" s="31">
        <v>2.3955509842707423</v>
      </c>
      <c r="J237" s="25"/>
      <c r="K237" s="25">
        <f t="shared" si="7"/>
        <v>1.93</v>
      </c>
    </row>
    <row r="238" spans="1:11" ht="15" customHeight="1" x14ac:dyDescent="0.25">
      <c r="A238" s="29">
        <v>1.94</v>
      </c>
      <c r="B238" s="30">
        <v>0.18692429666671428</v>
      </c>
      <c r="C238" s="30">
        <v>0.78819696254173366</v>
      </c>
      <c r="D238" s="30">
        <v>1.6160963319424324</v>
      </c>
      <c r="E238" s="30">
        <v>3.0359277848633979</v>
      </c>
      <c r="F238" s="30">
        <v>4.9063517571598494</v>
      </c>
      <c r="G238" s="31">
        <v>2.392909058525384</v>
      </c>
      <c r="J238" s="25"/>
      <c r="K238" s="25">
        <f t="shared" si="7"/>
        <v>1.94</v>
      </c>
    </row>
    <row r="239" spans="1:11" ht="15" customHeight="1" x14ac:dyDescent="0.25">
      <c r="A239" s="29">
        <v>1.95</v>
      </c>
      <c r="B239" s="30">
        <v>0.18653540448543784</v>
      </c>
      <c r="C239" s="30">
        <v>0.78815480090630219</v>
      </c>
      <c r="D239" s="30">
        <v>1.6127340765326794</v>
      </c>
      <c r="E239" s="30">
        <v>3.0327484651845014</v>
      </c>
      <c r="F239" s="30">
        <v>4.8910167953552284</v>
      </c>
      <c r="G239" s="31">
        <v>2.3902752627763841</v>
      </c>
      <c r="J239" s="25"/>
      <c r="K239" s="25">
        <f t="shared" si="7"/>
        <v>1.95</v>
      </c>
    </row>
    <row r="240" spans="1:11" ht="15" customHeight="1" x14ac:dyDescent="0.25">
      <c r="A240" s="29">
        <v>1.96</v>
      </c>
      <c r="B240" s="30">
        <v>0.18614966697557628</v>
      </c>
      <c r="C240" s="30">
        <v>0.78811192954939779</v>
      </c>
      <c r="D240" s="30">
        <v>1.6093990955489532</v>
      </c>
      <c r="E240" s="30">
        <v>3.029581813100088</v>
      </c>
      <c r="F240" s="30">
        <v>4.875806229894839</v>
      </c>
      <c r="G240" s="31">
        <v>2.3876495684500734</v>
      </c>
      <c r="J240" s="25"/>
      <c r="K240" s="25">
        <f t="shared" si="7"/>
        <v>1.96</v>
      </c>
    </row>
    <row r="241" spans="1:11" ht="15" customHeight="1" x14ac:dyDescent="0.25">
      <c r="A241" s="29">
        <v>1.97</v>
      </c>
      <c r="B241" s="30">
        <v>0.18576704155253804</v>
      </c>
      <c r="C241" s="30">
        <v>0.78806836625160415</v>
      </c>
      <c r="D241" s="30">
        <v>1.6060910208165253</v>
      </c>
      <c r="E241" s="30">
        <v>3.0264277170878011</v>
      </c>
      <c r="F241" s="30">
        <v>4.8607183815649728</v>
      </c>
      <c r="G241" s="31">
        <v>2.3850319465839553</v>
      </c>
      <c r="J241" s="25"/>
      <c r="K241" s="25">
        <f t="shared" si="7"/>
        <v>1.97</v>
      </c>
    </row>
    <row r="242" spans="1:11" ht="15" customHeight="1" x14ac:dyDescent="0.25">
      <c r="A242" s="29">
        <v>1.98</v>
      </c>
      <c r="B242" s="30">
        <v>0.18538748642544212</v>
      </c>
      <c r="C242" s="30">
        <v>0.78802412836986357</v>
      </c>
      <c r="D242" s="30">
        <v>1.6028094910228712</v>
      </c>
      <c r="E242" s="30">
        <v>3.023286067115444</v>
      </c>
      <c r="F242" s="30">
        <v>4.8457516024498428</v>
      </c>
      <c r="G242" s="31">
        <v>2.3824223678514005</v>
      </c>
      <c r="J242" s="25"/>
      <c r="K242" s="25">
        <f t="shared" si="7"/>
        <v>1.98</v>
      </c>
    </row>
    <row r="243" spans="1:11" ht="15" customHeight="1" x14ac:dyDescent="0.25">
      <c r="A243" s="29">
        <v>1.99</v>
      </c>
      <c r="B243" s="30">
        <v>0.18501096057842967</v>
      </c>
      <c r="C243" s="30">
        <v>0.78797923284899629</v>
      </c>
      <c r="D243" s="30">
        <v>1.599554151556096</v>
      </c>
      <c r="E243" s="30">
        <v>3.0201567546150372</v>
      </c>
      <c r="F243" s="30">
        <v>4.8309042751946683</v>
      </c>
      <c r="G243" s="31">
        <v>2.3798208025852712</v>
      </c>
      <c r="J243" s="25"/>
      <c r="K243" s="25">
        <f t="shared" si="7"/>
        <v>1.99</v>
      </c>
    </row>
    <row r="244" spans="1:11" ht="15" customHeight="1" x14ac:dyDescent="0.25">
      <c r="A244" s="29">
        <v>2</v>
      </c>
      <c r="B244" s="30">
        <v>0.18463742375250583</v>
      </c>
      <c r="C244" s="30">
        <v>0.7879336962328567</v>
      </c>
      <c r="D244" s="30">
        <v>1.5963246543479441</v>
      </c>
      <c r="E244" s="30">
        <v>3.017039672457436</v>
      </c>
      <c r="F244" s="30">
        <v>4.8161748122896517</v>
      </c>
      <c r="G244" s="31">
        <v>2.3772272208005547</v>
      </c>
      <c r="J244" s="25"/>
      <c r="K244" s="25">
        <f t="shared" si="7"/>
        <v>2</v>
      </c>
    </row>
    <row r="245" spans="1:11" ht="15" customHeight="1" x14ac:dyDescent="0.25">
      <c r="A245" s="29">
        <v>2.0099999999999998</v>
      </c>
      <c r="B245" s="30">
        <v>0.18426683642789146</v>
      </c>
      <c r="C245" s="30">
        <v>0.78788753467513917</v>
      </c>
      <c r="D245" s="30">
        <v>1.5931206577212162</v>
      </c>
      <c r="E245" s="30">
        <v>3.0139347149274704</v>
      </c>
      <c r="F245" s="30">
        <v>4.8015616553740559</v>
      </c>
      <c r="G245" s="31">
        <v>2.3746415922160229</v>
      </c>
      <c r="J245" s="25"/>
      <c r="K245" s="25">
        <f t="shared" si="7"/>
        <v>2.0099999999999998</v>
      </c>
    </row>
    <row r="246" spans="1:11" ht="15" customHeight="1" x14ac:dyDescent="0.25">
      <c r="A246" s="29">
        <v>2.02</v>
      </c>
      <c r="B246" s="30">
        <v>0.18389915980687038</v>
      </c>
      <c r="C246" s="30">
        <v>0.7878407639498427</v>
      </c>
      <c r="D246" s="30">
        <v>1.5899418262414722</v>
      </c>
      <c r="E246" s="30">
        <v>3.0108417776996204</v>
      </c>
      <c r="F246" s="30">
        <v>4.7870632745598529</v>
      </c>
      <c r="G246" s="31">
        <v>2.3720638862749714</v>
      </c>
      <c r="J246" s="25"/>
      <c r="K246" s="25">
        <f t="shared" si="7"/>
        <v>2.02</v>
      </c>
    </row>
    <row r="247" spans="1:11" ht="15" customHeight="1" x14ac:dyDescent="0.25">
      <c r="A247" s="29">
        <v>2.0299999999999998</v>
      </c>
      <c r="B247" s="30">
        <v>0.18353435579711447</v>
      </c>
      <c r="C247" s="30">
        <v>0.78779339946141114</v>
      </c>
      <c r="D247" s="30">
        <v>1.5867878305728642</v>
      </c>
      <c r="E247" s="30">
        <v>3.0077607578141863</v>
      </c>
      <c r="F247" s="30">
        <v>4.7726781677741643</v>
      </c>
      <c r="G247" s="31">
        <v>2.3694940721650681</v>
      </c>
      <c r="J247" s="25"/>
      <c r="K247" s="25">
        <f t="shared" si="7"/>
        <v>2.0299999999999998</v>
      </c>
    </row>
    <row r="248" spans="1:11" ht="15" customHeight="1" x14ac:dyDescent="0.25">
      <c r="A248" s="29">
        <v>2.04</v>
      </c>
      <c r="B248" s="30">
        <v>0.18317238699547211</v>
      </c>
      <c r="C248" s="30">
        <v>0.78774545625456127</v>
      </c>
      <c r="D248" s="30">
        <v>1.5836583473379755</v>
      </c>
      <c r="E248" s="30">
        <v>3.0046915536539682</v>
      </c>
      <c r="F248" s="30">
        <v>4.7584048601200148</v>
      </c>
      <c r="G248" s="31">
        <v>2.3669321188373718</v>
      </c>
      <c r="J248" s="25"/>
      <c r="K248" s="25">
        <f t="shared" si="7"/>
        <v>2.04</v>
      </c>
    </row>
    <row r="249" spans="1:11" ht="15" customHeight="1" x14ac:dyDescent="0.25">
      <c r="A249" s="29">
        <v>2.0499999999999998</v>
      </c>
      <c r="B249" s="30">
        <v>0.18281321667220407</v>
      </c>
      <c r="C249" s="30">
        <v>0.78769694902380227</v>
      </c>
      <c r="D249" s="30">
        <v>1.5805530589815293</v>
      </c>
      <c r="E249" s="30">
        <v>3.0016340649214248</v>
      </c>
      <c r="F249" s="30">
        <v>4.7442419032547214</v>
      </c>
      <c r="G249" s="31">
        <v>2.3643779950245198</v>
      </c>
      <c r="J249" s="25"/>
      <c r="K249" s="25">
        <f t="shared" si="7"/>
        <v>2.0499999999999998</v>
      </c>
    </row>
    <row r="250" spans="1:11" ht="15" customHeight="1" x14ac:dyDescent="0.25">
      <c r="A250" s="29">
        <v>2.06</v>
      </c>
      <c r="B250" s="30">
        <v>0.18245680875565323</v>
      </c>
      <c r="C250" s="30">
        <v>0.78764789212266639</v>
      </c>
      <c r="D250" s="30">
        <v>1.5774716536378461</v>
      </c>
      <c r="E250" s="30">
        <v>2.9985881926162996</v>
      </c>
      <c r="F250" s="30">
        <v>4.7301878747853552</v>
      </c>
      <c r="G250" s="31">
        <v>2.3618316692581445</v>
      </c>
      <c r="J250" s="25"/>
      <c r="K250" s="25">
        <f t="shared" si="7"/>
        <v>2.06</v>
      </c>
    </row>
    <row r="251" spans="1:11" ht="15" customHeight="1" x14ac:dyDescent="0.25">
      <c r="A251" s="29">
        <v>2.0699999999999998</v>
      </c>
      <c r="B251" s="30">
        <v>0.18210312781733473</v>
      </c>
      <c r="C251" s="30">
        <v>0.78759829957265814</v>
      </c>
      <c r="D251" s="30">
        <v>1.5744138250019377</v>
      </c>
      <c r="E251" s="30">
        <v>2.9955538390137288</v>
      </c>
      <c r="F251" s="30">
        <v>4.7162413776808414</v>
      </c>
      <c r="G251" s="31">
        <v>2.3592931098855612</v>
      </c>
      <c r="J251" s="25"/>
      <c r="K251" s="25">
        <f t="shared" si="7"/>
        <v>2.0699999999999998</v>
      </c>
    </row>
    <row r="252" spans="1:11" ht="15" customHeight="1" x14ac:dyDescent="0.25">
      <c r="A252" s="29">
        <v>2.08</v>
      </c>
      <c r="B252" s="30">
        <v>0.18175213905743073</v>
      </c>
      <c r="C252" s="30">
        <v>0.78754818507192936</v>
      </c>
      <c r="D252" s="30">
        <v>1.5713792722040998</v>
      </c>
      <c r="E252" s="30">
        <v>2.9925309076427777</v>
      </c>
      <c r="F252" s="30">
        <v>4.7024010396999802</v>
      </c>
      <c r="G252" s="31">
        <v>2.3567622850857233</v>
      </c>
      <c r="J252" s="25"/>
      <c r="K252" s="25">
        <f t="shared" si="7"/>
        <v>2.08</v>
      </c>
    </row>
    <row r="253" spans="1:11" ht="15" customHeight="1" x14ac:dyDescent="0.25">
      <c r="A253" s="29">
        <v>2.09</v>
      </c>
      <c r="B253" s="30">
        <v>0.18140380829068042</v>
      </c>
      <c r="C253" s="30">
        <v>0.78749756200369181</v>
      </c>
      <c r="D253" s="30">
        <v>1.5683676996879192</v>
      </c>
      <c r="E253" s="30">
        <v>2.9895193032654293</v>
      </c>
      <c r="F253" s="30">
        <v>4.6886655128350307</v>
      </c>
      <c r="G253" s="31">
        <v>2.3542391628845007</v>
      </c>
      <c r="J253" s="25"/>
      <c r="K253" s="25">
        <f t="shared" si="7"/>
        <v>2.09</v>
      </c>
    </row>
    <row r="254" spans="1:11" ht="15" customHeight="1" x14ac:dyDescent="0.25">
      <c r="A254" s="29">
        <v>2.1</v>
      </c>
      <c r="B254" s="30">
        <v>0.1810581019326501</v>
      </c>
      <c r="C254" s="30">
        <v>0.78744644344437909</v>
      </c>
      <c r="D254" s="30">
        <v>1.5653788170915699</v>
      </c>
      <c r="E254" s="30">
        <v>2.9865189318560019</v>
      </c>
      <c r="F254" s="30">
        <v>4.6750334727703269</v>
      </c>
      <c r="G254" s="31">
        <v>2.3517237111693148</v>
      </c>
      <c r="J254" s="25"/>
      <c r="K254" s="25">
        <f t="shared" si="7"/>
        <v>2.1</v>
      </c>
    </row>
    <row r="255" spans="1:11" ht="15" customHeight="1" x14ac:dyDescent="0.25">
      <c r="A255" s="29">
        <v>2.11</v>
      </c>
      <c r="B255" s="30">
        <v>0.18071498698637242</v>
      </c>
      <c r="C255" s="30">
        <v>0.78739484217155842</v>
      </c>
      <c r="D255" s="30">
        <v>1.562412339132299</v>
      </c>
      <c r="E255" s="30">
        <v>2.9835297005809847</v>
      </c>
      <c r="F255" s="30">
        <v>4.6615036183554244</v>
      </c>
      <c r="G255" s="31">
        <v>2.3492158977031212</v>
      </c>
      <c r="J255" s="25"/>
      <c r="K255" s="25">
        <f t="shared" si="7"/>
        <v>2.11</v>
      </c>
    </row>
    <row r="256" spans="1:11" ht="15" customHeight="1" x14ac:dyDescent="0.25">
      <c r="A256" s="29">
        <v>2.12</v>
      </c>
      <c r="B256" s="30">
        <v>0.18037443102934322</v>
      </c>
      <c r="C256" s="30">
        <v>0.78734277067161385</v>
      </c>
      <c r="D256" s="30">
        <v>1.5594679854940059</v>
      </c>
      <c r="E256" s="30">
        <v>2.980551517779281</v>
      </c>
      <c r="F256" s="30">
        <v>4.6480746710923553</v>
      </c>
      <c r="G256" s="31">
        <v>2.346715690137823</v>
      </c>
      <c r="J256" s="25"/>
      <c r="K256" s="25">
        <f t="shared" si="7"/>
        <v>2.12</v>
      </c>
    </row>
    <row r="257" spans="1:11" ht="15" customHeight="1" x14ac:dyDescent="0.25">
      <c r="A257" s="29">
        <v>2.13</v>
      </c>
      <c r="B257" s="30">
        <v>0.180036402200865</v>
      </c>
      <c r="C257" s="30">
        <v>0.78729024114719393</v>
      </c>
      <c r="D257" s="30">
        <v>1.5565454807178158</v>
      </c>
      <c r="E257" s="30">
        <v>2.9775842929428582</v>
      </c>
      <c r="F257" s="30">
        <v>4.6347453746365579</v>
      </c>
      <c r="G257" s="31">
        <v>2.3442230560270798</v>
      </c>
      <c r="J257" s="25"/>
      <c r="K257" s="25">
        <f t="shared" si="7"/>
        <v>2.13</v>
      </c>
    </row>
    <row r="258" spans="1:11" ht="15" customHeight="1" x14ac:dyDescent="0.25">
      <c r="A258" s="29">
        <v>2.14</v>
      </c>
      <c r="B258" s="30">
        <v>0.17970086918972533</v>
      </c>
      <c r="C258" s="30">
        <v>0.78723726552444329</v>
      </c>
      <c r="D258" s="30">
        <v>1.5536445540955519</v>
      </c>
      <c r="E258" s="30">
        <v>2.9746279366977784</v>
      </c>
      <c r="F258" s="30">
        <v>4.6215144943109907</v>
      </c>
      <c r="G258" s="31">
        <v>2.3417379628385757</v>
      </c>
      <c r="J258" s="25"/>
      <c r="K258" s="25">
        <f t="shared" si="7"/>
        <v>2.14</v>
      </c>
    </row>
    <row r="259" spans="1:11" ht="15" customHeight="1" x14ac:dyDescent="0.25">
      <c r="A259" s="29">
        <v>2.15</v>
      </c>
      <c r="B259" s="30">
        <v>0.17936780122220169</v>
      </c>
      <c r="C259" s="30">
        <v>0.78718385546002245</v>
      </c>
      <c r="D259" s="30">
        <v>1.5507649395660283</v>
      </c>
      <c r="E259" s="30">
        <v>2.9716823607856209</v>
      </c>
      <c r="F259" s="30">
        <v>4.6083808166331446</v>
      </c>
      <c r="G259" s="31">
        <v>2.3392603779657666</v>
      </c>
      <c r="J259" s="25"/>
      <c r="K259" s="25">
        <f t="shared" si="7"/>
        <v>2.15</v>
      </c>
    </row>
    <row r="260" spans="1:11" ht="15" customHeight="1" x14ac:dyDescent="0.25">
      <c r="A260" s="29">
        <v>2.16</v>
      </c>
      <c r="B260" s="30">
        <v>0.17903716805038003</v>
      </c>
      <c r="C260" s="30">
        <v>0.78713002234791696</v>
      </c>
      <c r="D260" s="30">
        <v>1.5479063756140548</v>
      </c>
      <c r="E260" s="30">
        <v>2.9687474780452687</v>
      </c>
      <c r="F260" s="30">
        <v>4.5953431488544156</v>
      </c>
      <c r="G260" s="31">
        <v>2.3367902687390947</v>
      </c>
      <c r="J260" s="25"/>
      <c r="K260" s="25">
        <f t="shared" si="7"/>
        <v>2.16</v>
      </c>
    </row>
    <row r="261" spans="1:11" ht="15" customHeight="1" x14ac:dyDescent="0.25">
      <c r="A261" s="29">
        <v>2.17</v>
      </c>
      <c r="B261" s="30">
        <v>0.17870893994078052</v>
      </c>
      <c r="C261" s="30">
        <v>0.78707577732605394</v>
      </c>
      <c r="D261" s="30">
        <v>1.545068605172099</v>
      </c>
      <c r="E261" s="30">
        <v>2.965823202395065</v>
      </c>
      <c r="F261" s="30">
        <v>4.5824003185115911</v>
      </c>
      <c r="G261" s="31">
        <v>2.3343276024367423</v>
      </c>
      <c r="J261" s="25"/>
      <c r="K261" s="25">
        <f t="shared" si="7"/>
        <v>2.17</v>
      </c>
    </row>
    <row r="262" spans="1:11" ht="15" customHeight="1" x14ac:dyDescent="0.25">
      <c r="A262" s="29">
        <v>2.1800000000000002</v>
      </c>
      <c r="B262" s="30">
        <v>0.17838308766327837</v>
      </c>
      <c r="C262" s="30">
        <v>0.78702113128272311</v>
      </c>
      <c r="D262" s="30">
        <v>1.5422513755244986</v>
      </c>
      <c r="E262" s="30">
        <v>2.9629094488153189</v>
      </c>
      <c r="F262" s="30">
        <v>4.5695511729899581</v>
      </c>
      <c r="G262" s="31">
        <v>2.3318723462949018</v>
      </c>
      <c r="J262" s="25"/>
      <c r="K262" s="25">
        <f t="shared" si="7"/>
        <v>2.1800000000000002</v>
      </c>
    </row>
    <row r="263" spans="1:11" ht="15" customHeight="1" x14ac:dyDescent="0.25">
      <c r="A263" s="29">
        <v>2.19</v>
      </c>
      <c r="B263" s="30">
        <v>0.17805958248031289</v>
      </c>
      <c r="C263" s="30">
        <v>0.78696609486281166</v>
      </c>
      <c r="D263" s="30">
        <v>1.5394544382141657</v>
      </c>
      <c r="E263" s="30">
        <v>2.9600061333311665</v>
      </c>
      <c r="F263" s="30">
        <v>4.5567945790978159</v>
      </c>
      <c r="G263" s="31">
        <v>2.3294244675175992</v>
      </c>
      <c r="J263" s="25"/>
      <c r="K263" s="25">
        <f t="shared" si="7"/>
        <v>2.19</v>
      </c>
    </row>
    <row r="264" spans="1:11" ht="15" customHeight="1" x14ac:dyDescent="0.25">
      <c r="A264" s="29">
        <v>2.2000000000000002</v>
      </c>
      <c r="B264" s="30">
        <v>0.1777383961363744</v>
      </c>
      <c r="C264" s="30">
        <v>0.78691067847386331</v>
      </c>
      <c r="D264" s="30">
        <v>1.5366775489516933</v>
      </c>
      <c r="E264" s="30">
        <v>2.9571131729957596</v>
      </c>
      <c r="F264" s="30">
        <v>4.5441294226518893</v>
      </c>
      <c r="G264" s="31">
        <v>2.3269839332860918</v>
      </c>
      <c r="J264" s="25"/>
      <c r="K264" s="25">
        <f t="shared" si="7"/>
        <v>2.2000000000000002</v>
      </c>
    </row>
    <row r="265" spans="1:11" ht="15" customHeight="1" x14ac:dyDescent="0.25">
      <c r="A265" s="29">
        <v>2.21</v>
      </c>
      <c r="B265" s="30">
        <v>0.17741950084776195</v>
      </c>
      <c r="C265" s="30">
        <v>0.78685489229195915</v>
      </c>
      <c r="D265" s="30">
        <v>1.5339204675268041</v>
      </c>
      <c r="E265" s="30">
        <v>2.9542304858737971</v>
      </c>
      <c r="F265" s="30">
        <v>4.5315546080734697</v>
      </c>
      <c r="G265" s="31">
        <v>2.3245507107678489</v>
      </c>
      <c r="J265" s="25"/>
      <c r="K265" s="25">
        <f t="shared" si="7"/>
        <v>2.21</v>
      </c>
    </row>
    <row r="266" spans="1:11" ht="15" customHeight="1" x14ac:dyDescent="0.25">
      <c r="A266" s="29">
        <v>2.2200000000000002</v>
      </c>
      <c r="B266" s="30">
        <v>0.17710286929260316</v>
      </c>
      <c r="C266" s="30">
        <v>0.78679874626743673</v>
      </c>
      <c r="D266" s="30">
        <v>1.5311829577220635</v>
      </c>
      <c r="E266" s="30">
        <v>2.9513579910253762</v>
      </c>
      <c r="F266" s="30">
        <v>4.5190690579948827</v>
      </c>
      <c r="G266" s="31">
        <v>2.3221247671251466</v>
      </c>
      <c r="J266" s="25"/>
      <c r="K266" s="25">
        <f t="shared" si="7"/>
        <v>2.2200000000000002</v>
      </c>
    </row>
    <row r="267" spans="1:11" ht="15" customHeight="1" x14ac:dyDescent="0.25">
      <c r="A267" s="29">
        <v>2.23</v>
      </c>
      <c r="B267" s="30">
        <v>0.17678847460112776</v>
      </c>
      <c r="C267" s="30">
        <v>0.78674225013043819</v>
      </c>
      <c r="D267" s="30">
        <v>1.5284647872287889</v>
      </c>
      <c r="E267" s="30">
        <v>2.9484956084901501</v>
      </c>
      <c r="F267" s="30">
        <v>4.5066717128759155</v>
      </c>
      <c r="G267" s="31">
        <v>2.3197060695232561</v>
      </c>
      <c r="J267" s="25"/>
      <c r="K267" s="25">
        <f t="shared" si="7"/>
        <v>2.23</v>
      </c>
    </row>
    <row r="268" spans="1:11" ht="15" customHeight="1" x14ac:dyDescent="0.25">
      <c r="A268" s="29">
        <v>2.2400000000000002</v>
      </c>
      <c r="B268" s="30">
        <v>0.17647629034618892</v>
      </c>
      <c r="C268" s="30">
        <v>0.78668541339631171</v>
      </c>
      <c r="D268" s="30">
        <v>1.5257657275650984</v>
      </c>
      <c r="E268" s="30">
        <v>2.9456432592718111</v>
      </c>
      <c r="F268" s="30">
        <v>4.4943615306300826</v>
      </c>
      <c r="G268" s="31">
        <v>2.3172945851383036</v>
      </c>
      <c r="J268" s="25"/>
      <c r="K268" s="25">
        <f t="shared" si="7"/>
        <v>2.2400000000000002</v>
      </c>
    </row>
    <row r="269" spans="1:11" ht="15" customHeight="1" x14ac:dyDescent="0.25">
      <c r="A269" s="29">
        <v>2.25</v>
      </c>
      <c r="B269" s="30">
        <v>0.17616629053402327</v>
      </c>
      <c r="C269" s="30">
        <v>0.78662824537085341</v>
      </c>
      <c r="D269" s="30">
        <v>1.5230855539960251</v>
      </c>
      <c r="E269" s="30">
        <v>2.942800865322865</v>
      </c>
      <c r="F269" s="30">
        <v>4.4821374862602585</v>
      </c>
      <c r="G269" s="31">
        <v>2.3148902811647543</v>
      </c>
      <c r="J269" s="25"/>
      <c r="K269" s="25">
        <f t="shared" si="7"/>
        <v>2.25</v>
      </c>
    </row>
    <row r="270" spans="1:11" ht="15" customHeight="1" x14ac:dyDescent="0.25">
      <c r="A270" s="29">
        <v>2.2599999999999998</v>
      </c>
      <c r="B270" s="30">
        <v>0.17585844959524363</v>
      </c>
      <c r="C270" s="30">
        <v>0.78657075515540464</v>
      </c>
      <c r="D270" s="30">
        <v>1.5204240454556424</v>
      </c>
      <c r="E270" s="30">
        <v>2.9399683495297015</v>
      </c>
      <c r="F270" s="30">
        <v>4.4699985715034973</v>
      </c>
      <c r="G270" s="31">
        <v>2.312493124822566</v>
      </c>
      <c r="J270" s="25"/>
      <c r="K270" s="25">
        <f t="shared" si="7"/>
        <v>2.2599999999999998</v>
      </c>
    </row>
    <row r="271" spans="1:11" ht="15" customHeight="1" x14ac:dyDescent="0.25">
      <c r="A271" s="29">
        <v>2.27</v>
      </c>
      <c r="B271" s="30">
        <v>0.1755527423760572</v>
      </c>
      <c r="C271" s="30">
        <v>0.78651295165180735</v>
      </c>
      <c r="D271" s="30">
        <v>1.5177809844711392</v>
      </c>
      <c r="E271" s="30">
        <v>2.9371456356979531</v>
      </c>
      <c r="F271" s="30">
        <v>4.4579437944847493</v>
      </c>
      <c r="G271" s="31">
        <v>2.3101030833640213</v>
      </c>
      <c r="J271" s="25"/>
      <c r="K271" s="25">
        <f t="shared" si="7"/>
        <v>2.27</v>
      </c>
    </row>
    <row r="272" spans="1:11" ht="15" customHeight="1" x14ac:dyDescent="0.25">
      <c r="A272" s="29">
        <v>2.2799999999999998</v>
      </c>
      <c r="B272" s="30">
        <v>0.17524914412970322</v>
      </c>
      <c r="C272" s="30">
        <v>0.78645484356722251</v>
      </c>
      <c r="D272" s="30">
        <v>1.5151561570887917</v>
      </c>
      <c r="E272" s="30">
        <v>2.9343326485381396</v>
      </c>
      <c r="F272" s="30">
        <v>4.445972179379222</v>
      </c>
      <c r="G272" s="31">
        <v>2.3077201240802561</v>
      </c>
      <c r="J272" s="25"/>
      <c r="K272" s="25">
        <f t="shared" si="7"/>
        <v>2.2799999999999998</v>
      </c>
    </row>
    <row r="273" spans="1:11" ht="15" customHeight="1" x14ac:dyDescent="0.25">
      <c r="A273" s="29">
        <v>2.29</v>
      </c>
      <c r="B273" s="30">
        <v>0.17494763050810253</v>
      </c>
      <c r="C273" s="30">
        <v>0.7863964394188121</v>
      </c>
      <c r="D273" s="30">
        <v>1.5125493528017686</v>
      </c>
      <c r="E273" s="30">
        <v>2.9315293136515832</v>
      </c>
      <c r="F273" s="30">
        <v>4.4340827660831152</v>
      </c>
      <c r="G273" s="31">
        <v>2.3053442143074792</v>
      </c>
      <c r="J273" s="25"/>
      <c r="K273" s="25">
        <f t="shared" si="7"/>
        <v>2.29</v>
      </c>
    </row>
    <row r="274" spans="1:11" ht="15" customHeight="1" x14ac:dyDescent="0.25">
      <c r="A274" s="29">
        <v>2.2999999999999998</v>
      </c>
      <c r="B274" s="30">
        <v>0.17464817755371459</v>
      </c>
      <c r="C274" s="30">
        <v>0.78633774753829766</v>
      </c>
      <c r="D274" s="30">
        <v>1.5099603644797286</v>
      </c>
      <c r="E274" s="30">
        <v>2.9287355575165961</v>
      </c>
      <c r="F274" s="30">
        <v>4.4222746098925008</v>
      </c>
      <c r="G274" s="31">
        <v>2.3029753214329207</v>
      </c>
      <c r="J274" s="25"/>
      <c r="K274" s="25">
        <f t="shared" si="7"/>
        <v>2.2999999999999998</v>
      </c>
    </row>
    <row r="275" spans="1:11" ht="15" customHeight="1" x14ac:dyDescent="0.25">
      <c r="A275" s="29">
        <v>2.31</v>
      </c>
      <c r="B275" s="30">
        <v>0.17435076169159369</v>
      </c>
      <c r="C275" s="30">
        <v>0.78627877607638619</v>
      </c>
      <c r="D275" s="30">
        <v>1.5073889883001403</v>
      </c>
      <c r="E275" s="30">
        <v>2.9259513074749242</v>
      </c>
      <c r="F275" s="30">
        <v>4.4105467811900994</v>
      </c>
      <c r="G275" s="31">
        <v>2.3006134129004852</v>
      </c>
      <c r="J275" s="25"/>
      <c r="K275" s="25">
        <f t="shared" si="7"/>
        <v>2.31</v>
      </c>
    </row>
    <row r="276" spans="1:11" ht="15" customHeight="1" x14ac:dyDescent="0.25">
      <c r="A276" s="29">
        <v>2.3199999999999998</v>
      </c>
      <c r="B276" s="30">
        <v>0.17405535972164157</v>
      </c>
      <c r="C276" s="30">
        <v>0.78621953300708092</v>
      </c>
      <c r="D276" s="30">
        <v>1.5048350236813013</v>
      </c>
      <c r="E276" s="30">
        <v>2.9231764917184608</v>
      </c>
      <c r="F276" s="30">
        <v>4.3988983651397726</v>
      </c>
      <c r="G276" s="31">
        <v>2.2982584562161654</v>
      </c>
      <c r="J276" s="25"/>
      <c r="K276" s="25">
        <f t="shared" si="7"/>
        <v>2.3199999999999998</v>
      </c>
    </row>
    <row r="277" spans="1:11" ht="15" customHeight="1" x14ac:dyDescent="0.25">
      <c r="A277" s="29">
        <v>2.33</v>
      </c>
      <c r="B277" s="30">
        <v>0.17376194881104792</v>
      </c>
      <c r="C277" s="30">
        <v>0.78616002613187375</v>
      </c>
      <c r="D277" s="30">
        <v>1.5022982732169794</v>
      </c>
      <c r="E277" s="30">
        <v>2.9204110392762006</v>
      </c>
      <c r="F277" s="30">
        <v>4.3873284613884396</v>
      </c>
      <c r="G277" s="31">
        <v>2.2959104189531905</v>
      </c>
      <c r="J277" s="25"/>
      <c r="K277" s="25">
        <f t="shared" si="7"/>
        <v>2.33</v>
      </c>
    </row>
    <row r="278" spans="1:11" ht="15" customHeight="1" x14ac:dyDescent="0.25">
      <c r="A278" s="29">
        <v>2.34</v>
      </c>
      <c r="B278" s="30">
        <v>0.173470506486915</v>
      </c>
      <c r="C278" s="30">
        <v>0.78610026308382142</v>
      </c>
      <c r="D278" s="30">
        <v>1.4997785426126495</v>
      </c>
      <c r="E278" s="30">
        <v>2.9176548800014417</v>
      </c>
      <c r="F278" s="30">
        <v>4.3758361837752471</v>
      </c>
      <c r="G278" s="31">
        <v>2.2935692687569289</v>
      </c>
      <c r="J278" s="25"/>
      <c r="K278" s="25">
        <f t="shared" si="7"/>
        <v>2.34</v>
      </c>
    </row>
    <row r="279" spans="1:11" ht="15" customHeight="1" x14ac:dyDescent="0.25">
      <c r="A279" s="29">
        <v>2.35</v>
      </c>
      <c r="B279" s="30">
        <v>0.17318101062906152</v>
      </c>
      <c r="C279" s="30">
        <v>0.78604025133151478</v>
      </c>
      <c r="D279" s="30">
        <v>1.497275640623275</v>
      </c>
      <c r="E279" s="30">
        <v>2.9149079445592325</v>
      </c>
      <c r="F279" s="30">
        <v>4.3644206600477977</v>
      </c>
      <c r="G279" s="31">
        <v>2.2912349733495683</v>
      </c>
      <c r="J279" s="25"/>
      <c r="K279" s="25">
        <f t="shared" si="7"/>
        <v>2.35</v>
      </c>
    </row>
    <row r="280" spans="1:11" ht="15" customHeight="1" x14ac:dyDescent="0.25">
      <c r="A280" s="29">
        <v>2.36</v>
      </c>
      <c r="B280" s="30">
        <v>0.17289343946299918</v>
      </c>
      <c r="C280" s="30">
        <v>0.78597999818293751</v>
      </c>
      <c r="D280" s="30">
        <v>1.4947893789925872</v>
      </c>
      <c r="E280" s="30">
        <v>2.9121701644140496</v>
      </c>
      <c r="F280" s="30">
        <v>4.3530810315852166</v>
      </c>
      <c r="G280" s="31">
        <v>2.2889075005345596</v>
      </c>
      <c r="J280" s="25"/>
      <c r="K280" s="25">
        <f t="shared" si="7"/>
        <v>2.36</v>
      </c>
    </row>
    <row r="281" spans="1:11" ht="15" customHeight="1" x14ac:dyDescent="0.25">
      <c r="A281" s="29">
        <v>2.37</v>
      </c>
      <c r="B281" s="30">
        <v>0.17260777155307835</v>
      </c>
      <c r="C281" s="30">
        <v>0.7859195107892275</v>
      </c>
      <c r="D281" s="30">
        <v>1.4923195723938236</v>
      </c>
      <c r="E281" s="30">
        <v>2.9094414718177064</v>
      </c>
      <c r="F281" s="30">
        <v>4.3418164531278558</v>
      </c>
      <c r="G281" s="31">
        <v>2.286586818200862</v>
      </c>
      <c r="J281" s="25"/>
      <c r="K281" s="25">
        <f t="shared" si="7"/>
        <v>2.37</v>
      </c>
    </row>
    <row r="282" spans="1:11" ht="15" customHeight="1" x14ac:dyDescent="0.25">
      <c r="A282" s="29">
        <v>2.38</v>
      </c>
      <c r="B282" s="30">
        <v>0.17232398579579764</v>
      </c>
      <c r="C282" s="30">
        <v>0.78585879614832999</v>
      </c>
      <c r="D282" s="30">
        <v>1.489866038371884</v>
      </c>
      <c r="E282" s="30">
        <v>2.9067217997974875</v>
      </c>
      <c r="F282" s="30">
        <v>4.3306260925134747</v>
      </c>
      <c r="G282" s="31">
        <v>2.2842728943269606</v>
      </c>
      <c r="J282" s="25"/>
      <c r="K282" s="25">
        <f t="shared" si="7"/>
        <v>2.38</v>
      </c>
    </row>
    <row r="283" spans="1:11" ht="15" customHeight="1" x14ac:dyDescent="0.25">
      <c r="A283" s="29">
        <v>2.39</v>
      </c>
      <c r="B283" s="30">
        <v>0.17204206141327241</v>
      </c>
      <c r="C283" s="30">
        <v>0.78579786110856054</v>
      </c>
      <c r="D283" s="30">
        <v>1.4874285972868628</v>
      </c>
      <c r="E283" s="30">
        <v>2.9040110821444998</v>
      </c>
      <c r="F283" s="30">
        <v>4.3195091304196982</v>
      </c>
      <c r="G283" s="31">
        <v>2.2819656969847042</v>
      </c>
      <c r="J283" s="25"/>
      <c r="K283" s="25">
        <f t="shared" si="7"/>
        <v>2.39</v>
      </c>
    </row>
    <row r="284" spans="1:11" ht="15" customHeight="1" x14ac:dyDescent="0.25">
      <c r="A284" s="29">
        <v>2.4</v>
      </c>
      <c r="B284" s="30">
        <v>0.1717619779468591</v>
      </c>
      <c r="C284" s="30">
        <v>0.78573671237206877</v>
      </c>
      <c r="D284" s="30">
        <v>1.4850070722589244</v>
      </c>
      <c r="E284" s="30">
        <v>2.9013092534022444</v>
      </c>
      <c r="F284" s="30">
        <v>4.3084647601125923</v>
      </c>
      <c r="G284" s="31">
        <v>2.2796651943429409</v>
      </c>
      <c r="J284" s="25"/>
      <c r="K284" s="25">
        <f t="shared" si="7"/>
        <v>2.4</v>
      </c>
    </row>
    <row r="285" spans="1:11" ht="15" customHeight="1" x14ac:dyDescent="0.25">
      <c r="A285" s="29">
        <v>2.41</v>
      </c>
      <c r="B285" s="30">
        <v>0.17148371525092945</v>
      </c>
      <c r="C285" s="30">
        <v>0.78567535649821485</v>
      </c>
      <c r="D285" s="30">
        <v>1.4826012891144777</v>
      </c>
      <c r="E285" s="30">
        <v>2.8986162488553959</v>
      </c>
      <c r="F285" s="30">
        <v>4.2974921872011809</v>
      </c>
      <c r="G285" s="31">
        <v>2.2773713546709815</v>
      </c>
      <c r="J285" s="25"/>
      <c r="K285" s="25">
        <f t="shared" si="7"/>
        <v>2.41</v>
      </c>
    </row>
    <row r="286" spans="1:11" ht="15" customHeight="1" x14ac:dyDescent="0.25">
      <c r="A286" s="29">
        <v>2.42</v>
      </c>
      <c r="B286" s="30">
        <v>0.17120725348679094</v>
      </c>
      <c r="C286" s="30">
        <v>0.78561379990685309</v>
      </c>
      <c r="D286" s="30">
        <v>1.4802110763336149</v>
      </c>
      <c r="E286" s="30">
        <v>2.8959320045187829</v>
      </c>
      <c r="F286" s="30">
        <v>4.2865906293977103</v>
      </c>
      <c r="G286" s="31">
        <v>2.2750841463418712</v>
      </c>
      <c r="J286" s="25"/>
      <c r="K286" s="25">
        <f t="shared" si="7"/>
        <v>2.42</v>
      </c>
    </row>
    <row r="287" spans="1:11" ht="15" customHeight="1" x14ac:dyDescent="0.25">
      <c r="A287" s="29">
        <v>2.4300000000000002</v>
      </c>
      <c r="B287" s="30">
        <v>0.17093257311675078</v>
      </c>
      <c r="C287" s="30">
        <v>0.78555204888153252</v>
      </c>
      <c r="D287" s="30">
        <v>1.4778362649987888</v>
      </c>
      <c r="E287" s="30">
        <v>2.893256457126578</v>
      </c>
      <c r="F287" s="30">
        <v>4.2757593162835708</v>
      </c>
      <c r="G287" s="31">
        <v>2.2728035378355074</v>
      </c>
      <c r="J287" s="25"/>
      <c r="K287" s="25">
        <f t="shared" si="7"/>
        <v>2.4300000000000002</v>
      </c>
    </row>
    <row r="288" spans="1:11" ht="15" customHeight="1" x14ac:dyDescent="0.25">
      <c r="A288" s="29">
        <v>2.44</v>
      </c>
      <c r="B288" s="30">
        <v>0.17065965489831747</v>
      </c>
      <c r="C288" s="30">
        <v>0.78549010957261378</v>
      </c>
      <c r="D288" s="30">
        <v>1.4754766887446824</v>
      </c>
      <c r="E288" s="30">
        <v>2.8905895441216796</v>
      </c>
      <c r="F288" s="30">
        <v>4.2649974890806561</v>
      </c>
      <c r="G288" s="31">
        <v>2.27052949774159</v>
      </c>
      <c r="J288" s="25"/>
      <c r="K288" s="25">
        <f t="shared" si="7"/>
        <v>2.44</v>
      </c>
    </row>
    <row r="289" spans="1:11" ht="15" customHeight="1" x14ac:dyDescent="0.25">
      <c r="A289" s="29">
        <v>2.4500000000000002</v>
      </c>
      <c r="B289" s="30">
        <v>0.17038847987853742</v>
      </c>
      <c r="C289" s="30">
        <v>0.785427988000302</v>
      </c>
      <c r="D289" s="30">
        <v>1.4731321837092435</v>
      </c>
      <c r="E289" s="30">
        <v>2.8879312036452882</v>
      </c>
      <c r="F289" s="30">
        <v>4.2543044004280475</v>
      </c>
      <c r="G289" s="31">
        <v>2.2682619947624092</v>
      </c>
      <c r="J289" s="25"/>
      <c r="K289" s="25">
        <f t="shared" si="7"/>
        <v>2.4500000000000002</v>
      </c>
    </row>
    <row r="290" spans="1:11" ht="15" customHeight="1" x14ac:dyDescent="0.25">
      <c r="A290" s="29">
        <v>2.46</v>
      </c>
      <c r="B290" s="30">
        <v>0.17011902938846288</v>
      </c>
      <c r="C290" s="30">
        <v>0.78536569005760648</v>
      </c>
      <c r="D290" s="30">
        <v>1.4708025884858575</v>
      </c>
      <c r="E290" s="30">
        <v>2.8852813745266701</v>
      </c>
      <c r="F290" s="30">
        <v>4.2436793141638605</v>
      </c>
      <c r="G290" s="31">
        <v>2.2660009977154978</v>
      </c>
      <c r="J290" s="25"/>
      <c r="K290" s="25">
        <f t="shared" si="7"/>
        <v>2.46</v>
      </c>
    </row>
    <row r="291" spans="1:11" ht="15" customHeight="1" x14ac:dyDescent="0.25">
      <c r="A291" s="29">
        <v>2.4700000000000002</v>
      </c>
      <c r="B291" s="30">
        <v>0.16985128503774724</v>
      </c>
      <c r="C291" s="30">
        <v>0.78530322151321796</v>
      </c>
      <c r="D291" s="30">
        <v>1.4684877440766186</v>
      </c>
      <c r="E291" s="30">
        <v>2.882639996273106</v>
      </c>
      <c r="F291" s="30">
        <v>4.2331215051121251</v>
      </c>
      <c r="G291" s="31">
        <v>2.263746475536121</v>
      </c>
      <c r="J291" s="25"/>
      <c r="K291" s="25">
        <f t="shared" si="7"/>
        <v>2.4700000000000002</v>
      </c>
    </row>
    <row r="292" spans="1:11" ht="15" customHeight="1" x14ac:dyDescent="0.25">
      <c r="A292" s="29">
        <v>2.48</v>
      </c>
      <c r="B292" s="30">
        <v>0.16958522870936446</v>
      </c>
      <c r="C292" s="30">
        <v>0.78524058801431784</v>
      </c>
      <c r="D292" s="30">
        <v>1.4661874938466761</v>
      </c>
      <c r="E292" s="30">
        <v>2.8800070090600238</v>
      </c>
      <c r="F292" s="30">
        <v>4.2226302588745774</v>
      </c>
      <c r="G292" s="31">
        <v>2.2614983972796501</v>
      </c>
      <c r="J292" s="25"/>
      <c r="K292" s="25">
        <f t="shared" si="7"/>
        <v>2.48</v>
      </c>
    </row>
    <row r="293" spans="1:11" ht="15" customHeight="1" x14ac:dyDescent="0.25">
      <c r="A293" s="29">
        <v>2.4900000000000002</v>
      </c>
      <c r="B293" s="30">
        <v>0.16932084255444962</v>
      </c>
      <c r="C293" s="30">
        <v>0.78517779508931074</v>
      </c>
      <c r="D293" s="30">
        <v>1.4639016834796263</v>
      </c>
      <c r="E293" s="30">
        <v>2.8773823537213019</v>
      </c>
      <c r="F293" s="30">
        <v>4.2122048716271845</v>
      </c>
      <c r="G293" s="31">
        <v>2.2592567321237831</v>
      </c>
      <c r="J293" s="25"/>
      <c r="K293" s="25">
        <f t="shared" si="7"/>
        <v>2.4900000000000002</v>
      </c>
    </row>
    <row r="294" spans="1:11" ht="15" customHeight="1" x14ac:dyDescent="0.25">
      <c r="A294" s="29">
        <v>2.5</v>
      </c>
      <c r="B294" s="33">
        <v>0.16905810898725607</v>
      </c>
      <c r="C294" s="33">
        <v>0.78511484815048893</v>
      </c>
      <c r="D294" s="33">
        <v>1.4616301609339153</v>
      </c>
      <c r="E294" s="33">
        <v>2.8747659717397447</v>
      </c>
      <c r="F294" s="33">
        <v>4.2018446499213056</v>
      </c>
      <c r="G294" s="34">
        <v>2.2570214493706424</v>
      </c>
      <c r="J294" s="25"/>
      <c r="K294" s="25">
        <f t="shared" si="7"/>
        <v>2.5</v>
      </c>
    </row>
    <row r="295" spans="1:11" ht="15" customHeight="1" x14ac:dyDescent="0.25">
      <c r="A295" s="29">
        <v>2.5099999999999998</v>
      </c>
      <c r="B295">
        <v>0.16879701068022879</v>
      </c>
      <c r="C295">
        <v>0.78505175249663095</v>
      </c>
      <c r="D295">
        <v>1.4593727764002422</v>
      </c>
      <c r="E295">
        <v>2.8721578052377441</v>
      </c>
      <c r="F295">
        <v>4.1915489104894341</v>
      </c>
      <c r="G295">
        <v>2.254792518448768</v>
      </c>
      <c r="K295" s="25">
        <f t="shared" si="7"/>
        <v>2.5099999999999998</v>
      </c>
    </row>
    <row r="296" spans="1:11" ht="15" customHeight="1" x14ac:dyDescent="0.25">
      <c r="A296" s="29">
        <v>2.52</v>
      </c>
      <c r="B296">
        <v>0.16853753055918699</v>
      </c>
      <c r="C296">
        <v>0.78498851331553121</v>
      </c>
      <c r="D296">
        <v>1.457129382259911</v>
      </c>
      <c r="E296">
        <v>2.8695577969680763</v>
      </c>
      <c r="F296">
        <v>4.181316980055203</v>
      </c>
      <c r="G296">
        <v>2.2525699089149613</v>
      </c>
      <c r="K296" s="25">
        <f t="shared" si="7"/>
        <v>2.52</v>
      </c>
    </row>
    <row r="297" spans="1:11" ht="15" customHeight="1" x14ac:dyDescent="0.25">
      <c r="A297" s="29">
        <v>2.5299999999999998</v>
      </c>
      <c r="B297">
        <v>0.16827965179861709</v>
      </c>
      <c r="C297">
        <v>0.7849251356864686</v>
      </c>
      <c r="D297">
        <v>1.4548998330441343</v>
      </c>
      <c r="E297">
        <v>2.866965890304896</v>
      </c>
      <c r="F297">
        <v>4.171148195147822</v>
      </c>
      <c r="G297">
        <v>2.2503535904560477</v>
      </c>
      <c r="K297" s="25">
        <f t="shared" si="7"/>
        <v>2.5299999999999998</v>
      </c>
    </row>
    <row r="298" spans="1:11" ht="15" customHeight="1" x14ac:dyDescent="0.25">
      <c r="A298" s="29">
        <v>2.54</v>
      </c>
      <c r="B298">
        <v>0.16802335781707023</v>
      </c>
      <c r="C298">
        <v>0.78486162458261022</v>
      </c>
      <c r="D298">
        <v>1.4526839853942415</v>
      </c>
      <c r="E298">
        <v>2.8643820292348594</v>
      </c>
      <c r="F298">
        <v>4.16104190192054</v>
      </c>
      <c r="G298">
        <v>2.2481435328905053</v>
      </c>
      <c r="K298" s="25">
        <f t="shared" si="7"/>
        <v>2.54</v>
      </c>
    </row>
    <row r="299" spans="1:11" ht="15" customHeight="1" x14ac:dyDescent="0.25">
      <c r="A299" s="29">
        <v>2.5499999999999998</v>
      </c>
      <c r="B299">
        <v>0.16776863227266239</v>
      </c>
      <c r="C299">
        <v>0.78479798487335695</v>
      </c>
      <c r="D299">
        <v>1.4504816980227742</v>
      </c>
      <c r="E299">
        <v>2.8618061583484189</v>
      </c>
      <c r="F299">
        <v>4.1509974559732461</v>
      </c>
      <c r="G299">
        <v>2.2459397061700024</v>
      </c>
      <c r="K299" s="25">
        <f t="shared" si="7"/>
        <v>2.5499999999999998</v>
      </c>
    </row>
    <row r="300" spans="1:11" ht="15" customHeight="1" x14ac:dyDescent="0.25">
      <c r="A300" s="29">
        <v>2.56</v>
      </c>
      <c r="B300">
        <v>0.16751545905867593</v>
      </c>
      <c r="C300">
        <v>0.78473422132663029</v>
      </c>
      <c r="D300">
        <v>1.4482928316754575</v>
      </c>
      <c r="E300">
        <v>2.8592382228312689</v>
      </c>
      <c r="F300">
        <v>4.1410142221789989</v>
      </c>
      <c r="G300">
        <v>2.2437420803808341</v>
      </c>
      <c r="K300" s="25">
        <f t="shared" ref="K300:K363" si="8">A300</f>
        <v>2.56</v>
      </c>
    </row>
    <row r="301" spans="1:11" ht="15" customHeight="1" x14ac:dyDescent="0.25">
      <c r="A301" s="29">
        <v>2.57</v>
      </c>
      <c r="B301">
        <v>0.16726382229925751</v>
      </c>
      <c r="C301">
        <v>0.78467033861110136</v>
      </c>
      <c r="D301">
        <v>1.4461172490940069</v>
      </c>
      <c r="E301">
        <v>2.8566781684559386</v>
      </c>
      <c r="F301">
        <v>4.1310915745144063</v>
      </c>
      <c r="G301">
        <v>2.241550625745262</v>
      </c>
      <c r="K301" s="25">
        <f t="shared" si="8"/>
        <v>2.57</v>
      </c>
    </row>
    <row r="302" spans="1:11" ht="15" customHeight="1" x14ac:dyDescent="0.25">
      <c r="A302" s="29">
        <v>2.58</v>
      </c>
      <c r="B302">
        <v>0.16701370634521115</v>
      </c>
      <c r="C302">
        <v>0.78460634129836448</v>
      </c>
      <c r="D302">
        <v>1.4439548149797552</v>
      </c>
      <c r="E302">
        <v>2.8541259415735252</v>
      </c>
      <c r="F302">
        <v>4.1212288958937187</v>
      </c>
      <c r="G302">
        <v>2.2393653126227533</v>
      </c>
      <c r="K302" s="25">
        <f t="shared" si="8"/>
        <v>2.58</v>
      </c>
    </row>
    <row r="303" spans="1:11" ht="15" customHeight="1" x14ac:dyDescent="0.25">
      <c r="A303" s="29">
        <v>2.59</v>
      </c>
      <c r="B303">
        <v>0.16676509576988452</v>
      </c>
      <c r="C303">
        <v>0.78454223386505872</v>
      </c>
      <c r="D303">
        <v>1.4418053959580865</v>
      </c>
      <c r="E303">
        <v>2.8515814891055808</v>
      </c>
      <c r="F303">
        <v>4.1114255780066227</v>
      </c>
      <c r="G303">
        <v>2.2371861115111429</v>
      </c>
      <c r="K303" s="25">
        <f t="shared" si="8"/>
        <v>2.59</v>
      </c>
    </row>
    <row r="304" spans="1:11" ht="15" customHeight="1" x14ac:dyDescent="0.25">
      <c r="A304" s="29">
        <v>2.6</v>
      </c>
      <c r="B304">
        <v>0.16651797536514457</v>
      </c>
      <c r="C304">
        <v>0.78447802069493422</v>
      </c>
      <c r="D304">
        <v>1.4396688605436432</v>
      </c>
      <c r="E304">
        <v>2.8490447585361296</v>
      </c>
      <c r="F304">
        <v>4.1016810211595489</v>
      </c>
      <c r="G304">
        <v>2.2350129930476998</v>
      </c>
      <c r="K304" s="25">
        <f t="shared" si="8"/>
        <v>2.6</v>
      </c>
    </row>
    <row r="305" spans="1:11" ht="15" customHeight="1" x14ac:dyDescent="0.25">
      <c r="A305" s="29">
        <v>2.61</v>
      </c>
      <c r="B305">
        <v>0.16627233013744183</v>
      </c>
      <c r="C305">
        <v>0.78441370608087135</v>
      </c>
      <c r="D305">
        <v>1.437545079106298</v>
      </c>
      <c r="E305">
        <v>2.8465156979038322</v>
      </c>
      <c r="F305">
        <v>4.0919946341204847</v>
      </c>
      <c r="G305">
        <v>2.2328459280101232</v>
      </c>
      <c r="K305" s="25">
        <f t="shared" si="8"/>
        <v>2.61</v>
      </c>
    </row>
    <row r="306" spans="1:11" ht="15" customHeight="1" x14ac:dyDescent="0.25">
      <c r="A306" s="29">
        <v>2.62</v>
      </c>
      <c r="B306">
        <v>0.16602814530395976</v>
      </c>
      <c r="C306">
        <v>0.78434929422684785</v>
      </c>
      <c r="D306">
        <v>1.4354339238378635</v>
      </c>
      <c r="E306">
        <v>2.8439942557942746</v>
      </c>
      <c r="F306">
        <v>4.0823658339671196</v>
      </c>
      <c r="G306">
        <v>2.2306848873174485</v>
      </c>
      <c r="K306" s="25">
        <f t="shared" si="8"/>
        <v>2.62</v>
      </c>
    </row>
    <row r="307" spans="1:11" ht="15" customHeight="1" x14ac:dyDescent="0.25">
      <c r="A307" s="29">
        <v>2.63</v>
      </c>
      <c r="B307">
        <v>0.16578540628884772</v>
      </c>
      <c r="C307">
        <v>0.78428478924985801</v>
      </c>
      <c r="D307">
        <v>1.4333352687195227</v>
      </c>
      <c r="E307">
        <v>2.8414803813323961</v>
      </c>
      <c r="F307">
        <v>4.0727940459383216</v>
      </c>
      <c r="G307">
        <v>2.2285298420308846</v>
      </c>
      <c r="K307" s="25">
        <f t="shared" si="8"/>
        <v>2.63</v>
      </c>
    </row>
    <row r="308" spans="1:11" ht="15" customHeight="1" x14ac:dyDescent="0.25">
      <c r="A308" s="29">
        <v>2.64</v>
      </c>
      <c r="B308">
        <v>0.16554409871953504</v>
      </c>
      <c r="C308">
        <v>0.78422019518178721</v>
      </c>
      <c r="D308">
        <v>1.4312489894899612</v>
      </c>
      <c r="E308">
        <v>2.838974024175037</v>
      </c>
      <c r="F308">
        <v>4.0632787032887698</v>
      </c>
      <c r="G308">
        <v>2.2263807633545714</v>
      </c>
      <c r="K308" s="25">
        <f t="shared" si="8"/>
        <v>2.64</v>
      </c>
    </row>
    <row r="309" spans="1:11" ht="15" customHeight="1" x14ac:dyDescent="0.25">
      <c r="A309" s="29">
        <v>2.65</v>
      </c>
      <c r="B309">
        <v>0.1653042084231251</v>
      </c>
      <c r="C309">
        <v>0.78415551597123967</v>
      </c>
      <c r="D309">
        <v>1.4291749636141919</v>
      </c>
      <c r="E309">
        <v>2.8364751345036265</v>
      </c>
      <c r="F309">
        <v>4.0538192471467802</v>
      </c>
      <c r="G309">
        <v>2.2242376226362826</v>
      </c>
      <c r="K309" s="25">
        <f t="shared" si="8"/>
        <v>2.65</v>
      </c>
    </row>
    <row r="310" spans="1:11" ht="15" customHeight="1" x14ac:dyDescent="0.25">
      <c r="A310" s="29">
        <v>2.66</v>
      </c>
      <c r="B310">
        <v>0.16506572142286566</v>
      </c>
      <c r="C310">
        <v>0.78409075548532026</v>
      </c>
      <c r="D310">
        <v>1.4271130702530392</v>
      </c>
      <c r="E310">
        <v>2.8339836630169826</v>
      </c>
      <c r="F310">
        <v>4.0444151263751191</v>
      </c>
      <c r="G310">
        <v>2.2221003913680413</v>
      </c>
      <c r="K310" s="25">
        <f t="shared" si="8"/>
        <v>2.66</v>
      </c>
    </row>
    <row r="311" spans="1:11" ht="15" customHeight="1" x14ac:dyDescent="0.25">
      <c r="A311" s="29">
        <v>2.67</v>
      </c>
      <c r="B311">
        <v>0.16482862393469544</v>
      </c>
      <c r="C311">
        <v>0.78402591751137751</v>
      </c>
      <c r="D311">
        <v>1.42506319023328</v>
      </c>
      <c r="E311">
        <v>2.8314995609242368</v>
      </c>
      <c r="F311">
        <v>4.0350657974348234</v>
      </c>
      <c r="G311">
        <v>2.2199690411866873</v>
      </c>
      <c r="K311" s="25">
        <f t="shared" si="8"/>
        <v>2.67</v>
      </c>
    </row>
    <row r="312" spans="1:11" ht="15" customHeight="1" x14ac:dyDescent="0.25">
      <c r="A312" s="29">
        <v>2.68</v>
      </c>
      <c r="B312">
        <v>0.16459290236386337</v>
      </c>
      <c r="C312">
        <v>0.78396100575870165</v>
      </c>
      <c r="D312">
        <v>1.4230252060184156</v>
      </c>
      <c r="E312">
        <v>2.8290227799378775</v>
      </c>
      <c r="F312">
        <v>4.0257707242518883</v>
      </c>
      <c r="G312">
        <v>2.2178435438743764</v>
      </c>
      <c r="K312" s="25">
        <f t="shared" si="8"/>
        <v>2.68</v>
      </c>
    </row>
    <row r="313" spans="1:11" ht="15" customHeight="1" x14ac:dyDescent="0.25">
      <c r="A313" s="29">
        <v>2.69</v>
      </c>
      <c r="B313">
        <v>0.16435854330162039</v>
      </c>
      <c r="C313">
        <v>0.78389602386018264</v>
      </c>
      <c r="D313">
        <v>1.4209990016800698</v>
      </c>
      <c r="E313">
        <v>2.8265532722669158</v>
      </c>
      <c r="F313">
        <v>4.0165293780868208</v>
      </c>
      <c r="G313">
        <v>2.2157238713590237</v>
      </c>
      <c r="K313" s="25">
        <f t="shared" si="8"/>
        <v>2.69</v>
      </c>
    </row>
    <row r="314" spans="1:11" ht="15" customHeight="1" x14ac:dyDescent="0.25">
      <c r="A314" s="29">
        <v>2.7</v>
      </c>
      <c r="B314">
        <v>0.1641255335219802</v>
      </c>
      <c r="C314">
        <v>0.78383097537392954</v>
      </c>
      <c r="D314">
        <v>1.418984462869983</v>
      </c>
      <c r="E314">
        <v>2.8240909906101535</v>
      </c>
      <c r="F314">
        <v>4.0073412374069051</v>
      </c>
      <c r="G314">
        <v>2.2136099957146835</v>
      </c>
      <c r="K314" s="25">
        <f t="shared" si="8"/>
        <v>2.7</v>
      </c>
    </row>
    <row r="315" spans="1:11" ht="15" customHeight="1" x14ac:dyDescent="0.25">
      <c r="A315" s="29">
        <v>2.71</v>
      </c>
      <c r="B315">
        <v>0.16389385997854836</v>
      </c>
      <c r="C315">
        <v>0.78376586378484969</v>
      </c>
      <c r="D315">
        <v>1.4169814767925988</v>
      </c>
      <c r="E315">
        <v>2.8216358881495727</v>
      </c>
      <c r="F315">
        <v>3.9982057877611781</v>
      </c>
      <c r="G315">
        <v>2.2115018891618812</v>
      </c>
      <c r="K315" s="25">
        <f t="shared" si="8"/>
        <v>2.71</v>
      </c>
    </row>
    <row r="316" spans="1:11" ht="15" customHeight="1" x14ac:dyDescent="0.25">
      <c r="A316" s="29">
        <v>2.72</v>
      </c>
      <c r="B316">
        <v>0.1636635098014185</v>
      </c>
      <c r="C316">
        <v>0.78370069250619334</v>
      </c>
      <c r="D316">
        <v>1.4149899321782269</v>
      </c>
      <c r="E316">
        <v>2.8191879185438298</v>
      </c>
      <c r="F316">
        <v>3.9891225216580093</v>
      </c>
      <c r="G316">
        <v>2.209399524067893</v>
      </c>
      <c r="K316" s="25">
        <f t="shared" si="8"/>
        <v>2.72</v>
      </c>
    </row>
    <row r="317" spans="1:11" ht="15" customHeight="1" x14ac:dyDescent="0.25">
      <c r="A317" s="29">
        <v>2.73</v>
      </c>
      <c r="B317">
        <v>0.16343447029413258</v>
      </c>
      <c r="C317">
        <v>0.7836354648810574</v>
      </c>
      <c r="D317">
        <v>1.4130097192567646</v>
      </c>
      <c r="E317">
        <v>2.816747035921864</v>
      </c>
      <c r="F317">
        <v>3.9800909384452776</v>
      </c>
      <c r="G317">
        <v>2.2073028729469706</v>
      </c>
      <c r="K317" s="25">
        <f t="shared" si="8"/>
        <v>2.73</v>
      </c>
    </row>
    <row r="318" spans="1:11" ht="15" customHeight="1" x14ac:dyDescent="0.25">
      <c r="A318" s="29">
        <v>2.74</v>
      </c>
      <c r="B318">
        <v>0.16320672893070454</v>
      </c>
      <c r="C318">
        <v>0.78357018418385938</v>
      </c>
      <c r="D318">
        <v>1.4110407297319632</v>
      </c>
      <c r="E318">
        <v>2.8143131948765987</v>
      </c>
      <c r="F318">
        <v>3.9711105441929675</v>
      </c>
      <c r="G318">
        <v>2.2052119084605222</v>
      </c>
      <c r="K318" s="25">
        <f t="shared" si="8"/>
        <v>2.74</v>
      </c>
    </row>
    <row r="319" spans="1:11" ht="15" customHeight="1" x14ac:dyDescent="0.25">
      <c r="A319" s="29">
        <v>2.75</v>
      </c>
      <c r="B319">
        <v>0.16298027335270607</v>
      </c>
      <c r="C319">
        <v>0.78350485362177114</v>
      </c>
      <c r="D319">
        <v>1.4090828567562323</v>
      </c>
      <c r="E319">
        <v>2.8118863504587619</v>
      </c>
      <c r="F319">
        <v>3.962180851578287</v>
      </c>
      <c r="G319">
        <v>2.2031266034172483</v>
      </c>
      <c r="K319" s="25">
        <f t="shared" si="8"/>
        <v>2.75</v>
      </c>
    </row>
    <row r="320" spans="1:11" ht="15" customHeight="1" x14ac:dyDescent="0.25">
      <c r="A320" s="29">
        <v>2.76</v>
      </c>
      <c r="B320">
        <v>0.16275509136641192</v>
      </c>
      <c r="C320">
        <v>0.78343947633612288</v>
      </c>
      <c r="D320">
        <v>1.4071359949059596</v>
      </c>
      <c r="E320">
        <v>2.809466458170792</v>
      </c>
      <c r="F320">
        <v>3.9533013797730798</v>
      </c>
      <c r="G320">
        <v>2.2010469307732272</v>
      </c>
      <c r="K320" s="25">
        <f t="shared" si="8"/>
        <v>2.76</v>
      </c>
    </row>
    <row r="321" spans="1:11" ht="15" customHeight="1" x14ac:dyDescent="0.25">
      <c r="A321" s="29">
        <v>2.77</v>
      </c>
      <c r="B321">
        <v>0.16253117094000463</v>
      </c>
      <c r="C321">
        <v>0.78337405540377336</v>
      </c>
      <c r="D321">
        <v>1.4052000401573428</v>
      </c>
      <c r="E321">
        <v>2.8070534739608544</v>
      </c>
      <c r="F321">
        <v>3.9444716543336007</v>
      </c>
      <c r="G321">
        <v>2.198972863631965</v>
      </c>
      <c r="K321" s="25">
        <f t="shared" si="8"/>
        <v>2.77</v>
      </c>
    </row>
    <row r="322" spans="1:11" ht="15" customHeight="1" x14ac:dyDescent="0.25">
      <c r="A322" s="29">
        <v>2.78</v>
      </c>
      <c r="B322">
        <v>0.16230850020083601</v>
      </c>
      <c r="C322">
        <v>0.78330859383844686</v>
      </c>
      <c r="D322">
        <v>1.4032748898627134</v>
      </c>
      <c r="E322">
        <v>2.8046473542169505</v>
      </c>
      <c r="F322">
        <v>3.9356912070925416</v>
      </c>
      <c r="G322">
        <v>2.1969043752444</v>
      </c>
      <c r="K322" s="25">
        <f t="shared" si="8"/>
        <v>2.78</v>
      </c>
    </row>
    <row r="323" spans="1:11" ht="15" customHeight="1" x14ac:dyDescent="0.25">
      <c r="A323" s="29">
        <v>2.79</v>
      </c>
      <c r="B323">
        <v>0.16208706743274495</v>
      </c>
      <c r="C323">
        <v>0.78324309459204078</v>
      </c>
      <c r="D323">
        <v>1.4013604427273478</v>
      </c>
      <c r="E323">
        <v>2.8022480557611225</v>
      </c>
      <c r="F323">
        <v>3.9269595760532554</v>
      </c>
      <c r="G323">
        <v>2.1948414390088713</v>
      </c>
      <c r="K323" s="25">
        <f t="shared" si="8"/>
        <v>2.79</v>
      </c>
    </row>
    <row r="324" spans="1:11" ht="15" customHeight="1" x14ac:dyDescent="0.25">
      <c r="A324" s="29">
        <v>2.8</v>
      </c>
      <c r="B324">
        <v>0.16186686107342985</v>
      </c>
      <c r="C324">
        <v>0.78317756055590304</v>
      </c>
      <c r="D324">
        <v>1.3994565987867493</v>
      </c>
      <c r="E324">
        <v>2.7998555358437547</v>
      </c>
      <c r="F324">
        <v>3.9182763052861516</v>
      </c>
      <c r="G324">
        <v>2.1927840284710527</v>
      </c>
      <c r="K324" s="25">
        <f t="shared" si="8"/>
        <v>2.8</v>
      </c>
    </row>
    <row r="325" spans="1:11" ht="15" customHeight="1" x14ac:dyDescent="0.25">
      <c r="A325" s="29">
        <v>2.81</v>
      </c>
      <c r="B325">
        <v>0.16164786971187375</v>
      </c>
      <c r="C325">
        <v>0.78311199456207869</v>
      </c>
      <c r="D325">
        <v>1.3975632593843874</v>
      </c>
      <c r="E325">
        <v>2.7974697521379599</v>
      </c>
      <c r="F325">
        <v>3.9096409448271618</v>
      </c>
      <c r="G325">
        <v>2.1907321173238419</v>
      </c>
      <c r="K325" s="25">
        <f t="shared" si="8"/>
        <v>2.81</v>
      </c>
    </row>
    <row r="326" spans="1:11" ht="15" customHeight="1" x14ac:dyDescent="0.25">
      <c r="A326" s="29">
        <v>2.82</v>
      </c>
      <c r="B326">
        <v>0.1614300820858226</v>
      </c>
      <c r="C326">
        <v>0.78304639938452902</v>
      </c>
      <c r="D326">
        <v>1.3956803271498943</v>
      </c>
      <c r="E326">
        <v>2.7950906627340628</v>
      </c>
      <c r="F326">
        <v>3.9010530505782905</v>
      </c>
      <c r="G326">
        <v>2.1886856794072247</v>
      </c>
      <c r="K326" s="25">
        <f t="shared" si="8"/>
        <v>2.82</v>
      </c>
    </row>
    <row r="327" spans="1:11" ht="15" customHeight="1" x14ac:dyDescent="0.25">
      <c r="A327" s="29">
        <v>2.83</v>
      </c>
      <c r="B327">
        <v>0.16121348707931329</v>
      </c>
      <c r="C327">
        <v>0.78298077774032204</v>
      </c>
      <c r="D327">
        <v>1.3938077059776941</v>
      </c>
      <c r="E327">
        <v>2.792718226134169</v>
      </c>
      <c r="F327">
        <v>3.8925121842101591</v>
      </c>
      <c r="G327">
        <v>2.1866446887081041</v>
      </c>
      <c r="K327" s="25">
        <f t="shared" si="8"/>
        <v>2.83</v>
      </c>
    </row>
    <row r="328" spans="1:11" ht="15" customHeight="1" x14ac:dyDescent="0.25">
      <c r="A328" s="29">
        <v>2.84</v>
      </c>
      <c r="B328">
        <v>0.16099807372025182</v>
      </c>
      <c r="C328">
        <v>0.7829151322907959</v>
      </c>
      <c r="D328">
        <v>1.3919453010060634</v>
      </c>
      <c r="E328">
        <v>2.7903524012468193</v>
      </c>
      <c r="F328">
        <v>3.884017913066494</v>
      </c>
      <c r="G328">
        <v>2.1846091193600934</v>
      </c>
      <c r="K328" s="25">
        <f t="shared" si="8"/>
        <v>2.84</v>
      </c>
    </row>
    <row r="329" spans="1:11" ht="15" customHeight="1" x14ac:dyDescent="0.25">
      <c r="A329" s="29">
        <v>2.85</v>
      </c>
      <c r="B329">
        <v>0.16078383117803993</v>
      </c>
      <c r="C329">
        <v>0.78284946564269697</v>
      </c>
      <c r="D329">
        <v>1.3900930185966129</v>
      </c>
      <c r="E329">
        <v>2.7879931473817297</v>
      </c>
      <c r="F329">
        <v>3.8755698100705382</v>
      </c>
      <c r="G329">
        <v>2.182578945643288</v>
      </c>
      <c r="K329" s="25">
        <f t="shared" si="8"/>
        <v>2.85</v>
      </c>
    </row>
    <row r="330" spans="1:11" ht="15" customHeight="1" x14ac:dyDescent="0.25">
      <c r="A330" s="29">
        <v>2.86</v>
      </c>
      <c r="B330">
        <v>0.16057074876124891</v>
      </c>
      <c r="C330">
        <v>0.7827837803492893</v>
      </c>
      <c r="D330">
        <v>1.3882507663141748</v>
      </c>
      <c r="E330">
        <v>2.785640424244618</v>
      </c>
      <c r="F330">
        <v>3.8671674536333329</v>
      </c>
      <c r="G330">
        <v>2.180554141984</v>
      </c>
      <c r="K330" s="25">
        <f t="shared" si="8"/>
        <v>2.86</v>
      </c>
    </row>
    <row r="331" spans="1:11" ht="15" customHeight="1" x14ac:dyDescent="0.25">
      <c r="A331" s="29">
        <v>2.87</v>
      </c>
      <c r="B331">
        <v>0.16035881591533943</v>
      </c>
      <c r="C331">
        <v>0.78271807891144163</v>
      </c>
      <c r="D331">
        <v>1.3864184529070893</v>
      </c>
      <c r="E331">
        <v>2.7832941919321028</v>
      </c>
      <c r="F331">
        <v>3.8588104275637916</v>
      </c>
      <c r="G331">
        <v>2.1785346829544689</v>
      </c>
      <c r="K331" s="25">
        <f t="shared" si="8"/>
        <v>2.87</v>
      </c>
    </row>
    <row r="332" spans="1:11" ht="15" customHeight="1" x14ac:dyDescent="0.25">
      <c r="A332" s="29">
        <v>2.88</v>
      </c>
      <c r="B332">
        <v>0.16014802222042707</v>
      </c>
      <c r="C332">
        <v>0.7826523637786893</v>
      </c>
      <c r="D332">
        <v>1.3845959882878864</v>
      </c>
      <c r="E332">
        <v>2.7809544109266984</v>
      </c>
      <c r="F332">
        <v>3.8504983209806074</v>
      </c>
      <c r="G332">
        <v>2.1765205432725527</v>
      </c>
      <c r="K332" s="25">
        <f t="shared" si="8"/>
        <v>2.88</v>
      </c>
    </row>
    <row r="333" spans="1:11" ht="15" customHeight="1" x14ac:dyDescent="0.25">
      <c r="A333" s="29">
        <v>2.89</v>
      </c>
      <c r="B333">
        <v>0.15993835738909121</v>
      </c>
      <c r="C333">
        <v>0.78258663735027056</v>
      </c>
      <c r="D333">
        <v>1.3827832835143419</v>
      </c>
      <c r="E333">
        <v>2.7786210420918689</v>
      </c>
      <c r="F333">
        <v>3.842230728225835</v>
      </c>
      <c r="G333">
        <v>2.1745116978013801</v>
      </c>
      <c r="K333" s="25">
        <f t="shared" si="8"/>
        <v>2.89</v>
      </c>
    </row>
    <row r="334" spans="1:11" ht="15" customHeight="1" x14ac:dyDescent="0.25">
      <c r="A334" s="29">
        <v>2.9</v>
      </c>
      <c r="B334">
        <v>0.1597298112642275</v>
      </c>
      <c r="C334">
        <v>0.78252090197614177</v>
      </c>
      <c r="D334">
        <v>1.3809802507709101</v>
      </c>
      <c r="E334">
        <v>2.7762940466671764</v>
      </c>
      <c r="F334">
        <v>3.8340072487802224</v>
      </c>
      <c r="G334">
        <v>2.1725081215489914</v>
      </c>
      <c r="K334" s="25">
        <f t="shared" si="8"/>
        <v>2.9</v>
      </c>
    </row>
    <row r="335" spans="1:11" ht="15" customHeight="1" x14ac:dyDescent="0.25">
      <c r="A335" s="29">
        <v>2.91</v>
      </c>
      <c r="B335">
        <v>0.15952237381694254</v>
      </c>
      <c r="C335">
        <v>0.78245515995796788</v>
      </c>
      <c r="D335">
        <v>1.3791868033505224</v>
      </c>
      <c r="E335">
        <v>2.7739733862634952</v>
      </c>
      <c r="F335">
        <v>3.8258274871801721</v>
      </c>
      <c r="G335">
        <v>2.1705097896679488</v>
      </c>
      <c r="K335" s="25">
        <f t="shared" si="8"/>
        <v>2.91</v>
      </c>
    </row>
    <row r="336" spans="1:11" ht="15" customHeight="1" x14ac:dyDescent="0.25">
      <c r="A336" s="29">
        <v>2.92</v>
      </c>
      <c r="B336">
        <v>0.1593160351444888</v>
      </c>
      <c r="C336">
        <v>0.78238941355009328</v>
      </c>
      <c r="D336">
        <v>1.3774028556367326</v>
      </c>
      <c r="E336">
        <v>2.7716590228583056</v>
      </c>
      <c r="F336">
        <v>3.8176910529363464</v>
      </c>
      <c r="G336">
        <v>2.1685166774549343</v>
      </c>
      <c r="K336" s="25">
        <f t="shared" si="8"/>
        <v>2.92</v>
      </c>
    </row>
    <row r="337" spans="1:11" ht="15" customHeight="1" x14ac:dyDescent="0.25">
      <c r="A337" s="29">
        <v>2.93</v>
      </c>
      <c r="B337">
        <v>0.1591107854682409</v>
      </c>
      <c r="C337">
        <v>0.78232366496048866</v>
      </c>
      <c r="D337">
        <v>1.3756283230862207</v>
      </c>
      <c r="E337">
        <v>2.7693509187910532</v>
      </c>
      <c r="F337">
        <v>3.8095975604538213</v>
      </c>
      <c r="G337">
        <v>2.1665287603503134</v>
      </c>
      <c r="K337" s="25">
        <f t="shared" si="8"/>
        <v>2.93</v>
      </c>
    </row>
    <row r="338" spans="1:11" ht="15" customHeight="1" x14ac:dyDescent="0.25">
      <c r="A338" s="29">
        <v>2.94</v>
      </c>
      <c r="B338">
        <v>0.15890661513170998</v>
      </c>
      <c r="C338">
        <v>0.78225791635167696</v>
      </c>
      <c r="D338">
        <v>1.373863122211626</v>
      </c>
      <c r="E338">
        <v>2.76704903675859</v>
      </c>
      <c r="F338">
        <v>3.8015466289538287</v>
      </c>
      <c r="G338">
        <v>2.1645460139376893</v>
      </c>
      <c r="K338" s="25">
        <f t="shared" si="8"/>
        <v>2.94</v>
      </c>
    </row>
    <row r="339" spans="1:11" ht="15" customHeight="1" x14ac:dyDescent="0.25">
      <c r="A339" s="29">
        <v>2.95</v>
      </c>
      <c r="B339">
        <v>0.15870351459859744</v>
      </c>
      <c r="C339">
        <v>0.78219216984164031</v>
      </c>
      <c r="D339">
        <v>1.3721071705647196</v>
      </c>
      <c r="E339">
        <v>2.7647533398106781</v>
      </c>
      <c r="F339">
        <v>3.7935378823969872</v>
      </c>
      <c r="G339">
        <v>2.1625684139434362</v>
      </c>
      <c r="K339" s="25">
        <f t="shared" si="8"/>
        <v>2.95</v>
      </c>
    </row>
    <row r="340" spans="1:11" ht="15" customHeight="1" x14ac:dyDescent="0.25">
      <c r="A340" s="29">
        <v>2.96</v>
      </c>
      <c r="B340">
        <v>0.15850147445088555</v>
      </c>
      <c r="C340">
        <v>0.78212642750470662</v>
      </c>
      <c r="D340">
        <v>1.370360386719897</v>
      </c>
      <c r="E340">
        <v>2.7624637913455659</v>
      </c>
      <c r="F340">
        <v>3.7855709494080214</v>
      </c>
      <c r="G340">
        <v>2.1605959362362146</v>
      </c>
      <c r="K340" s="25">
        <f t="shared" si="8"/>
        <v>2.96</v>
      </c>
    </row>
    <row r="341" spans="1:11" ht="15" customHeight="1" x14ac:dyDescent="0.25">
      <c r="A341" s="29">
        <v>2.97</v>
      </c>
      <c r="B341">
        <v>0.15830048538696487</v>
      </c>
      <c r="C341">
        <v>0.7820606913724153</v>
      </c>
      <c r="D341">
        <v>1.368622690257987</v>
      </c>
      <c r="E341">
        <v>2.7601803551056285</v>
      </c>
      <c r="F341">
        <v>3.7776454632019116</v>
      </c>
      <c r="G341">
        <v>2.1586285568264665</v>
      </c>
      <c r="K341" s="25">
        <f t="shared" si="8"/>
        <v>2.97</v>
      </c>
    </row>
    <row r="342" spans="1:11" ht="15" customHeight="1" x14ac:dyDescent="0.25">
      <c r="A342" s="29">
        <v>2.98</v>
      </c>
      <c r="B342">
        <v>0.15810053821979733</v>
      </c>
      <c r="C342">
        <v>0.78199496343436492</v>
      </c>
      <c r="D342">
        <v>1.3668940017503721</v>
      </c>
      <c r="E342">
        <v>2.7579029951730774</v>
      </c>
      <c r="F342">
        <v>3.7697610615114647</v>
      </c>
      <c r="G342">
        <v>2.1566662518658961</v>
      </c>
      <c r="K342" s="25">
        <f t="shared" si="8"/>
        <v>2.98</v>
      </c>
    </row>
    <row r="343" spans="1:11" ht="15" customHeight="1" x14ac:dyDescent="0.25">
      <c r="A343" s="29">
        <v>2.99</v>
      </c>
      <c r="B343">
        <v>0.15790162387511492</v>
      </c>
      <c r="C343">
        <v>0.78192924563904276</v>
      </c>
      <c r="D343">
        <v>1.3651742427434135</v>
      </c>
      <c r="E343">
        <v>2.7556316759657387</v>
      </c>
      <c r="F343">
        <v>3.7619173865162909</v>
      </c>
      <c r="G343">
        <v>2.1547089976469413</v>
      </c>
      <c r="K343" s="25">
        <f t="shared" si="8"/>
        <v>2.99</v>
      </c>
    </row>
    <row r="344" spans="1:11" ht="15" customHeight="1" x14ac:dyDescent="0.25">
      <c r="A344" s="29">
        <v>3</v>
      </c>
      <c r="B344">
        <v>0.15770373338965171</v>
      </c>
      <c r="C344">
        <v>0.7818635398946342</v>
      </c>
      <c r="D344">
        <v>1.363463335743166</v>
      </c>
      <c r="E344">
        <v>2.7533663622328852</v>
      </c>
      <c r="F344">
        <v>3.754114084773077</v>
      </c>
      <c r="G344">
        <v>2.1527567706022155</v>
      </c>
      <c r="K344" s="25">
        <f t="shared" si="8"/>
        <v>3</v>
      </c>
    </row>
    <row r="345" spans="1:11" ht="15" customHeight="1" x14ac:dyDescent="0.25">
      <c r="A345" s="29">
        <v>3.01</v>
      </c>
      <c r="B345">
        <v>0.15750685790941016</v>
      </c>
      <c r="C345">
        <v>0.78179784806981856</v>
      </c>
      <c r="D345">
        <v>1.3617612042003893</v>
      </c>
      <c r="E345">
        <v>2.7511070190511417</v>
      </c>
      <c r="F345">
        <v>3.7463508071472269</v>
      </c>
      <c r="G345">
        <v>2.1508095473039561</v>
      </c>
      <c r="K345" s="25">
        <f t="shared" si="8"/>
        <v>3.01</v>
      </c>
    </row>
    <row r="346" spans="1:11" ht="15" customHeight="1" x14ac:dyDescent="0.25">
      <c r="A346" s="29">
        <v>3.02</v>
      </c>
      <c r="B346">
        <v>0.15731098868795979</v>
      </c>
      <c r="C346">
        <v>0.78173217199454115</v>
      </c>
      <c r="D346">
        <v>1.3600677724958381</v>
      </c>
      <c r="E346">
        <v>2.7488536118204481</v>
      </c>
      <c r="F346">
        <v>3.738627208745775</v>
      </c>
      <c r="G346">
        <v>2.1488673044634381</v>
      </c>
      <c r="K346" s="25">
        <f t="shared" si="8"/>
        <v>3.02</v>
      </c>
    </row>
    <row r="347" spans="1:11" ht="15" customHeight="1" x14ac:dyDescent="0.25">
      <c r="A347" s="29">
        <v>3.03</v>
      </c>
      <c r="B347">
        <v>0.15711611708476786</v>
      </c>
      <c r="C347">
        <v>0.78166651346077654</v>
      </c>
      <c r="D347">
        <v>1.35838296592583</v>
      </c>
      <c r="E347">
        <v>2.7466061062600824</v>
      </c>
      <c r="F347">
        <v>3.730942948851566</v>
      </c>
      <c r="G347">
        <v>2.1469300189303979</v>
      </c>
      <c r="K347" s="25">
        <f t="shared" si="8"/>
        <v>3.03</v>
      </c>
    </row>
    <row r="348" spans="1:11" ht="15" customHeight="1" x14ac:dyDescent="0.25">
      <c r="A348" s="29">
        <v>3.04</v>
      </c>
      <c r="B348">
        <v>0.15692223456356119</v>
      </c>
      <c r="C348">
        <v>0.78160087422326729</v>
      </c>
      <c r="D348">
        <v>1.3567067106880826</v>
      </c>
      <c r="E348">
        <v>2.7443644684047412</v>
      </c>
      <c r="F348">
        <v>3.723297690858645</v>
      </c>
      <c r="G348">
        <v>2.1449976676924178</v>
      </c>
      <c r="K348" s="25">
        <f t="shared" si="8"/>
        <v>3.04</v>
      </c>
    </row>
    <row r="349" spans="1:11" ht="15" customHeight="1" x14ac:dyDescent="0.25">
      <c r="A349" s="29">
        <v>3.05</v>
      </c>
      <c r="B349">
        <v>0.1567293326907192</v>
      </c>
      <c r="C349">
        <v>0.78153525600025386</v>
      </c>
      <c r="D349">
        <v>1.3550389338678193</v>
      </c>
      <c r="E349">
        <v>2.7421286646006844</v>
      </c>
      <c r="F349">
        <v>3.7156911022088992</v>
      </c>
      <c r="G349">
        <v>2.1430702278743303</v>
      </c>
      <c r="K349" s="25">
        <f t="shared" si="8"/>
        <v>3.05</v>
      </c>
    </row>
    <row r="350" spans="1:11" ht="15" customHeight="1" x14ac:dyDescent="0.25">
      <c r="A350" s="29">
        <v>3.06</v>
      </c>
      <c r="B350">
        <v>0.15653740313369602</v>
      </c>
      <c r="C350">
        <v>0.78146966047418354</v>
      </c>
      <c r="D350">
        <v>1.3533795634241281</v>
      </c>
      <c r="E350">
        <v>2.7398986615019307</v>
      </c>
      <c r="F350">
        <v>3.7081228543298357</v>
      </c>
      <c r="G350">
        <v>2.1411476767375839</v>
      </c>
      <c r="K350" s="25">
        <f t="shared" si="8"/>
        <v>3.06</v>
      </c>
    </row>
    <row r="351" spans="1:11" ht="15" customHeight="1" x14ac:dyDescent="0.25">
      <c r="A351" s="29">
        <v>3.07</v>
      </c>
      <c r="B351">
        <v>0.15634643765947276</v>
      </c>
      <c r="C351">
        <v>0.78140408929240601</v>
      </c>
      <c r="D351">
        <v>1.3517285281765801</v>
      </c>
      <c r="E351">
        <v>2.7376744260665182</v>
      </c>
      <c r="F351">
        <v>3.700592622573557</v>
      </c>
      <c r="G351">
        <v>2.1392299916796178</v>
      </c>
      <c r="K351" s="25">
        <f t="shared" si="8"/>
        <v>3.07</v>
      </c>
    </row>
    <row r="352" spans="1:11" ht="15" customHeight="1" x14ac:dyDescent="0.25">
      <c r="A352" s="29">
        <v>3.08</v>
      </c>
      <c r="B352">
        <v>0.15615642813303784</v>
      </c>
      <c r="C352">
        <v>0.78133854406785608</v>
      </c>
      <c r="D352">
        <v>1.3500857577920906</v>
      </c>
      <c r="E352">
        <v>2.7354559255528104</v>
      </c>
      <c r="F352">
        <v>3.6931000861568304</v>
      </c>
      <c r="G352">
        <v>2.1373171502332227</v>
      </c>
      <c r="K352" s="25">
        <f t="shared" si="8"/>
        <v>3.08</v>
      </c>
    </row>
    <row r="353" spans="1:11" ht="15" customHeight="1" x14ac:dyDescent="0.25">
      <c r="A353" s="29">
        <v>3.09</v>
      </c>
      <c r="B353">
        <v>0.15596736651589546</v>
      </c>
      <c r="C353">
        <v>0.78127302637971796</v>
      </c>
      <c r="D353">
        <v>1.3484511827720242</v>
      </c>
      <c r="E353">
        <v>2.7332431275158613</v>
      </c>
      <c r="F353">
        <v>3.6856449281022692</v>
      </c>
      <c r="G353">
        <v>2.1354091300658822</v>
      </c>
      <c r="K353" s="25">
        <f t="shared" si="8"/>
        <v>3.09</v>
      </c>
    </row>
    <row r="354" spans="1:11" ht="15" customHeight="1" x14ac:dyDescent="0.25">
      <c r="A354" s="29">
        <v>3.1</v>
      </c>
      <c r="B354">
        <v>0.1557792448646019</v>
      </c>
      <c r="C354">
        <v>0.78120753777407848</v>
      </c>
      <c r="D354">
        <v>1.3468247344395394</v>
      </c>
      <c r="E354">
        <v>2.7310359998038374</v>
      </c>
      <c r="F354">
        <v>3.678226835180626</v>
      </c>
      <c r="G354">
        <v>2.1335059089791244</v>
      </c>
      <c r="K354" s="25">
        <f t="shared" si="8"/>
        <v>3.1</v>
      </c>
    </row>
    <row r="355" spans="1:11" ht="15" customHeight="1" x14ac:dyDescent="0.25">
      <c r="A355" s="29">
        <v>3.11</v>
      </c>
      <c r="B355">
        <v>0.15559205532932777</v>
      </c>
      <c r="C355">
        <v>0.78114207976456473</v>
      </c>
      <c r="D355">
        <v>1.3452063449271587</v>
      </c>
      <c r="E355">
        <v>2.7288345105544827</v>
      </c>
      <c r="F355">
        <v>3.6708454978540885</v>
      </c>
      <c r="G355">
        <v>2.1316074649078467</v>
      </c>
      <c r="K355" s="25">
        <f t="shared" si="8"/>
        <v>3.11</v>
      </c>
    </row>
    <row r="356" spans="1:11" ht="15" customHeight="1" x14ac:dyDescent="0.25">
      <c r="A356" s="29">
        <v>3.12</v>
      </c>
      <c r="B356">
        <v>0.15540579015244765</v>
      </c>
      <c r="C356">
        <v>0.78107665383296931</v>
      </c>
      <c r="D356">
        <v>1.3435959471645753</v>
      </c>
      <c r="E356">
        <v>2.7266386281916475</v>
      </c>
      <c r="F356">
        <v>3.6635006102206753</v>
      </c>
      <c r="G356">
        <v>2.1297137759196496</v>
      </c>
      <c r="K356" s="25">
        <f t="shared" si="8"/>
        <v>3.12</v>
      </c>
    </row>
    <row r="357" spans="1:11" ht="15" customHeight="1" x14ac:dyDescent="0.25">
      <c r="A357" s="29">
        <v>3.13</v>
      </c>
      <c r="B357">
        <v>0.15522044166715449</v>
      </c>
      <c r="C357">
        <v>0.78101126142986099</v>
      </c>
      <c r="D357">
        <v>1.3419934748666726</v>
      </c>
      <c r="E357">
        <v>2.7244483214218569</v>
      </c>
      <c r="F357">
        <v>3.6561918699595903</v>
      </c>
      <c r="G357">
        <v>2.1278248202141516</v>
      </c>
      <c r="K357" s="25">
        <f t="shared" si="8"/>
        <v>3.13</v>
      </c>
    </row>
    <row r="358" spans="1:11" ht="15" customHeight="1" x14ac:dyDescent="0.25">
      <c r="A358" s="29">
        <v>3.14</v>
      </c>
      <c r="B358">
        <v>0.15503600229609968</v>
      </c>
      <c r="C358">
        <v>0.78094590397518404</v>
      </c>
      <c r="D358">
        <v>1.3403988625217675</v>
      </c>
      <c r="E358">
        <v>2.7222635592309365</v>
      </c>
      <c r="F358">
        <v>3.6489189782776053</v>
      </c>
      <c r="G358">
        <v>2.1259405761223058</v>
      </c>
      <c r="K358" s="25">
        <f t="shared" si="8"/>
        <v>3.14</v>
      </c>
    </row>
    <row r="359" spans="1:11" ht="15" customHeight="1" x14ac:dyDescent="0.25">
      <c r="A359" s="29">
        <v>3.15</v>
      </c>
      <c r="B359">
        <v>0.15485246455005738</v>
      </c>
      <c r="C359">
        <v>0.78088058285884387</v>
      </c>
      <c r="D359">
        <v>1.3388120453800623</v>
      </c>
      <c r="E359">
        <v>2.7200843108806807</v>
      </c>
      <c r="F359">
        <v>3.6416816398563796</v>
      </c>
      <c r="G359">
        <v>2.1240610221057028</v>
      </c>
      <c r="K359" s="25">
        <f t="shared" si="8"/>
        <v>3.15</v>
      </c>
    </row>
    <row r="360" spans="1:11" ht="15" customHeight="1" x14ac:dyDescent="0.25">
      <c r="A360" s="29">
        <v>3.16</v>
      </c>
      <c r="B360">
        <v>0.15466982102661339</v>
      </c>
      <c r="C360">
        <v>0.78081529944128103</v>
      </c>
      <c r="D360">
        <v>1.3372329594423087</v>
      </c>
      <c r="E360">
        <v>2.7179105459055766</v>
      </c>
      <c r="F360">
        <v>3.6344795628007738</v>
      </c>
      <c r="G360">
        <v>2.1221861367558783</v>
      </c>
      <c r="K360" s="25">
        <f t="shared" si="8"/>
        <v>3.16</v>
      </c>
    </row>
    <row r="361" spans="1:11" ht="15" customHeight="1" x14ac:dyDescent="0.25">
      <c r="A361" s="29">
        <v>3.17</v>
      </c>
      <c r="B361">
        <v>0.15448806440887713</v>
      </c>
      <c r="C361">
        <v>0.78075005505403239</v>
      </c>
      <c r="D361">
        <v>1.3356615414486728</v>
      </c>
      <c r="E361">
        <v>2.7157422341095674</v>
      </c>
      <c r="F361">
        <v>3.6273124585880452</v>
      </c>
      <c r="G361">
        <v>2.1203158987936055</v>
      </c>
      <c r="K361" s="25">
        <f t="shared" si="8"/>
        <v>3.17</v>
      </c>
    </row>
    <row r="362" spans="1:11" ht="15" customHeight="1" x14ac:dyDescent="0.25">
      <c r="A362" s="29">
        <v>3.18</v>
      </c>
      <c r="B362">
        <v>0.15430718746421682</v>
      </c>
      <c r="C362">
        <v>0.78068485100028129</v>
      </c>
      <c r="D362">
        <v>1.3340977288677984</v>
      </c>
      <c r="E362">
        <v>2.7135793455628661</v>
      </c>
      <c r="F362">
        <v>3.6201800420179855</v>
      </c>
      <c r="G362">
        <v>2.1184502870681867</v>
      </c>
      <c r="K362" s="25">
        <f t="shared" si="8"/>
        <v>3.18</v>
      </c>
    </row>
    <row r="363" spans="1:11" ht="15" customHeight="1" x14ac:dyDescent="0.25">
      <c r="A363" s="29">
        <v>3.19</v>
      </c>
      <c r="B363">
        <v>0.15412718304301781</v>
      </c>
      <c r="C363">
        <v>0.78061968855539654</v>
      </c>
      <c r="D363">
        <v>1.3325414598860736</v>
      </c>
      <c r="E363">
        <v>2.7114218505988186</v>
      </c>
      <c r="F363">
        <v>3.6130820311639478</v>
      </c>
      <c r="G363">
        <v>2.1165892805567466</v>
      </c>
      <c r="K363" s="25">
        <f t="shared" si="8"/>
        <v>3.19</v>
      </c>
    </row>
    <row r="364" spans="1:11" ht="15" customHeight="1" x14ac:dyDescent="0.25">
      <c r="A364" s="29">
        <v>3.2</v>
      </c>
      <c r="B364">
        <v>0.15394804407746188</v>
      </c>
      <c r="C364">
        <v>0.78055456896745856</v>
      </c>
      <c r="D364">
        <v>1.3309926733970754</v>
      </c>
      <c r="E364">
        <v>2.7092697198108007</v>
      </c>
      <c r="F364">
        <v>3.6060181473247219</v>
      </c>
      <c r="G364">
        <v>2.1147328583635066</v>
      </c>
      <c r="K364" s="25">
        <f t="shared" ref="K364:K427" si="9">A364</f>
        <v>3.2</v>
      </c>
    </row>
    <row r="365" spans="1:11" ht="15" customHeight="1" x14ac:dyDescent="0.25">
      <c r="A365" s="29">
        <v>3.21</v>
      </c>
      <c r="B365">
        <v>0.15376976358032951</v>
      </c>
      <c r="C365">
        <v>0.78048949345777741</v>
      </c>
      <c r="D365">
        <v>1.3294513089912152</v>
      </c>
      <c r="E365">
        <v>2.7071229240491705</v>
      </c>
      <c r="F365">
        <v>3.5989881149772947</v>
      </c>
      <c r="G365">
        <v>2.1128809997190743</v>
      </c>
      <c r="K365" s="25">
        <f t="shared" si="9"/>
        <v>3.21</v>
      </c>
    </row>
    <row r="366" spans="1:11" ht="15" customHeight="1" x14ac:dyDescent="0.25">
      <c r="A366" s="29">
        <v>3.22</v>
      </c>
      <c r="B366">
        <v>0.1535923346438223</v>
      </c>
      <c r="C366">
        <v>0.78042446322139691</v>
      </c>
      <c r="D366">
        <v>1.3279173069455583</v>
      </c>
      <c r="E366">
        <v>2.7049814344182597</v>
      </c>
      <c r="F366">
        <v>3.5919916617304288</v>
      </c>
      <c r="G366">
        <v>2.1110336839797146</v>
      </c>
      <c r="K366" s="25">
        <f t="shared" si="9"/>
        <v>3.22</v>
      </c>
    </row>
    <row r="367" spans="1:11" ht="15" customHeight="1" x14ac:dyDescent="0.25">
      <c r="A367" s="29">
        <v>3.23</v>
      </c>
      <c r="B367">
        <v>0.15341575043840697</v>
      </c>
      <c r="C367">
        <v>0.7803594794275901</v>
      </c>
      <c r="D367">
        <v>1.3263906082138277</v>
      </c>
      <c r="E367">
        <v>2.7028452222734027</v>
      </c>
      <c r="F367">
        <v>3.5850285182790551</v>
      </c>
      <c r="G367">
        <v>2.1091908906266217</v>
      </c>
      <c r="K367" s="25">
        <f t="shared" si="9"/>
        <v>3.23</v>
      </c>
    </row>
    <row r="368" spans="1:11" ht="15" customHeight="1" x14ac:dyDescent="0.25">
      <c r="A368" s="29">
        <v>3.24</v>
      </c>
      <c r="B368">
        <v>0.15324000421167891</v>
      </c>
      <c r="C368">
        <v>0.78029454322034564</v>
      </c>
      <c r="D368">
        <v>1.3248711544165808</v>
      </c>
      <c r="E368">
        <v>2.7007142592180178</v>
      </c>
      <c r="F368">
        <v>3.5780984183594944</v>
      </c>
      <c r="G368">
        <v>2.1073525992651971</v>
      </c>
      <c r="K368" s="25">
        <f t="shared" si="9"/>
        <v>3.24</v>
      </c>
    </row>
    <row r="369" spans="1:11" ht="15" customHeight="1" x14ac:dyDescent="0.25">
      <c r="A369" s="29">
        <v>3.25</v>
      </c>
      <c r="B369">
        <v>0.15306508928724652</v>
      </c>
      <c r="C369">
        <v>0.78022965571884106</v>
      </c>
      <c r="D369">
        <v>1.3233588878315623</v>
      </c>
      <c r="E369">
        <v>2.69858851710072</v>
      </c>
      <c r="F369">
        <v>3.5712010987054335</v>
      </c>
      <c r="G369">
        <v>2.1055187896243126</v>
      </c>
      <c r="K369" s="25">
        <f t="shared" si="9"/>
        <v>3.25</v>
      </c>
    </row>
    <row r="370" spans="1:11" ht="15" customHeight="1" x14ac:dyDescent="0.25">
      <c r="A370" s="29">
        <v>3.26</v>
      </c>
      <c r="B370">
        <v>0.1528909990636344</v>
      </c>
      <c r="C370">
        <v>0.78016481801790971</v>
      </c>
      <c r="D370">
        <v>1.3218537513842217</v>
      </c>
      <c r="E370">
        <v>2.6964679680124779</v>
      </c>
      <c r="F370">
        <v>3.5643362990046827</v>
      </c>
      <c r="G370">
        <v>2.1036894415555776</v>
      </c>
      <c r="K370" s="25">
        <f t="shared" si="9"/>
        <v>3.26</v>
      </c>
    </row>
    <row r="371" spans="1:11" ht="15" customHeight="1" x14ac:dyDescent="0.25">
      <c r="A371" s="29">
        <v>3.27</v>
      </c>
      <c r="B371">
        <v>0.1527177270132058</v>
      </c>
      <c r="C371">
        <v>0.7801000311884958</v>
      </c>
      <c r="D371">
        <v>1.3203556886383974</v>
      </c>
      <c r="E371">
        <v>2.6943525842838132</v>
      </c>
      <c r="F371">
        <v>3.5575037618566991</v>
      </c>
      <c r="G371">
        <v>2.1018645350326071</v>
      </c>
      <c r="K371" s="25">
        <f t="shared" si="9"/>
        <v>3.27</v>
      </c>
    </row>
    <row r="372" spans="1:11" ht="15" customHeight="1" x14ac:dyDescent="0.25">
      <c r="A372" s="29">
        <v>3.28</v>
      </c>
      <c r="B372">
        <v>0.15254526668110394</v>
      </c>
      <c r="C372">
        <v>0.78003529627810009</v>
      </c>
      <c r="D372">
        <v>1.3188646437871636</v>
      </c>
      <c r="E372">
        <v>2.6922423384820324</v>
      </c>
      <c r="F372">
        <v>3.5507032327308252</v>
      </c>
      <c r="G372">
        <v>2.1000440501502773</v>
      </c>
      <c r="K372" s="25">
        <f t="shared" si="9"/>
        <v>3.28</v>
      </c>
    </row>
    <row r="373" spans="1:11" ht="15" customHeight="1" x14ac:dyDescent="0.25">
      <c r="A373" s="29">
        <v>3.29</v>
      </c>
      <c r="B373">
        <v>0.15237361168421179</v>
      </c>
      <c r="C373">
        <v>0.77997061431122028</v>
      </c>
      <c r="D373">
        <v>1.317380561643837</v>
      </c>
      <c r="E373">
        <v>2.6901372034085069</v>
      </c>
      <c r="F373">
        <v>3.5439344599252802</v>
      </c>
      <c r="G373">
        <v>2.0982279671240014</v>
      </c>
      <c r="K373" s="25">
        <f t="shared" si="9"/>
        <v>3.29</v>
      </c>
    </row>
    <row r="374" spans="1:11" ht="15" customHeight="1" x14ac:dyDescent="0.25">
      <c r="A374" s="29">
        <v>3.3</v>
      </c>
      <c r="B374">
        <v>0.15220275571012931</v>
      </c>
      <c r="C374">
        <v>0.77990598628977514</v>
      </c>
      <c r="D374">
        <v>1.3159033876331332</v>
      </c>
      <c r="E374">
        <v>2.6880371520959763</v>
      </c>
      <c r="F374">
        <v>3.5371971945268132</v>
      </c>
      <c r="G374">
        <v>2.0964162662889705</v>
      </c>
      <c r="K374" s="25">
        <f t="shared" si="9"/>
        <v>3.3</v>
      </c>
    </row>
    <row r="375" spans="1:11" ht="15" customHeight="1" x14ac:dyDescent="0.25">
      <c r="A375" s="29">
        <v>3.31</v>
      </c>
      <c r="B375">
        <v>0.15203269251616869</v>
      </c>
      <c r="C375">
        <v>0.77984141319352929</v>
      </c>
      <c r="D375">
        <v>1.3144330677824814</v>
      </c>
      <c r="E375">
        <v>2.6859421578059068</v>
      </c>
      <c r="F375">
        <v>3.5304911903711154</v>
      </c>
      <c r="G375">
        <v>2.094608928099436</v>
      </c>
      <c r="K375" s="25">
        <f t="shared" si="9"/>
        <v>3.31</v>
      </c>
    </row>
    <row r="376" spans="1:11" ht="15" customHeight="1" x14ac:dyDescent="0.25">
      <c r="A376" s="29">
        <v>3.32</v>
      </c>
      <c r="B376">
        <v>0.15186341592836694</v>
      </c>
      <c r="C376">
        <v>0.77977689598050026</v>
      </c>
      <c r="D376">
        <v>1.3129695487134869</v>
      </c>
      <c r="E376">
        <v>2.6838521940258708</v>
      </c>
      <c r="F376">
        <v>3.5238162040038494</v>
      </c>
      <c r="G376">
        <v>2.0928059331279489</v>
      </c>
      <c r="K376" s="25">
        <f t="shared" si="9"/>
        <v>3.32</v>
      </c>
    </row>
    <row r="377" spans="1:11" ht="15" customHeight="1" x14ac:dyDescent="0.25">
      <c r="A377" s="29">
        <v>3.33</v>
      </c>
      <c r="B377">
        <v>0.15169491984051511</v>
      </c>
      <c r="C377">
        <v>0.77971243558736525</v>
      </c>
      <c r="D377">
        <v>1.3115127776335374</v>
      </c>
      <c r="E377">
        <v>2.6817672344669705</v>
      </c>
      <c r="F377">
        <v>3.5171719946423852</v>
      </c>
      <c r="G377">
        <v>2.0910072620646343</v>
      </c>
      <c r="K377" s="25">
        <f t="shared" si="9"/>
        <v>3.33</v>
      </c>
    </row>
    <row r="378" spans="1:11" ht="15" customHeight="1" x14ac:dyDescent="0.25">
      <c r="A378" s="29">
        <v>3.34</v>
      </c>
      <c r="B378">
        <v>0.15152719821320401</v>
      </c>
      <c r="C378">
        <v>0.77964803292985285</v>
      </c>
      <c r="D378">
        <v>1.3100627023275531</v>
      </c>
      <c r="E378">
        <v>2.6796872530612954</v>
      </c>
      <c r="F378">
        <v>3.5105583241381781</v>
      </c>
      <c r="G378">
        <v>2.08921289571644</v>
      </c>
      <c r="K378" s="25">
        <f t="shared" si="9"/>
        <v>3.34</v>
      </c>
    </row>
    <row r="379" spans="1:11" ht="15" customHeight="1" x14ac:dyDescent="0.25">
      <c r="A379" s="29">
        <v>3.35</v>
      </c>
      <c r="B379">
        <v>0.15136024507288653</v>
      </c>
      <c r="C379">
        <v>0.77958368890313312</v>
      </c>
      <c r="D379">
        <v>1.3086192711498799</v>
      </c>
      <c r="E379">
        <v>2.6776122239594122</v>
      </c>
      <c r="F379">
        <v>3.5039749569397749</v>
      </c>
      <c r="G379">
        <v>2.0874228150064007</v>
      </c>
      <c r="K379" s="25">
        <f t="shared" si="9"/>
        <v>3.35</v>
      </c>
    </row>
    <row r="380" spans="1:11" ht="15" customHeight="1" x14ac:dyDescent="0.25">
      <c r="A380" s="29">
        <v>3.36</v>
      </c>
      <c r="B380">
        <v>0.15119405451095569</v>
      </c>
      <c r="C380">
        <v>0.77951940438219525</v>
      </c>
      <c r="D380">
        <v>1.3071824330163184</v>
      </c>
      <c r="E380">
        <v>2.6755421215278941</v>
      </c>
      <c r="F380">
        <v>3.4974216600564745</v>
      </c>
      <c r="G380">
        <v>2.0856370009728988</v>
      </c>
      <c r="K380" s="25">
        <f t="shared" si="9"/>
        <v>3.36</v>
      </c>
    </row>
    <row r="381" spans="1:11" ht="15" customHeight="1" x14ac:dyDescent="0.25">
      <c r="A381" s="29">
        <v>3.37</v>
      </c>
      <c r="B381">
        <v>0.15102862068283793</v>
      </c>
      <c r="C381">
        <v>0.7794551802222186</v>
      </c>
      <c r="D381">
        <v>1.3057521373962846</v>
      </c>
      <c r="E381">
        <v>2.6734769203468751</v>
      </c>
      <c r="F381">
        <v>3.4908982030225677</v>
      </c>
      <c r="G381">
        <v>2.0838554347689153</v>
      </c>
      <c r="K381" s="25">
        <f t="shared" si="9"/>
        <v>3.37</v>
      </c>
    </row>
    <row r="382" spans="1:11" ht="15" customHeight="1" x14ac:dyDescent="0.25">
      <c r="A382" s="29">
        <v>3.38</v>
      </c>
      <c r="B382">
        <v>0.15086393780710231</v>
      </c>
      <c r="C382">
        <v>0.77939101725893967</v>
      </c>
      <c r="D382">
        <v>1.304328334305108</v>
      </c>
      <c r="E382">
        <v>2.6714165952076478</v>
      </c>
      <c r="F382">
        <v>3.4844043578622137</v>
      </c>
      <c r="G382">
        <v>2.0820780976613018</v>
      </c>
      <c r="K382" s="25">
        <f t="shared" si="9"/>
        <v>3.38</v>
      </c>
    </row>
    <row r="383" spans="1:11" ht="15" customHeight="1" x14ac:dyDescent="0.25">
      <c r="A383" s="29">
        <v>3.39</v>
      </c>
      <c r="B383">
        <v>0.15070000016458435</v>
      </c>
      <c r="C383">
        <v>0.7793269163090063</v>
      </c>
      <c r="D383">
        <v>1.3029109742964573</v>
      </c>
      <c r="E383">
        <v>2.669361121110287</v>
      </c>
      <c r="F383">
        <v>3.4779398990548875</v>
      </c>
      <c r="G383">
        <v>2.0803049710300319</v>
      </c>
      <c r="K383" s="25">
        <f t="shared" si="9"/>
        <v>3.39</v>
      </c>
    </row>
    <row r="384" spans="1:11" ht="15" customHeight="1" x14ac:dyDescent="0.25">
      <c r="A384" s="29">
        <v>3.4</v>
      </c>
      <c r="B384">
        <v>0.15053680209752446</v>
      </c>
      <c r="C384">
        <v>0.77926287817033046</v>
      </c>
      <c r="D384">
        <v>1.3015000084548909</v>
      </c>
      <c r="E384">
        <v>2.667310473261304</v>
      </c>
      <c r="F384">
        <v>3.4715046035014057</v>
      </c>
      <c r="G384">
        <v>2.0785360363674701</v>
      </c>
      <c r="K384" s="25">
        <f t="shared" si="9"/>
        <v>3.4</v>
      </c>
    </row>
    <row r="385" spans="1:11" ht="15" customHeight="1" x14ac:dyDescent="0.25">
      <c r="A385" s="29">
        <v>3.41</v>
      </c>
      <c r="B385">
        <v>0.15037433800872099</v>
      </c>
      <c r="C385">
        <v>0.77919890362242794</v>
      </c>
      <c r="D385">
        <v>1.3000953883885342</v>
      </c>
      <c r="E385">
        <v>2.6652646270713394</v>
      </c>
      <c r="F385">
        <v>3.465098250490533</v>
      </c>
      <c r="G385">
        <v>2.0767712752776268</v>
      </c>
      <c r="K385" s="25">
        <f t="shared" si="9"/>
        <v>3.41</v>
      </c>
    </row>
    <row r="386" spans="1:11" ht="15" customHeight="1" x14ac:dyDescent="0.25">
      <c r="A386" s="29">
        <v>3.42</v>
      </c>
      <c r="B386">
        <v>0.15021260236069728</v>
      </c>
      <c r="C386">
        <v>0.77913499342675829</v>
      </c>
      <c r="D386">
        <v>1.2986970662218793</v>
      </c>
      <c r="E386">
        <v>2.6632235581528816</v>
      </c>
      <c r="F386">
        <v>3.4587206216661408</v>
      </c>
      <c r="G386">
        <v>2.0750106694754331</v>
      </c>
      <c r="K386" s="25">
        <f t="shared" si="9"/>
        <v>3.42</v>
      </c>
    </row>
    <row r="387" spans="1:11" ht="15" customHeight="1" x14ac:dyDescent="0.25">
      <c r="A387" s="29">
        <v>3.43</v>
      </c>
      <c r="B387">
        <v>0.15005158967488269</v>
      </c>
      <c r="C387">
        <v>0.77907114832705249</v>
      </c>
      <c r="D387">
        <v>1.297304994588703</v>
      </c>
      <c r="E387">
        <v>2.6611872423180163</v>
      </c>
      <c r="F387">
        <v>3.4523715009948992</v>
      </c>
      <c r="G387">
        <v>2.0732542007859989</v>
      </c>
      <c r="K387" s="25">
        <f t="shared" si="9"/>
        <v>3.43</v>
      </c>
    </row>
    <row r="388" spans="1:11" ht="15" customHeight="1" x14ac:dyDescent="0.25">
      <c r="A388" s="29">
        <v>3.44</v>
      </c>
      <c r="B388">
        <v>0.14989129453080674</v>
      </c>
      <c r="C388">
        <v>0.77900736904963575</v>
      </c>
      <c r="D388">
        <v>1.2959191266251004</v>
      </c>
      <c r="E388">
        <v>2.6591556555762041</v>
      </c>
      <c r="F388">
        <v>3.4460506747345092</v>
      </c>
      <c r="G388">
        <v>2.0715018511438781</v>
      </c>
      <c r="K388" s="25">
        <f t="shared" si="9"/>
        <v>3.44</v>
      </c>
    </row>
    <row r="389" spans="1:11" ht="15" customHeight="1" x14ac:dyDescent="0.25">
      <c r="A389" s="29">
        <v>3.45</v>
      </c>
      <c r="B389">
        <v>0.14973171156530743</v>
      </c>
      <c r="C389">
        <v>0.77894365630374574</v>
      </c>
      <c r="D389">
        <v>1.2945394159626404</v>
      </c>
      <c r="E389">
        <v>2.6571287741320999</v>
      </c>
      <c r="F389">
        <v>3.4397579314024949</v>
      </c>
      <c r="G389">
        <v>2.0697536025923475</v>
      </c>
      <c r="K389" s="25">
        <f t="shared" si="9"/>
        <v>3.45</v>
      </c>
    </row>
    <row r="390" spans="1:11" ht="15" customHeight="1" x14ac:dyDescent="0.25">
      <c r="A390" s="29">
        <v>3.46</v>
      </c>
      <c r="B390">
        <v>0.14957283547175157</v>
      </c>
      <c r="C390">
        <v>0.77888001078184232</v>
      </c>
      <c r="D390">
        <v>1.2931658167216238</v>
      </c>
      <c r="E390">
        <v>2.6551065743833786</v>
      </c>
      <c r="F390">
        <v>3.4334930617454349</v>
      </c>
      <c r="G390">
        <v>2.0680094372826665</v>
      </c>
      <c r="K390" s="25">
        <f t="shared" si="9"/>
        <v>3.46</v>
      </c>
    </row>
    <row r="391" spans="1:11" ht="15" customHeight="1" x14ac:dyDescent="0.25">
      <c r="A391" s="29">
        <v>3.47</v>
      </c>
      <c r="B391">
        <v>0.14941466099926884</v>
      </c>
      <c r="C391">
        <v>0.77881643315991322</v>
      </c>
      <c r="D391">
        <v>1.2917982835044624</v>
      </c>
      <c r="E391">
        <v>2.6530890329186128</v>
      </c>
      <c r="F391">
        <v>3.427255858708778</v>
      </c>
      <c r="G391">
        <v>2.0662693374733574</v>
      </c>
      <c r="K391" s="25">
        <f t="shared" si="9"/>
        <v>3.47</v>
      </c>
    </row>
    <row r="392" spans="1:11" ht="15" customHeight="1" x14ac:dyDescent="0.25">
      <c r="A392" s="29">
        <v>3.48</v>
      </c>
      <c r="B392">
        <v>0.14925718295199764</v>
      </c>
      <c r="C392">
        <v>0.77875292409777075</v>
      </c>
      <c r="D392">
        <v>1.290436771389158</v>
      </c>
      <c r="E392">
        <v>2.651076126515163</v>
      </c>
      <c r="F392">
        <v>3.4210461174071014</v>
      </c>
      <c r="G392">
        <v>2.0645332855294747</v>
      </c>
      <c r="K392" s="25">
        <f t="shared" si="9"/>
        <v>3.48</v>
      </c>
    </row>
    <row r="393" spans="1:11" ht="15" customHeight="1" x14ac:dyDescent="0.25">
      <c r="A393" s="29">
        <v>3.49</v>
      </c>
      <c r="B393">
        <v>0.1491003961883437</v>
      </c>
      <c r="C393">
        <v>0.77868948423934625</v>
      </c>
      <c r="D393">
        <v>1.2890812359228938</v>
      </c>
      <c r="E393">
        <v>2.6490678321371033</v>
      </c>
      <c r="F393">
        <v>3.4148636350948767</v>
      </c>
      <c r="G393">
        <v>2.0628012639218842</v>
      </c>
      <c r="K393" s="25">
        <f t="shared" si="9"/>
        <v>3.49</v>
      </c>
    </row>
    <row r="394" spans="1:11" ht="15" customHeight="1" x14ac:dyDescent="0.25">
      <c r="A394" s="29">
        <v>3.5</v>
      </c>
      <c r="B394">
        <v>0.14894429562025088</v>
      </c>
      <c r="C394">
        <v>0.77862611421297656</v>
      </c>
      <c r="D394">
        <v>1.2877316331157278</v>
      </c>
      <c r="E394">
        <v>2.6470641269331723</v>
      </c>
      <c r="F394">
        <v>3.4087082111377116</v>
      </c>
      <c r="G394">
        <v>2.0610732552265412</v>
      </c>
      <c r="K394" s="25">
        <f t="shared" si="9"/>
        <v>3.5</v>
      </c>
    </row>
    <row r="395" spans="1:11" ht="15" customHeight="1" x14ac:dyDescent="0.25">
      <c r="A395" s="29">
        <v>3.51</v>
      </c>
      <c r="B395">
        <v>0.14878887621248327</v>
      </c>
      <c r="C395">
        <v>0.77856281463168586</v>
      </c>
      <c r="D395">
        <v>1.2863879194343877</v>
      </c>
      <c r="E395">
        <v>2.6450649882347479</v>
      </c>
      <c r="F395">
        <v>3.4025796469840399</v>
      </c>
      <c r="G395">
        <v>2.0593492421237722</v>
      </c>
      <c r="K395" s="25">
        <f t="shared" si="9"/>
        <v>3.51</v>
      </c>
    </row>
    <row r="396" spans="1:11" ht="15" customHeight="1" x14ac:dyDescent="0.25">
      <c r="A396" s="29">
        <v>3.52</v>
      </c>
      <c r="B396">
        <v>0.14863413298191944</v>
      </c>
      <c r="C396">
        <v>0.77849958609346248</v>
      </c>
      <c r="D396">
        <v>1.2850500517961694</v>
      </c>
      <c r="E396">
        <v>2.6430703935538542</v>
      </c>
      <c r="F396">
        <v>3.3964777461373008</v>
      </c>
      <c r="G396">
        <v>2.0576292073975604</v>
      </c>
      <c r="K396" s="25">
        <f t="shared" si="9"/>
        <v>3.52</v>
      </c>
    </row>
    <row r="397" spans="1:11" ht="15" customHeight="1" x14ac:dyDescent="0.25">
      <c r="A397" s="29">
        <v>3.53</v>
      </c>
      <c r="B397">
        <v>0.14848006099685779</v>
      </c>
      <c r="C397">
        <v>0.77843642918152756</v>
      </c>
      <c r="D397">
        <v>1.2837179875629297</v>
      </c>
      <c r="E397">
        <v>2.6410803205811901</v>
      </c>
      <c r="F397">
        <v>3.3904023141285413</v>
      </c>
      <c r="G397">
        <v>2.0559131339348258</v>
      </c>
      <c r="K397" s="25">
        <f t="shared" si="9"/>
        <v>3.53</v>
      </c>
    </row>
    <row r="398" spans="1:11" ht="15" customHeight="1" x14ac:dyDescent="0.25">
      <c r="A398" s="29">
        <v>3.54</v>
      </c>
      <c r="B398">
        <v>0.14832665537633319</v>
      </c>
      <c r="C398">
        <v>0.77837334446460327</v>
      </c>
      <c r="D398">
        <v>1.2823916845351795</v>
      </c>
      <c r="E398">
        <v>2.6390947471841857</v>
      </c>
      <c r="F398">
        <v>3.3843531584894717</v>
      </c>
      <c r="G398">
        <v>2.0542010047247214</v>
      </c>
      <c r="K398" s="25">
        <f t="shared" si="9"/>
        <v>3.54</v>
      </c>
    </row>
    <row r="399" spans="1:11" ht="15" customHeight="1" x14ac:dyDescent="0.25">
      <c r="A399" s="29">
        <v>3.55</v>
      </c>
      <c r="B399">
        <v>0.1481739112894446</v>
      </c>
      <c r="C399">
        <v>0.7783103324971713</v>
      </c>
      <c r="D399">
        <v>1.2810711009462696</v>
      </c>
      <c r="E399">
        <v>2.637113651405079</v>
      </c>
      <c r="F399">
        <v>3.3783300887259409</v>
      </c>
      <c r="G399">
        <v>2.0524928028579166</v>
      </c>
      <c r="K399" s="25">
        <f t="shared" si="9"/>
        <v>3.55</v>
      </c>
    </row>
    <row r="400" spans="1:11" ht="15" customHeight="1" x14ac:dyDescent="0.25">
      <c r="A400" s="29">
        <v>3.56</v>
      </c>
      <c r="B400">
        <v>0.1480218239546934</v>
      </c>
      <c r="C400">
        <v>0.77824739381972985</v>
      </c>
      <c r="D400">
        <v>1.2797561954566716</v>
      </c>
      <c r="E400">
        <v>2.6351370114590291</v>
      </c>
      <c r="F400">
        <v>3.3723329162918705</v>
      </c>
      <c r="G400">
        <v>2.050788511525901</v>
      </c>
      <c r="K400" s="25">
        <f t="shared" si="9"/>
        <v>3.56</v>
      </c>
    </row>
    <row r="401" spans="1:11" ht="15" customHeight="1" x14ac:dyDescent="0.25">
      <c r="A401" s="29">
        <v>3.57</v>
      </c>
      <c r="B401">
        <v>0.14787038863933233</v>
      </c>
      <c r="C401">
        <v>0.77818452895904333</v>
      </c>
      <c r="D401">
        <v>1.2784469271483472</v>
      </c>
      <c r="E401">
        <v>2.633164805732239</v>
      </c>
      <c r="F401">
        <v>3.3663614545635556</v>
      </c>
      <c r="G401">
        <v>2.049088114020273</v>
      </c>
      <c r="K401" s="25">
        <f t="shared" si="9"/>
        <v>3.57</v>
      </c>
    </row>
    <row r="402" spans="1:11" ht="15" customHeight="1" x14ac:dyDescent="0.25">
      <c r="A402" s="29">
        <v>3.58</v>
      </c>
      <c r="B402">
        <v>0.14771960065872483</v>
      </c>
      <c r="C402">
        <v>0.77812173842838805</v>
      </c>
      <c r="D402">
        <v>1.2771432555192102</v>
      </c>
      <c r="E402">
        <v>2.6311970127801136</v>
      </c>
      <c r="F402">
        <v>3.3604155188144142</v>
      </c>
      <c r="G402">
        <v>2.0473915937320437</v>
      </c>
      <c r="K402" s="25">
        <f t="shared" si="9"/>
        <v>3.58</v>
      </c>
    </row>
    <row r="403" spans="1:11" ht="15" customHeight="1" x14ac:dyDescent="0.25">
      <c r="A403" s="29">
        <v>3.59</v>
      </c>
      <c r="B403">
        <v>0.14756945537571431</v>
      </c>
      <c r="C403">
        <v>0.77805902272779415</v>
      </c>
      <c r="D403">
        <v>1.2758451404776734</v>
      </c>
      <c r="E403">
        <v>2.6292336113254366</v>
      </c>
      <c r="F403">
        <v>3.3544949261901222</v>
      </c>
      <c r="G403">
        <v>2.0456989341509382</v>
      </c>
      <c r="K403" s="25">
        <f t="shared" si="9"/>
        <v>3.59</v>
      </c>
    </row>
    <row r="404" spans="1:11" ht="15" customHeight="1" x14ac:dyDescent="0.25">
      <c r="A404" s="29">
        <v>3.6</v>
      </c>
      <c r="B404">
        <v>0.14741994820000395</v>
      </c>
      <c r="C404">
        <v>0.77799638234428203</v>
      </c>
      <c r="D404">
        <v>1.2745525423372861</v>
      </c>
      <c r="E404">
        <v>2.6272745802565702</v>
      </c>
      <c r="F404">
        <v>3.348599495684137</v>
      </c>
      <c r="G404">
        <v>2.0440101188647035</v>
      </c>
      <c r="K404" s="25">
        <f t="shared" si="9"/>
        <v>3.6</v>
      </c>
    </row>
    <row r="405" spans="1:11" ht="15" customHeight="1" x14ac:dyDescent="0.25">
      <c r="A405" s="29">
        <v>3.61</v>
      </c>
      <c r="B405">
        <v>0.14727107458754574</v>
      </c>
      <c r="C405">
        <v>0.77793381775209358</v>
      </c>
      <c r="D405">
        <v>1.2732654218114525</v>
      </c>
      <c r="E405">
        <v>2.6253198986256843</v>
      </c>
      <c r="F405">
        <v>3.3427290481136316</v>
      </c>
      <c r="G405">
        <v>2.0423251315584179</v>
      </c>
      <c r="K405" s="25">
        <f t="shared" si="9"/>
        <v>3.61</v>
      </c>
    </row>
    <row r="406" spans="1:11" ht="15" customHeight="1" x14ac:dyDescent="0.25">
      <c r="A406" s="29">
        <v>3.62</v>
      </c>
      <c r="B406">
        <v>0.1471228300399392</v>
      </c>
      <c r="C406">
        <v>0.77787132941292136</v>
      </c>
      <c r="D406">
        <v>1.2719837400082328</v>
      </c>
      <c r="E406">
        <v>2.623369545646995</v>
      </c>
      <c r="F406">
        <v>3.3368834060957631</v>
      </c>
      <c r="G406">
        <v>2.0406439560137994</v>
      </c>
      <c r="K406" s="25">
        <f t="shared" si="9"/>
        <v>3.62</v>
      </c>
    </row>
    <row r="407" spans="1:11" ht="15" customHeight="1" x14ac:dyDescent="0.25">
      <c r="A407" s="29">
        <v>3.63</v>
      </c>
      <c r="B407">
        <v>0.14697521010383996</v>
      </c>
      <c r="C407">
        <v>0.77780891777612993</v>
      </c>
      <c r="D407">
        <v>1.2707074584252294</v>
      </c>
      <c r="E407">
        <v>2.621423500695041</v>
      </c>
      <c r="F407">
        <v>3.3310623940243631</v>
      </c>
      <c r="G407">
        <v>2.0389665761085238</v>
      </c>
      <c r="K407" s="25">
        <f t="shared" si="9"/>
        <v>3.63</v>
      </c>
    </row>
    <row r="408" spans="1:11" ht="15" customHeight="1" x14ac:dyDescent="0.25">
      <c r="A408" s="29">
        <v>3.64</v>
      </c>
      <c r="B408">
        <v>0.14682821037037719</v>
      </c>
      <c r="C408">
        <v>0.77774658327897783</v>
      </c>
      <c r="D408">
        <v>1.2694365389445519</v>
      </c>
      <c r="E408">
        <v>2.6194817433029711</v>
      </c>
      <c r="F408">
        <v>3.3252658380469646</v>
      </c>
      <c r="G408">
        <v>2.0372929758155465</v>
      </c>
      <c r="K408" s="25">
        <f t="shared" si="9"/>
        <v>3.64</v>
      </c>
    </row>
    <row r="409" spans="1:11" ht="15" customHeight="1" x14ac:dyDescent="0.25">
      <c r="A409" s="29">
        <v>3.65</v>
      </c>
      <c r="B409">
        <v>0.14668182647458036</v>
      </c>
      <c r="C409">
        <v>0.77768432634682982</v>
      </c>
      <c r="D409">
        <v>1.2681709438278588</v>
      </c>
      <c r="E409">
        <v>2.6175442531608577</v>
      </c>
      <c r="F409">
        <v>3.3194935660421909</v>
      </c>
      <c r="G409">
        <v>2.0356231392024173</v>
      </c>
      <c r="K409" s="25">
        <f t="shared" si="9"/>
        <v>3.65</v>
      </c>
    </row>
    <row r="410" spans="1:11" ht="15" customHeight="1" x14ac:dyDescent="0.25">
      <c r="A410" s="29">
        <v>3.66</v>
      </c>
      <c r="B410">
        <v>0.14653605409481477</v>
      </c>
      <c r="C410">
        <v>0.77762214739336877</v>
      </c>
      <c r="D410">
        <v>1.2669106357114785</v>
      </c>
      <c r="E410">
        <v>2.6156110101140322</v>
      </c>
      <c r="F410">
        <v>3.3137454075975104</v>
      </c>
      <c r="G410">
        <v>2.0339570504306121</v>
      </c>
      <c r="K410" s="25">
        <f t="shared" si="9"/>
        <v>3.66</v>
      </c>
    </row>
    <row r="411" spans="1:11" ht="15" customHeight="1" x14ac:dyDescent="0.25">
      <c r="A411" s="29">
        <v>3.67</v>
      </c>
      <c r="B411">
        <v>0.14639088895222585</v>
      </c>
      <c r="C411">
        <v>0.7775600468208046</v>
      </c>
      <c r="D411">
        <v>1.2656555776016056</v>
      </c>
      <c r="E411">
        <v>2.613681994161436</v>
      </c>
      <c r="F411">
        <v>3.3080211939873077</v>
      </c>
      <c r="G411">
        <v>2.03229469375486</v>
      </c>
      <c r="K411" s="25">
        <f t="shared" si="9"/>
        <v>3.67</v>
      </c>
    </row>
    <row r="412" spans="1:11" ht="15" customHeight="1" x14ac:dyDescent="0.25">
      <c r="A412" s="29">
        <v>3.68</v>
      </c>
      <c r="B412">
        <v>0.14624632681019237</v>
      </c>
      <c r="C412">
        <v>0.77749802502007492</v>
      </c>
      <c r="D412">
        <v>1.2644057328695717</v>
      </c>
      <c r="E412">
        <v>2.611757185454</v>
      </c>
      <c r="F412">
        <v>3.3023207581513341</v>
      </c>
      <c r="G412">
        <v>2.0306360535224748</v>
      </c>
      <c r="K412" s="25">
        <f t="shared" si="9"/>
        <v>3.68</v>
      </c>
    </row>
    <row r="413" spans="1:11" ht="15" customHeight="1" x14ac:dyDescent="0.25">
      <c r="A413" s="29">
        <v>3.69</v>
      </c>
      <c r="B413">
        <v>0.14610236347378761</v>
      </c>
      <c r="C413">
        <v>0.77743608237104589</v>
      </c>
      <c r="D413">
        <v>1.2631610652471879</v>
      </c>
      <c r="E413">
        <v>2.6098365642930399</v>
      </c>
      <c r="F413">
        <v>3.2966439346734564</v>
      </c>
      <c r="G413">
        <v>2.0289811141726912</v>
      </c>
      <c r="K413" s="25">
        <f t="shared" si="9"/>
        <v>3.69</v>
      </c>
    </row>
    <row r="414" spans="1:11" ht="15" customHeight="1" x14ac:dyDescent="0.25">
      <c r="A414" s="29">
        <v>3.7</v>
      </c>
      <c r="B414">
        <v>0.14595899478924926</v>
      </c>
      <c r="C414">
        <v>0.77737421924270711</v>
      </c>
      <c r="D414">
        <v>1.2619215388221616</v>
      </c>
      <c r="E414">
        <v>2.6079201111286694</v>
      </c>
      <c r="F414">
        <v>3.2909905597607532</v>
      </c>
      <c r="G414">
        <v>2.0273298602360033</v>
      </c>
      <c r="K414" s="25">
        <f t="shared" si="9"/>
        <v>3.7</v>
      </c>
    </row>
    <row r="415" spans="1:11" ht="15" customHeight="1" x14ac:dyDescent="0.25">
      <c r="A415" s="29">
        <v>3.71</v>
      </c>
      <c r="B415">
        <v>0.14581621664345734</v>
      </c>
      <c r="C415">
        <v>0.77731243599336419</v>
      </c>
      <c r="D415">
        <v>1.2606871180335828</v>
      </c>
      <c r="E415">
        <v>2.6060078065582419</v>
      </c>
      <c r="F415">
        <v>3.285360471222929</v>
      </c>
      <c r="G415">
        <v>2.0256822763335109</v>
      </c>
      <c r="K415" s="25">
        <f t="shared" si="9"/>
        <v>3.71</v>
      </c>
    </row>
    <row r="416" spans="1:11" ht="15" customHeight="1" x14ac:dyDescent="0.25">
      <c r="A416" s="29">
        <v>3.72</v>
      </c>
      <c r="B416">
        <v>0.14567402496341983</v>
      </c>
      <c r="C416">
        <v>0.77725073297082758</v>
      </c>
      <c r="D416">
        <v>1.2594577676674767</v>
      </c>
      <c r="E416">
        <v>2.6040996313247979</v>
      </c>
      <c r="F416">
        <v>3.2797535084520288</v>
      </c>
      <c r="G416">
        <v>2.0240383471762611</v>
      </c>
      <c r="K416" s="25">
        <f t="shared" si="9"/>
        <v>3.72</v>
      </c>
    </row>
    <row r="417" spans="1:11" ht="15" customHeight="1" x14ac:dyDescent="0.25">
      <c r="A417" s="29">
        <v>3.73</v>
      </c>
      <c r="B417">
        <v>0.14553241571576672</v>
      </c>
      <c r="C417">
        <v>0.77718911051259654</v>
      </c>
      <c r="D417">
        <v>1.2582334528524297</v>
      </c>
      <c r="E417">
        <v>2.6021955663155483</v>
      </c>
      <c r="F417">
        <v>3.2741695124024957</v>
      </c>
      <c r="G417">
        <v>2.0223980575646032</v>
      </c>
      <c r="K417" s="25">
        <f t="shared" si="9"/>
        <v>3.73</v>
      </c>
    </row>
    <row r="418" spans="1:11" ht="15" customHeight="1" x14ac:dyDescent="0.25">
      <c r="A418" s="29">
        <v>3.74</v>
      </c>
      <c r="B418">
        <v>0.14539138490625131</v>
      </c>
      <c r="C418">
        <v>0.77712756894604218</v>
      </c>
      <c r="D418">
        <v>1.2570141390552771</v>
      </c>
      <c r="E418">
        <v>2.6002955925603604</v>
      </c>
      <c r="F418">
        <v>3.2686083255714924</v>
      </c>
      <c r="G418">
        <v>2.0207613923875409</v>
      </c>
      <c r="K418" s="25">
        <f t="shared" si="9"/>
        <v>3.74</v>
      </c>
    </row>
    <row r="419" spans="1:11" ht="15" customHeight="1" x14ac:dyDescent="0.25">
      <c r="A419" s="29">
        <v>3.75</v>
      </c>
      <c r="B419">
        <v>0.1452509285792592</v>
      </c>
      <c r="C419">
        <v>0.77706610858858349</v>
      </c>
      <c r="D419">
        <v>1.2557997920768595</v>
      </c>
      <c r="E419">
        <v>2.5983996912302745</v>
      </c>
      <c r="F419">
        <v>3.263069791979555</v>
      </c>
      <c r="G419">
        <v>2.0191283366220865</v>
      </c>
      <c r="K419" s="25">
        <f t="shared" si="9"/>
        <v>3.75</v>
      </c>
    </row>
    <row r="420" spans="1:11" ht="15" customHeight="1" x14ac:dyDescent="0.25">
      <c r="A420" s="29">
        <v>3.76</v>
      </c>
      <c r="B420">
        <v>0.14511104281732484</v>
      </c>
      <c r="C420">
        <v>0.77700472974786505</v>
      </c>
      <c r="D420">
        <v>1.2545903780478413</v>
      </c>
      <c r="E420">
        <v>2.5965078436360298</v>
      </c>
      <c r="F420">
        <v>3.2575537571515114</v>
      </c>
      <c r="G420">
        <v>2.0174988753326253</v>
      </c>
      <c r="K420" s="25">
        <f t="shared" si="9"/>
        <v>3.76</v>
      </c>
    </row>
    <row r="421" spans="1:11" ht="15" customHeight="1" x14ac:dyDescent="0.25">
      <c r="A421" s="29">
        <v>3.77</v>
      </c>
      <c r="B421">
        <v>0.14497172374065562</v>
      </c>
      <c r="C421">
        <v>0.77694343272192712</v>
      </c>
      <c r="D421">
        <v>1.2533858634245969</v>
      </c>
      <c r="E421">
        <v>2.5946200312266221</v>
      </c>
      <c r="F421">
        <v>3.2520600680977343</v>
      </c>
      <c r="G421">
        <v>2.0158729936702855</v>
      </c>
      <c r="K421" s="25">
        <f t="shared" si="9"/>
        <v>3.77</v>
      </c>
    </row>
    <row r="422" spans="1:11" ht="15" customHeight="1" x14ac:dyDescent="0.25">
      <c r="A422" s="29">
        <v>3.78</v>
      </c>
      <c r="B422">
        <v>0.14483296750666214</v>
      </c>
      <c r="C422">
        <v>0.77688221779937328</v>
      </c>
      <c r="D422">
        <v>1.2521862149851497</v>
      </c>
      <c r="E422">
        <v>2.5927362355878558</v>
      </c>
      <c r="F422">
        <v>3.2465885732956012</v>
      </c>
      <c r="G422">
        <v>2.0142506768722916</v>
      </c>
      <c r="K422" s="25">
        <f t="shared" si="9"/>
        <v>3.78</v>
      </c>
    </row>
    <row r="423" spans="1:11" ht="15" customHeight="1" x14ac:dyDescent="0.25">
      <c r="A423" s="29">
        <v>3.79</v>
      </c>
      <c r="B423">
        <v>0.14469477030949707</v>
      </c>
      <c r="C423">
        <v>0.77682108525953875</v>
      </c>
      <c r="D423">
        <v>1.2509913998251847</v>
      </c>
      <c r="E423">
        <v>2.5908564384409436</v>
      </c>
      <c r="F423">
        <v>3.2411391226713278</v>
      </c>
      <c r="G423">
        <v>2.0126319102613572</v>
      </c>
      <c r="K423" s="25">
        <f t="shared" si="9"/>
        <v>3.79</v>
      </c>
    </row>
    <row r="424" spans="1:11" ht="15" customHeight="1" x14ac:dyDescent="0.25">
      <c r="A424" s="29">
        <v>3.8</v>
      </c>
      <c r="B424">
        <v>0.14455712837959972</v>
      </c>
      <c r="C424">
        <v>0.77676003537265115</v>
      </c>
      <c r="D424">
        <v>1.2498013853541114</v>
      </c>
      <c r="E424">
        <v>2.5889806216410958</v>
      </c>
      <c r="F424">
        <v>3.2357115675819892</v>
      </c>
      <c r="G424">
        <v>2.0110166792450461</v>
      </c>
      <c r="K424" s="25">
        <f t="shared" si="9"/>
        <v>3.8</v>
      </c>
    </row>
    <row r="425" spans="1:11" ht="15" customHeight="1" x14ac:dyDescent="0.25">
      <c r="A425" s="29">
        <v>3.81</v>
      </c>
      <c r="B425">
        <v>0.14442003798324779</v>
      </c>
      <c r="C425">
        <v>0.77669906839998959</v>
      </c>
      <c r="D425">
        <v>1.2486161392911883</v>
      </c>
      <c r="E425">
        <v>2.5871087671761455</v>
      </c>
      <c r="F425">
        <v>3.2303057607978647</v>
      </c>
      <c r="G425">
        <v>2.0094049693151579</v>
      </c>
      <c r="K425" s="25">
        <f t="shared" si="9"/>
        <v>3.81</v>
      </c>
    </row>
    <row r="426" spans="1:11" ht="15" customHeight="1" x14ac:dyDescent="0.25">
      <c r="A426" s="29">
        <v>3.82</v>
      </c>
      <c r="B426">
        <v>0.14428349542211596</v>
      </c>
      <c r="C426">
        <v>0.77663818459404221</v>
      </c>
      <c r="D426">
        <v>1.2474356296617064</v>
      </c>
      <c r="E426">
        <v>2.5852408571651786</v>
      </c>
      <c r="F426">
        <v>3.2249215564850142</v>
      </c>
      <c r="G426">
        <v>2.0077967660471101</v>
      </c>
      <c r="K426" s="25">
        <f t="shared" si="9"/>
        <v>3.82</v>
      </c>
    </row>
    <row r="427" spans="1:11" ht="15" customHeight="1" x14ac:dyDescent="0.25">
      <c r="A427" s="29">
        <v>3.83</v>
      </c>
      <c r="B427">
        <v>0.14414749703284099</v>
      </c>
      <c r="C427">
        <v>0.77657738419866007</v>
      </c>
      <c r="D427">
        <v>1.2462598247932295</v>
      </c>
      <c r="E427">
        <v>2.5833768738571909</v>
      </c>
      <c r="F427">
        <v>3.2195588101881434</v>
      </c>
      <c r="G427">
        <v>2.0061920550993291</v>
      </c>
      <c r="K427" s="25">
        <f t="shared" si="9"/>
        <v>3.83</v>
      </c>
    </row>
    <row r="428" spans="1:11" ht="15" customHeight="1" x14ac:dyDescent="0.25">
      <c r="A428" s="29">
        <v>3.84</v>
      </c>
      <c r="B428">
        <v>0.14401203918659311</v>
      </c>
      <c r="C428">
        <v>0.77651666744920766</v>
      </c>
      <c r="D428">
        <v>1.2450886933118879</v>
      </c>
      <c r="E428">
        <v>2.5815167996297514</v>
      </c>
      <c r="F428">
        <v>3.2142173788136938</v>
      </c>
      <c r="G428">
        <v>2.0045908222126387</v>
      </c>
      <c r="K428" s="25">
        <f t="shared" ref="K428:K491" si="10">A428</f>
        <v>3.84</v>
      </c>
    </row>
    <row r="429" spans="1:11" ht="15" customHeight="1" x14ac:dyDescent="0.25">
      <c r="A429" s="29">
        <v>3.85</v>
      </c>
      <c r="B429">
        <v>0.14387711828865415</v>
      </c>
      <c r="C429">
        <v>0.77645603457271151</v>
      </c>
      <c r="D429">
        <v>1.2439222041387319</v>
      </c>
      <c r="E429">
        <v>2.5796606169876926</v>
      </c>
      <c r="F429">
        <v>3.2088971206132118</v>
      </c>
      <c r="G429">
        <v>2.002993053209658</v>
      </c>
      <c r="K429" s="25">
        <f t="shared" si="10"/>
        <v>3.85</v>
      </c>
    </row>
    <row r="430" spans="1:11" ht="15" customHeight="1" x14ac:dyDescent="0.25">
      <c r="A430" s="29">
        <v>3.86</v>
      </c>
      <c r="B430">
        <v>0.14374273077800132</v>
      </c>
      <c r="C430">
        <v>0.77639548578800555</v>
      </c>
      <c r="D430">
        <v>1.2427603264861324</v>
      </c>
      <c r="E430">
        <v>2.577808308561802</v>
      </c>
      <c r="F430">
        <v>3.2035978951669297</v>
      </c>
      <c r="G430">
        <v>2.001398733994197</v>
      </c>
      <c r="K430" s="25">
        <f t="shared" si="10"/>
        <v>3.86</v>
      </c>
    </row>
    <row r="431" spans="1:11" ht="15" customHeight="1" x14ac:dyDescent="0.25">
      <c r="A431" s="29">
        <v>3.87</v>
      </c>
      <c r="B431">
        <v>0.14360887312689763</v>
      </c>
      <c r="C431">
        <v>0.77633502130587384</v>
      </c>
      <c r="D431">
        <v>1.2416030298542409</v>
      </c>
      <c r="E431">
        <v>2.5759598571075464</v>
      </c>
      <c r="F431">
        <v>3.1983195633676269</v>
      </c>
      <c r="G431">
        <v>1.9998078505506627</v>
      </c>
      <c r="K431" s="25">
        <f t="shared" si="10"/>
        <v>3.87</v>
      </c>
    </row>
    <row r="432" spans="1:11" ht="15" customHeight="1" x14ac:dyDescent="0.25">
      <c r="A432" s="29">
        <v>3.88</v>
      </c>
      <c r="B432">
        <v>0.14347554184048825</v>
      </c>
      <c r="C432">
        <v>0.77627464132919222</v>
      </c>
      <c r="D432">
        <v>1.240450284027498</v>
      </c>
      <c r="E432">
        <v>2.5741152455037977</v>
      </c>
      <c r="F432">
        <v>3.1930619874046973</v>
      </c>
      <c r="G432">
        <v>1.9982203889434662</v>
      </c>
      <c r="K432" s="25">
        <f t="shared" si="10"/>
        <v>3.88</v>
      </c>
    </row>
    <row r="433" spans="1:11" ht="15" customHeight="1" x14ac:dyDescent="0.25">
      <c r="A433" s="29">
        <v>3.89</v>
      </c>
      <c r="B433">
        <v>0.14334273345640247</v>
      </c>
      <c r="C433">
        <v>0.77621434605306516</v>
      </c>
      <c r="D433">
        <v>1.2393020590711945</v>
      </c>
      <c r="E433">
        <v>2.5722744567515829</v>
      </c>
      <c r="F433">
        <v>3.1878250307484741</v>
      </c>
      <c r="G433">
        <v>1.9966363353164334</v>
      </c>
      <c r="K433" s="25">
        <f t="shared" si="10"/>
        <v>3.89</v>
      </c>
    </row>
    <row r="434" spans="1:11" ht="15" customHeight="1" x14ac:dyDescent="0.25">
      <c r="A434" s="29">
        <v>3.9</v>
      </c>
      <c r="B434">
        <v>0.14321044454436194</v>
      </c>
      <c r="C434">
        <v>0.77615413566496116</v>
      </c>
      <c r="D434">
        <v>1.2381583253280817</v>
      </c>
      <c r="E434">
        <v>2.5704374739728424</v>
      </c>
      <c r="F434">
        <v>3.182608558134759</v>
      </c>
      <c r="G434">
        <v>1.9950556758922176</v>
      </c>
      <c r="K434" s="25">
        <f t="shared" si="10"/>
        <v>3.9</v>
      </c>
    </row>
    <row r="435" spans="1:11" ht="15" customHeight="1" x14ac:dyDescent="0.25">
      <c r="A435" s="29">
        <v>3.91</v>
      </c>
      <c r="B435">
        <v>0.14307867170579422</v>
      </c>
      <c r="C435">
        <v>0.77609401034484615</v>
      </c>
      <c r="D435">
        <v>1.237019053415032</v>
      </c>
      <c r="E435">
        <v>2.5686042804092075</v>
      </c>
      <c r="F435">
        <v>3.1774124355495963</v>
      </c>
      <c r="G435">
        <v>1.9934783969717196</v>
      </c>
      <c r="K435" s="25">
        <f t="shared" si="10"/>
        <v>3.91</v>
      </c>
    </row>
    <row r="436" spans="1:11" ht="15" customHeight="1" x14ac:dyDescent="0.25">
      <c r="A436" s="29">
        <v>3.92</v>
      </c>
      <c r="B436">
        <v>0.14294741157345228</v>
      </c>
      <c r="C436">
        <v>0.77603397026531462</v>
      </c>
      <c r="D436">
        <v>1.2358842142197493</v>
      </c>
      <c r="E436">
        <v>2.5667748594207951</v>
      </c>
      <c r="F436">
        <v>3.1722365302142763</v>
      </c>
      <c r="G436">
        <v>1.9919044849335144</v>
      </c>
      <c r="K436" s="25">
        <f t="shared" si="10"/>
        <v>3.92</v>
      </c>
    </row>
    <row r="437" spans="1:11" ht="15" customHeight="1" x14ac:dyDescent="0.25">
      <c r="A437" s="29">
        <v>3.93</v>
      </c>
      <c r="B437">
        <v>0.14281666081103925</v>
      </c>
      <c r="C437">
        <v>0.77597401559171619</v>
      </c>
      <c r="D437">
        <v>1.2347537788975227</v>
      </c>
      <c r="E437">
        <v>2.5649491944850049</v>
      </c>
      <c r="F437">
        <v>3.1670807105705165</v>
      </c>
      <c r="G437">
        <v>1.9903339262332671</v>
      </c>
      <c r="K437" s="25">
        <f t="shared" si="10"/>
        <v>3.93</v>
      </c>
    </row>
    <row r="438" spans="1:11" ht="15" customHeight="1" x14ac:dyDescent="0.25">
      <c r="A438" s="29">
        <v>3.94</v>
      </c>
      <c r="B438">
        <v>0.14268641611283892</v>
      </c>
      <c r="C438">
        <v>0.77591414648228396</v>
      </c>
      <c r="D438">
        <v>1.2336277188680349</v>
      </c>
      <c r="E438">
        <v>2.5631272691953484</v>
      </c>
      <c r="F438">
        <v>3.161944846265913</v>
      </c>
      <c r="G438">
        <v>1.9887667074031761</v>
      </c>
      <c r="K438" s="25">
        <f t="shared" si="10"/>
        <v>3.94</v>
      </c>
    </row>
    <row r="439" spans="1:11" ht="15" customHeight="1" x14ac:dyDescent="0.25">
      <c r="A439" s="29">
        <v>3.95</v>
      </c>
      <c r="B439">
        <v>0.14255667420335119</v>
      </c>
      <c r="C439">
        <v>0.77585436308825706</v>
      </c>
      <c r="D439">
        <v>1.2325060058122079</v>
      </c>
      <c r="E439">
        <v>2.5613090672602752</v>
      </c>
      <c r="F439">
        <v>3.156828808139553</v>
      </c>
      <c r="G439">
        <v>1.9872028150513985</v>
      </c>
      <c r="K439" s="25">
        <f t="shared" si="10"/>
        <v>3.95</v>
      </c>
    </row>
    <row r="440" spans="1:11" ht="15" customHeight="1" x14ac:dyDescent="0.25">
      <c r="A440" s="29">
        <v>3.96</v>
      </c>
      <c r="B440">
        <v>0.1424274318369331</v>
      </c>
      <c r="C440">
        <v>0.77579466555400201</v>
      </c>
      <c r="D440">
        <v>1.2313886116691006</v>
      </c>
      <c r="E440">
        <v>2.5594945725020231</v>
      </c>
      <c r="F440">
        <v>3.1517324682078645</v>
      </c>
      <c r="G440">
        <v>1.9856422358614902</v>
      </c>
      <c r="K440" s="25">
        <f t="shared" si="10"/>
        <v>3.96</v>
      </c>
    </row>
    <row r="441" spans="1:11" ht="15" customHeight="1" x14ac:dyDescent="0.25">
      <c r="A441" s="29">
        <v>3.97</v>
      </c>
      <c r="B441">
        <v>0.14229868579744484</v>
      </c>
      <c r="C441">
        <v>0.77573505401713261</v>
      </c>
      <c r="D441">
        <v>1.2302755086328481</v>
      </c>
      <c r="E441">
        <v>2.5576837688554783</v>
      </c>
      <c r="F441">
        <v>3.1466556996506521</v>
      </c>
      <c r="G441">
        <v>1.9840849565918477</v>
      </c>
      <c r="K441" s="25">
        <f t="shared" si="10"/>
        <v>3.97</v>
      </c>
    </row>
    <row r="442" spans="1:11" ht="15" customHeight="1" x14ac:dyDescent="0.25">
      <c r="A442" s="29">
        <v>3.98</v>
      </c>
      <c r="B442">
        <v>0.1421704328979011</v>
      </c>
      <c r="C442">
        <v>0.77567552860862843</v>
      </c>
      <c r="D442">
        <v>1.2291666691496472</v>
      </c>
      <c r="E442">
        <v>2.555876640367055</v>
      </c>
      <c r="F442">
        <v>3.1415983767973641</v>
      </c>
      <c r="G442">
        <v>1.9825309640751607</v>
      </c>
      <c r="K442" s="25">
        <f t="shared" si="10"/>
        <v>3.98</v>
      </c>
    </row>
    <row r="443" spans="1:11" ht="15" customHeight="1" x14ac:dyDescent="0.25">
      <c r="A443" s="29">
        <v>3.99</v>
      </c>
      <c r="B443">
        <v>0.14204266998012685</v>
      </c>
      <c r="C443">
        <v>0.77561608945294724</v>
      </c>
      <c r="D443">
        <v>1.2280620659147805</v>
      </c>
      <c r="E443">
        <v>2.5540731711935698</v>
      </c>
      <c r="F443">
        <v>3.136560375113489</v>
      </c>
      <c r="G443">
        <v>1.9809802452178444</v>
      </c>
      <c r="K443" s="25">
        <f t="shared" si="10"/>
        <v>3.99</v>
      </c>
    </row>
    <row r="444" spans="1:11" ht="15" customHeight="1" x14ac:dyDescent="0.25">
      <c r="A444" s="29">
        <v>4</v>
      </c>
      <c r="B444">
        <v>0.1419153939144189</v>
      </c>
      <c r="C444">
        <v>0.77555673666814162</v>
      </c>
      <c r="D444">
        <v>1.2269616718696907</v>
      </c>
      <c r="E444">
        <v>2.5522733456011619</v>
      </c>
      <c r="F444">
        <v>3.1315415711872494</v>
      </c>
      <c r="G444">
        <v>1.9794327869995172</v>
      </c>
      <c r="K444" s="25">
        <f t="shared" si="10"/>
        <v>4</v>
      </c>
    </row>
    <row r="445" spans="1:11" ht="15" customHeight="1" x14ac:dyDescent="0.25">
      <c r="A445" s="29">
        <v>4.01</v>
      </c>
      <c r="B445">
        <v>0.14178860159921122</v>
      </c>
      <c r="C445">
        <v>0.77549747036596828</v>
      </c>
      <c r="D445">
        <v>1.2258654601990859</v>
      </c>
      <c r="E445">
        <v>2.5504771479641883</v>
      </c>
      <c r="F445">
        <v>3.1265418427163709</v>
      </c>
      <c r="G445">
        <v>1.9778885764724374</v>
      </c>
      <c r="K445" s="25">
        <f t="shared" si="10"/>
        <v>4.01</v>
      </c>
    </row>
    <row r="446" spans="1:11" ht="15" customHeight="1" x14ac:dyDescent="0.25">
      <c r="A446" s="29">
        <v>4.0199999999999996</v>
      </c>
      <c r="B446">
        <v>0.1416622899607459</v>
      </c>
      <c r="C446">
        <v>0.77543829065199721</v>
      </c>
      <c r="D446">
        <v>1.2247734043280964</v>
      </c>
      <c r="E446">
        <v>2.5486845627641608</v>
      </c>
      <c r="F446">
        <v>3.1215610684951276</v>
      </c>
      <c r="G446">
        <v>1.9763476007609737</v>
      </c>
      <c r="K446" s="25">
        <f t="shared" si="10"/>
        <v>4.0199999999999996</v>
      </c>
    </row>
    <row r="447" spans="1:11" ht="15" customHeight="1" x14ac:dyDescent="0.25">
      <c r="A447" s="29">
        <v>4.03</v>
      </c>
      <c r="B447">
        <v>0.14153645595274833</v>
      </c>
      <c r="C447">
        <v>0.77537919762572083</v>
      </c>
      <c r="D447">
        <v>1.2236854779194657</v>
      </c>
      <c r="E447">
        <v>2.5468955745886803</v>
      </c>
      <c r="F447">
        <v>3.1165991284015204</v>
      </c>
      <c r="G447">
        <v>1.9748098470610702</v>
      </c>
      <c r="K447" s="25">
        <f t="shared" si="10"/>
        <v>4.03</v>
      </c>
    </row>
    <row r="448" spans="1:11" ht="15" customHeight="1" x14ac:dyDescent="0.25">
      <c r="A448" s="29">
        <v>4.04</v>
      </c>
      <c r="B448">
        <v>0.14141109655610734</v>
      </c>
      <c r="C448">
        <v>0.77532019138065811</v>
      </c>
      <c r="D448">
        <v>1.2226016548707839</v>
      </c>
      <c r="E448">
        <v>2.5451101681303934</v>
      </c>
      <c r="F448">
        <v>3.1116559033846771</v>
      </c>
      <c r="G448">
        <v>1.9732753026397156</v>
      </c>
      <c r="K448" s="25">
        <f t="shared" si="10"/>
        <v>4.04</v>
      </c>
    </row>
    <row r="449" spans="1:11" ht="15" customHeight="1" x14ac:dyDescent="0.25">
      <c r="A449" s="29">
        <v>4.05</v>
      </c>
      <c r="B449">
        <v>0.14128620877855907</v>
      </c>
      <c r="C449">
        <v>0.77526127200445838</v>
      </c>
      <c r="D449">
        <v>1.2215219093117564</v>
      </c>
      <c r="E449">
        <v>2.5433283281859485</v>
      </c>
      <c r="F449">
        <v>3.1067312754523764</v>
      </c>
      <c r="G449">
        <v>1.9717439548344109</v>
      </c>
      <c r="K449" s="25">
        <f t="shared" si="10"/>
        <v>4.05</v>
      </c>
    </row>
    <row r="450" spans="1:11" ht="15" customHeight="1" x14ac:dyDescent="0.25">
      <c r="A450" s="29">
        <v>4.0599999999999996</v>
      </c>
      <c r="B450">
        <v>0.14116178965437634</v>
      </c>
      <c r="C450">
        <v>0.77520243957900392</v>
      </c>
      <c r="D450">
        <v>1.2204462156015177</v>
      </c>
      <c r="E450">
        <v>2.5415500396549779</v>
      </c>
      <c r="F450">
        <v>3.1018251276588042</v>
      </c>
      <c r="G450">
        <v>1.970215791052653</v>
      </c>
      <c r="K450" s="25">
        <f t="shared" si="10"/>
        <v>4.0599999999999996</v>
      </c>
    </row>
    <row r="451" spans="1:11" ht="15" customHeight="1" x14ac:dyDescent="0.25">
      <c r="A451" s="29">
        <v>4.07</v>
      </c>
      <c r="B451">
        <v>0.14103783624406152</v>
      </c>
      <c r="C451">
        <v>0.7751436941805101</v>
      </c>
      <c r="D451">
        <v>1.219374548325975</v>
      </c>
      <c r="E451">
        <v>2.5397752875390807</v>
      </c>
      <c r="F451">
        <v>3.0969373440924386</v>
      </c>
      <c r="G451">
        <v>1.9686907987714102</v>
      </c>
      <c r="K451" s="25">
        <f t="shared" si="10"/>
        <v>4.07</v>
      </c>
    </row>
    <row r="452" spans="1:11" ht="15" customHeight="1" x14ac:dyDescent="0.25">
      <c r="A452" s="29">
        <v>4.08</v>
      </c>
      <c r="B452">
        <v>0.14091434563404434</v>
      </c>
      <c r="C452">
        <v>0.77508503587962341</v>
      </c>
      <c r="D452">
        <v>1.218306882295197</v>
      </c>
      <c r="E452">
        <v>2.5380040569408275</v>
      </c>
      <c r="F452">
        <v>3.0920678098641412</v>
      </c>
      <c r="G452">
        <v>1.9671689655366111</v>
      </c>
      <c r="K452" s="25">
        <f t="shared" si="10"/>
        <v>4.08</v>
      </c>
    </row>
    <row r="453" spans="1:11" ht="15" customHeight="1" x14ac:dyDescent="0.25">
      <c r="A453" s="29">
        <v>4.09</v>
      </c>
      <c r="B453">
        <v>0.14079131493638294</v>
      </c>
      <c r="C453">
        <v>0.77502646474151837</v>
      </c>
      <c r="D453">
        <v>1.2172431925408287</v>
      </c>
      <c r="E453">
        <v>2.5362363330627593</v>
      </c>
      <c r="F453">
        <v>3.0872164110953562</v>
      </c>
      <c r="G453">
        <v>1.9656502789626225</v>
      </c>
      <c r="K453" s="25">
        <f t="shared" si="10"/>
        <v>4.09</v>
      </c>
    </row>
    <row r="454" spans="1:11" ht="15" customHeight="1" x14ac:dyDescent="0.25">
      <c r="A454" s="29">
        <v>4.0999999999999996</v>
      </c>
      <c r="B454">
        <v>0.14066874128847084</v>
      </c>
      <c r="C454">
        <v>0.77496798082599172</v>
      </c>
      <c r="D454">
        <v>1.2161834543135572</v>
      </c>
      <c r="E454">
        <v>2.5344721012064291</v>
      </c>
      <c r="F454">
        <v>3.0823830349065737</v>
      </c>
      <c r="G454">
        <v>1.9641347267317548</v>
      </c>
      <c r="K454" s="25">
        <f t="shared" si="10"/>
        <v>4.0999999999999996</v>
      </c>
    </row>
    <row r="455" spans="1:11" ht="15" customHeight="1" x14ac:dyDescent="0.25">
      <c r="A455" s="29">
        <v>4.1100000000000003</v>
      </c>
      <c r="B455">
        <v>0.14054662185274586</v>
      </c>
      <c r="C455">
        <v>0.77490958418755873</v>
      </c>
      <c r="D455">
        <v>1.2151276430805964</v>
      </c>
      <c r="E455">
        <v>2.5327113467714155</v>
      </c>
      <c r="F455">
        <v>3.0775675694058333</v>
      </c>
      <c r="G455">
        <v>1.9626222965937494</v>
      </c>
      <c r="K455" s="25">
        <f t="shared" si="10"/>
        <v>4.1100000000000003</v>
      </c>
    </row>
    <row r="456" spans="1:11" ht="15" customHeight="1" x14ac:dyDescent="0.25">
      <c r="A456" s="29">
        <v>4.12</v>
      </c>
      <c r="B456">
        <v>0.14042495381640471</v>
      </c>
      <c r="C456">
        <v>0.77485127487554062</v>
      </c>
      <c r="D456">
        <v>1.2140757345232185</v>
      </c>
      <c r="E456">
        <v>2.5309540552543788</v>
      </c>
      <c r="F456">
        <v>3.0727699036774783</v>
      </c>
      <c r="G456">
        <v>1.9611129763652748</v>
      </c>
      <c r="K456" s="25">
        <f t="shared" si="10"/>
        <v>4.12</v>
      </c>
    </row>
    <row r="457" spans="1:11" ht="15" customHeight="1" x14ac:dyDescent="0.25">
      <c r="A457" s="29">
        <v>4.13</v>
      </c>
      <c r="B457">
        <v>0.14030373439112087</v>
      </c>
      <c r="C457">
        <v>0.77479305293415957</v>
      </c>
      <c r="D457">
        <v>1.2130277045343152</v>
      </c>
      <c r="E457">
        <v>2.5292002122481145</v>
      </c>
      <c r="F457">
        <v>3.0679899277710327</v>
      </c>
      <c r="G457">
        <v>1.9596067539294411</v>
      </c>
      <c r="K457" s="25">
        <f t="shared" si="10"/>
        <v>4.13</v>
      </c>
    </row>
    <row r="458" spans="1:11" ht="15" customHeight="1" x14ac:dyDescent="0.25">
      <c r="A458" s="29">
        <v>4.1399999999999997</v>
      </c>
      <c r="B458">
        <v>0.14018296081276616</v>
      </c>
      <c r="C458">
        <v>0.77473491840262387</v>
      </c>
      <c r="D458">
        <v>1.2119835292159902</v>
      </c>
      <c r="E458">
        <v>2.527449803440617</v>
      </c>
      <c r="F458">
        <v>3.0632275326902194</v>
      </c>
      <c r="G458">
        <v>1.9581036172352941</v>
      </c>
      <c r="K458" s="25">
        <f t="shared" si="10"/>
        <v>4.1399999999999997</v>
      </c>
    </row>
    <row r="459" spans="1:11" ht="15" customHeight="1" x14ac:dyDescent="0.25">
      <c r="A459" s="29">
        <v>4.1500000000000004</v>
      </c>
      <c r="B459">
        <v>0.14006263034113675</v>
      </c>
      <c r="C459">
        <v>0.77467687131521645</v>
      </c>
      <c r="D459">
        <v>1.2109431848771914</v>
      </c>
      <c r="E459">
        <v>2.5257028146141605</v>
      </c>
      <c r="F459">
        <v>3.0584826103821565</v>
      </c>
      <c r="G459">
        <v>1.9566035542973339</v>
      </c>
      <c r="K459" s="25">
        <f t="shared" si="10"/>
        <v>4.1500000000000004</v>
      </c>
    </row>
    <row r="460" spans="1:11" ht="15" customHeight="1" x14ac:dyDescent="0.25">
      <c r="A460" s="29">
        <v>4.16</v>
      </c>
      <c r="B460">
        <v>0.13994274025968237</v>
      </c>
      <c r="C460">
        <v>0.77461891170138064</v>
      </c>
      <c r="D460">
        <v>1.2099066480313678</v>
      </c>
      <c r="E460">
        <v>2.5239592316443824</v>
      </c>
      <c r="F460">
        <v>3.0537550537266802</v>
      </c>
      <c r="G460">
        <v>1.9551065531950245</v>
      </c>
      <c r="K460" s="25">
        <f t="shared" si="10"/>
        <v>4.16</v>
      </c>
    </row>
    <row r="461" spans="1:11" ht="15" customHeight="1" x14ac:dyDescent="0.25">
      <c r="A461" s="29">
        <v>4.17</v>
      </c>
      <c r="B461">
        <v>0.13982328787523968</v>
      </c>
      <c r="C461">
        <v>0.7745610395858048</v>
      </c>
      <c r="D461">
        <v>1.208873895394166</v>
      </c>
      <c r="E461">
        <v>2.5222190404993854</v>
      </c>
      <c r="F461">
        <v>3.0490447565258276</v>
      </c>
      <c r="G461">
        <v>1.953612602072315</v>
      </c>
      <c r="K461" s="25">
        <f t="shared" si="10"/>
        <v>4.17</v>
      </c>
    </row>
    <row r="462" spans="1:11" ht="15" customHeight="1" x14ac:dyDescent="0.25">
      <c r="A462" s="29">
        <v>4.18</v>
      </c>
      <c r="B462">
        <v>0.13970427051776882</v>
      </c>
      <c r="C462">
        <v>0.77450325498850503</v>
      </c>
      <c r="D462">
        <v>1.2078449038811523</v>
      </c>
      <c r="E462">
        <v>2.5204822272388423</v>
      </c>
      <c r="F462">
        <v>3.044351613493451</v>
      </c>
      <c r="G462">
        <v>1.9521216891371602</v>
      </c>
      <c r="K462" s="25">
        <f t="shared" si="10"/>
        <v>4.18</v>
      </c>
    </row>
    <row r="463" spans="1:11" ht="15" customHeight="1" x14ac:dyDescent="0.25">
      <c r="A463" s="29">
        <v>4.1900000000000004</v>
      </c>
      <c r="B463">
        <v>0.13958568554009398</v>
      </c>
      <c r="C463">
        <v>0.77444555792490466</v>
      </c>
      <c r="D463">
        <v>1.2068196506055684</v>
      </c>
      <c r="E463">
        <v>2.518748778013117</v>
      </c>
      <c r="F463">
        <v>3.0396755202449923</v>
      </c>
      <c r="G463">
        <v>1.9506338026610404</v>
      </c>
      <c r="K463" s="25">
        <f t="shared" si="10"/>
        <v>4.1900000000000004</v>
      </c>
    </row>
    <row r="464" spans="1:11" ht="15" customHeight="1" x14ac:dyDescent="0.25">
      <c r="A464" s="29">
        <v>4.2</v>
      </c>
      <c r="B464">
        <v>0.13946753031764741</v>
      </c>
      <c r="C464">
        <v>0.77438794840591751</v>
      </c>
      <c r="D464">
        <v>1.2057981128761195</v>
      </c>
      <c r="E464">
        <v>2.5170186790623919</v>
      </c>
      <c r="F464">
        <v>3.0350163732873749</v>
      </c>
      <c r="G464">
        <v>1.9491489309784982</v>
      </c>
      <c r="K464" s="25">
        <f t="shared" si="10"/>
        <v>4.2</v>
      </c>
    </row>
    <row r="465" spans="1:11" ht="15" customHeight="1" x14ac:dyDescent="0.25">
      <c r="A465" s="29">
        <v>4.21</v>
      </c>
      <c r="B465">
        <v>0.13934980224821653</v>
      </c>
      <c r="C465">
        <v>0.77433042643802463</v>
      </c>
      <c r="D465">
        <v>1.2047802681947875</v>
      </c>
      <c r="E465">
        <v>2.5152919167158054</v>
      </c>
      <c r="F465">
        <v>3.0303740700090493</v>
      </c>
      <c r="G465">
        <v>1.9476670624866659</v>
      </c>
      <c r="K465" s="25">
        <f t="shared" si="10"/>
        <v>4.21</v>
      </c>
    </row>
    <row r="466" spans="1:11" ht="15" customHeight="1" x14ac:dyDescent="0.25">
      <c r="A466" s="29">
        <v>4.22</v>
      </c>
      <c r="B466">
        <v>0.13923249875169505</v>
      </c>
      <c r="C466">
        <v>0.77427299202335198</v>
      </c>
      <c r="D466">
        <v>1.2037660942546795</v>
      </c>
      <c r="E466">
        <v>2.513568477390602</v>
      </c>
      <c r="F466">
        <v>3.0257485086701665</v>
      </c>
      <c r="G466">
        <v>1.9461881856448024</v>
      </c>
      <c r="K466" s="25">
        <f t="shared" si="10"/>
        <v>4.22</v>
      </c>
    </row>
    <row r="467" spans="1:11" ht="15" customHeight="1" x14ac:dyDescent="0.25">
      <c r="A467" s="29">
        <v>4.2300000000000004</v>
      </c>
      <c r="B467">
        <v>0.13911561726983693</v>
      </c>
      <c r="C467">
        <v>0.77421564515974672</v>
      </c>
      <c r="D467">
        <v>1.2027555689379001</v>
      </c>
      <c r="E467">
        <v>2.5118483475912869</v>
      </c>
      <c r="F467">
        <v>3.0211395883928822</v>
      </c>
      <c r="G467">
        <v>1.944712288973832</v>
      </c>
      <c r="K467" s="25">
        <f t="shared" si="10"/>
        <v>4.2300000000000004</v>
      </c>
    </row>
    <row r="468" spans="1:11" ht="15" customHeight="1" x14ac:dyDescent="0.25">
      <c r="A468" s="29">
        <v>4.24</v>
      </c>
      <c r="B468">
        <v>0.13899915526601425</v>
      </c>
      <c r="C468">
        <v>0.77415838584085184</v>
      </c>
      <c r="D468">
        <v>1.2017486703134581</v>
      </c>
      <c r="E468">
        <v>2.5101315139087985</v>
      </c>
      <c r="F468">
        <v>3.0165472091518062</v>
      </c>
      <c r="G468">
        <v>1.9432393610558891</v>
      </c>
      <c r="K468" s="25">
        <f t="shared" si="10"/>
        <v>4.24</v>
      </c>
    </row>
    <row r="469" spans="1:11" ht="15" customHeight="1" x14ac:dyDescent="0.25">
      <c r="A469" s="29">
        <v>4.25</v>
      </c>
      <c r="B469">
        <v>0.13888311022497757</v>
      </c>
      <c r="C469">
        <v>0.77410121405618026</v>
      </c>
      <c r="D469">
        <v>1.2007453766351952</v>
      </c>
      <c r="E469">
        <v>2.5084179630196783</v>
      </c>
      <c r="F469">
        <v>3.0119712717645521</v>
      </c>
      <c r="G469">
        <v>1.9417693905338638</v>
      </c>
      <c r="K469" s="25">
        <f t="shared" si="10"/>
        <v>4.25</v>
      </c>
    </row>
    <row r="470" spans="1:11" ht="15" customHeight="1" x14ac:dyDescent="0.25">
      <c r="A470" s="29">
        <v>4.26</v>
      </c>
      <c r="B470">
        <v>0.13876747965262023</v>
      </c>
      <c r="C470">
        <v>0.77404412979118586</v>
      </c>
      <c r="D470">
        <v>1.1997456663397472</v>
      </c>
      <c r="E470">
        <v>2.5067076816852625</v>
      </c>
      <c r="F470">
        <v>3.0074116778824487</v>
      </c>
      <c r="G470">
        <v>1.94030236611095</v>
      </c>
      <c r="K470" s="25">
        <f t="shared" si="10"/>
        <v>4.26</v>
      </c>
    </row>
    <row r="471" spans="1:11" ht="15" customHeight="1" x14ac:dyDescent="0.25">
      <c r="A471" s="29">
        <v>4.2699999999999996</v>
      </c>
      <c r="B471">
        <v>0.13865226107574552</v>
      </c>
      <c r="C471">
        <v>0.77398713302733646</v>
      </c>
      <c r="D471">
        <v>1.1987495180445318</v>
      </c>
      <c r="E471">
        <v>2.5050006567508731</v>
      </c>
      <c r="F471">
        <v>3.0028683299813435</v>
      </c>
      <c r="G471">
        <v>1.9388382765502032</v>
      </c>
      <c r="K471" s="25">
        <f t="shared" si="10"/>
        <v>4.2699999999999996</v>
      </c>
    </row>
    <row r="472" spans="1:11" ht="15" customHeight="1" x14ac:dyDescent="0.25">
      <c r="A472" s="29">
        <v>4.28</v>
      </c>
      <c r="B472">
        <v>0.13853745204183648</v>
      </c>
      <c r="C472">
        <v>0.77393022374218179</v>
      </c>
      <c r="D472">
        <v>1.1977569105457588</v>
      </c>
      <c r="E472">
        <v>2.5032968751450251</v>
      </c>
      <c r="F472">
        <v>2.9983411313525568</v>
      </c>
      <c r="G472">
        <v>1.9373771106740938</v>
      </c>
      <c r="K472" s="25">
        <f t="shared" si="10"/>
        <v>4.28</v>
      </c>
    </row>
    <row r="473" spans="1:11" ht="15" customHeight="1" x14ac:dyDescent="0.25">
      <c r="A473" s="29">
        <v>4.29</v>
      </c>
      <c r="B473">
        <v>0.13842305011882985</v>
      </c>
      <c r="C473">
        <v>0.773873401909424</v>
      </c>
      <c r="D473">
        <v>1.1967678228164744</v>
      </c>
      <c r="E473">
        <v>2.5015963238786361</v>
      </c>
      <c r="F473">
        <v>2.9938299860939308</v>
      </c>
      <c r="G473">
        <v>1.9359188573640693</v>
      </c>
      <c r="K473" s="25">
        <f t="shared" si="10"/>
        <v>4.29</v>
      </c>
    </row>
    <row r="474" spans="1:11" ht="15" customHeight="1" x14ac:dyDescent="0.25">
      <c r="A474" s="29">
        <v>4.3</v>
      </c>
      <c r="B474">
        <v>0.13830905289489223</v>
      </c>
      <c r="C474">
        <v>0.7738166674989837</v>
      </c>
      <c r="D474">
        <v>1.1957822340046267</v>
      </c>
      <c r="E474">
        <v>2.4998989900442514</v>
      </c>
      <c r="F474">
        <v>2.9893347991010253</v>
      </c>
      <c r="G474">
        <v>1.9344635055601176</v>
      </c>
      <c r="K474" s="25">
        <f t="shared" si="10"/>
        <v>4.3</v>
      </c>
    </row>
    <row r="475" spans="1:11" ht="15" customHeight="1" x14ac:dyDescent="0.25">
      <c r="A475" s="29">
        <v>4.3099999999999996</v>
      </c>
      <c r="B475">
        <v>0.13819545797819907</v>
      </c>
      <c r="C475">
        <v>0.77376002047706793</v>
      </c>
      <c r="D475">
        <v>1.1948001234311552</v>
      </c>
      <c r="E475">
        <v>2.4982048608152709</v>
      </c>
      <c r="F475">
        <v>2.9848554760583963</v>
      </c>
      <c r="G475">
        <v>1.9330110442603348</v>
      </c>
      <c r="K475" s="25">
        <f t="shared" si="10"/>
        <v>4.3099999999999996</v>
      </c>
    </row>
    <row r="476" spans="1:11" ht="15" customHeight="1" x14ac:dyDescent="0.25">
      <c r="A476" s="29">
        <v>4.32</v>
      </c>
      <c r="B476">
        <v>0.13808226299671733</v>
      </c>
      <c r="C476">
        <v>0.77370346080623442</v>
      </c>
      <c r="D476">
        <v>1.1938214705881109</v>
      </c>
      <c r="E476">
        <v>2.4965139234451925</v>
      </c>
      <c r="F476">
        <v>2.9803919234310339</v>
      </c>
      <c r="G476">
        <v>1.931561462520496</v>
      </c>
      <c r="K476" s="25">
        <f t="shared" si="10"/>
        <v>4.32</v>
      </c>
    </row>
    <row r="477" spans="1:11" ht="15" customHeight="1" x14ac:dyDescent="0.25">
      <c r="A477" s="29">
        <v>4.33</v>
      </c>
      <c r="B477">
        <v>0.13796946559799061</v>
      </c>
      <c r="C477">
        <v>0.7736469884454571</v>
      </c>
      <c r="D477">
        <v>1.1928462551367995</v>
      </c>
      <c r="E477">
        <v>2.4948261652668577</v>
      </c>
      <c r="F477">
        <v>2.9759440484558737</v>
      </c>
      <c r="G477">
        <v>1.9301147494536328</v>
      </c>
      <c r="K477" s="25">
        <f t="shared" si="10"/>
        <v>4.33</v>
      </c>
    </row>
    <row r="478" spans="1:11" ht="15" customHeight="1" x14ac:dyDescent="0.25">
      <c r="A478" s="29">
        <v>4.34</v>
      </c>
      <c r="B478">
        <v>0.13785706344892662</v>
      </c>
      <c r="C478">
        <v>0.77359060335018792</v>
      </c>
      <c r="D478">
        <v>1.1918744569059432</v>
      </c>
      <c r="E478">
        <v>2.4931415736917035</v>
      </c>
      <c r="F478">
        <v>2.9715117591334281</v>
      </c>
      <c r="G478">
        <v>1.928670894229602</v>
      </c>
      <c r="K478" s="25">
        <f t="shared" si="10"/>
        <v>4.34</v>
      </c>
    </row>
    <row r="479" spans="1:11" ht="15" customHeight="1" x14ac:dyDescent="0.25">
      <c r="A479" s="29">
        <v>4.3499999999999996</v>
      </c>
      <c r="B479">
        <v>0.13774505423558836</v>
      </c>
      <c r="C479">
        <v>0.77353430547241964</v>
      </c>
      <c r="D479">
        <v>1.1909060558898759</v>
      </c>
      <c r="E479">
        <v>2.4914601362090312</v>
      </c>
      <c r="F479">
        <v>2.9670949642195494</v>
      </c>
      <c r="G479">
        <v>1.927229886074673</v>
      </c>
      <c r="K479" s="25">
        <f t="shared" si="10"/>
        <v>4.3499999999999996</v>
      </c>
    </row>
    <row r="480" spans="1:11" ht="15" customHeight="1" x14ac:dyDescent="0.25">
      <c r="A480" s="29">
        <v>4.3600000000000003</v>
      </c>
      <c r="B480">
        <v>0.1376334356629878</v>
      </c>
      <c r="C480">
        <v>0.77347809476074847</v>
      </c>
      <c r="D480">
        <v>1.1899410322467587</v>
      </c>
      <c r="E480">
        <v>2.4897818403852829</v>
      </c>
      <c r="F480">
        <v>2.9626935732172983</v>
      </c>
      <c r="G480">
        <v>1.9257917142711185</v>
      </c>
      <c r="K480" s="25">
        <f t="shared" si="10"/>
        <v>4.3600000000000003</v>
      </c>
    </row>
    <row r="481" spans="1:11" ht="15" customHeight="1" x14ac:dyDescent="0.25">
      <c r="A481" s="29">
        <v>4.37</v>
      </c>
      <c r="B481">
        <v>0.13752220545488134</v>
      </c>
      <c r="C481">
        <v>0.77342197116043188</v>
      </c>
      <c r="D481">
        <v>1.1889793662968124</v>
      </c>
      <c r="E481">
        <v>2.4881066738633075</v>
      </c>
      <c r="F481">
        <v>2.9583074963688638</v>
      </c>
      <c r="G481">
        <v>1.924356368156785</v>
      </c>
      <c r="K481" s="25">
        <f t="shared" si="10"/>
        <v>4.37</v>
      </c>
    </row>
    <row r="482" spans="1:11" ht="15" customHeight="1" x14ac:dyDescent="0.25">
      <c r="A482" s="29">
        <v>4.38</v>
      </c>
      <c r="B482">
        <v>0.13741136135356954</v>
      </c>
      <c r="C482">
        <v>0.77336593461344882</v>
      </c>
      <c r="D482">
        <v>1.1880210385205852</v>
      </c>
      <c r="E482">
        <v>2.4864346243616668</v>
      </c>
      <c r="F482">
        <v>2.9539366446476878</v>
      </c>
      <c r="G482">
        <v>1.9229238371246999</v>
      </c>
      <c r="K482" s="25">
        <f t="shared" si="10"/>
        <v>4.38</v>
      </c>
    </row>
    <row r="483" spans="1:11" ht="15" customHeight="1" x14ac:dyDescent="0.25">
      <c r="A483" s="29">
        <v>4.3899999999999997</v>
      </c>
      <c r="B483">
        <v>0.13730090111969806</v>
      </c>
      <c r="C483">
        <v>0.77330998505855908</v>
      </c>
      <c r="D483">
        <v>1.1870660295572319</v>
      </c>
      <c r="E483">
        <v>2.4847656796739179</v>
      </c>
      <c r="F483">
        <v>2.9495809297505944</v>
      </c>
      <c r="G483">
        <v>1.921494110622658</v>
      </c>
      <c r="K483" s="25">
        <f t="shared" si="10"/>
        <v>4.3899999999999997</v>
      </c>
    </row>
    <row r="484" spans="1:11" ht="15" customHeight="1" x14ac:dyDescent="0.25">
      <c r="A484" s="29">
        <v>4.4000000000000004</v>
      </c>
      <c r="B484">
        <v>0.13719082253206188</v>
      </c>
      <c r="C484">
        <v>0.77325412243135894</v>
      </c>
      <c r="D484">
        <v>1.1861143202028219</v>
      </c>
      <c r="E484">
        <v>2.4830998276679237</v>
      </c>
      <c r="F484">
        <v>2.9452402640900828</v>
      </c>
      <c r="G484">
        <v>1.9200671781528189</v>
      </c>
      <c r="K484" s="25">
        <f t="shared" si="10"/>
        <v>4.4000000000000004</v>
      </c>
    </row>
    <row r="485" spans="1:11" ht="15" customHeight="1" x14ac:dyDescent="0.25">
      <c r="A485" s="29">
        <v>4.41</v>
      </c>
      <c r="B485">
        <v>0.1370811233874121</v>
      </c>
      <c r="C485">
        <v>0.77319834666433884</v>
      </c>
      <c r="D485">
        <v>1.1851658914086678</v>
      </c>
      <c r="E485">
        <v>2.4814370562851651</v>
      </c>
      <c r="F485">
        <v>2.9409145607867075</v>
      </c>
      <c r="G485">
        <v>1.9186430292713135</v>
      </c>
      <c r="K485" s="25">
        <f t="shared" si="10"/>
        <v>4.41</v>
      </c>
    </row>
    <row r="486" spans="1:11" ht="15" customHeight="1" x14ac:dyDescent="0.25">
      <c r="A486" s="29">
        <v>4.42</v>
      </c>
      <c r="B486">
        <v>0.13697180150026467</v>
      </c>
      <c r="C486">
        <v>0.7731426576869368</v>
      </c>
      <c r="D486">
        <v>1.1842207242796723</v>
      </c>
      <c r="E486">
        <v>2.4797773535400545</v>
      </c>
      <c r="F486">
        <v>2.9366037336615318</v>
      </c>
      <c r="G486">
        <v>1.9172216535878364</v>
      </c>
      <c r="K486" s="25">
        <f t="shared" si="10"/>
        <v>4.42</v>
      </c>
    </row>
    <row r="487" spans="1:11" ht="15" customHeight="1" x14ac:dyDescent="0.25">
      <c r="A487" s="29">
        <v>4.43</v>
      </c>
      <c r="B487">
        <v>0.13686285470271253</v>
      </c>
      <c r="C487">
        <v>0.77308705542559597</v>
      </c>
      <c r="D487">
        <v>1.1832788000727039</v>
      </c>
      <c r="E487">
        <v>2.4781207075192708</v>
      </c>
      <c r="F487">
        <v>2.932307697228723</v>
      </c>
      <c r="G487">
        <v>1.9158030407652675</v>
      </c>
      <c r="K487" s="25">
        <f t="shared" si="10"/>
        <v>4.43</v>
      </c>
    </row>
    <row r="488" spans="1:11" ht="15" customHeight="1" x14ac:dyDescent="0.25">
      <c r="A488" s="29">
        <v>4.4400000000000004</v>
      </c>
      <c r="B488">
        <v>0.1367542808442391</v>
      </c>
      <c r="C488">
        <v>0.77303153980381589</v>
      </c>
      <c r="D488">
        <v>1.1823401001949849</v>
      </c>
      <c r="E488">
        <v>2.4764671063810848</v>
      </c>
      <c r="F488">
        <v>2.9280263666881963</v>
      </c>
      <c r="G488">
        <v>1.9143871805192703</v>
      </c>
      <c r="K488" s="25">
        <f t="shared" si="10"/>
        <v>4.4400000000000004</v>
      </c>
    </row>
    <row r="489" spans="1:11" ht="15" customHeight="1" x14ac:dyDescent="0.25">
      <c r="A489" s="29">
        <v>4.45</v>
      </c>
      <c r="B489">
        <v>0.13664607779153518</v>
      </c>
      <c r="C489">
        <v>0.77297611074220618</v>
      </c>
      <c r="D489">
        <v>1.1814046062025076</v>
      </c>
      <c r="E489">
        <v>2.4748165383547085</v>
      </c>
      <c r="F489">
        <v>2.9237596579183971</v>
      </c>
      <c r="G489">
        <v>1.9129740626179126</v>
      </c>
      <c r="K489" s="25">
        <f t="shared" si="10"/>
        <v>4.45</v>
      </c>
    </row>
    <row r="490" spans="1:11" ht="15" customHeight="1" x14ac:dyDescent="0.25">
      <c r="A490" s="29">
        <v>4.46</v>
      </c>
      <c r="B490">
        <v>0.13653824342831736</v>
      </c>
      <c r="C490">
        <v>0.7729207681585385</v>
      </c>
      <c r="D490">
        <v>1.1804722997984642</v>
      </c>
      <c r="E490">
        <v>2.4731689917396373</v>
      </c>
      <c r="F490">
        <v>2.9195074874691387</v>
      </c>
      <c r="G490">
        <v>1.9115636768812787</v>
      </c>
      <c r="K490" s="25">
        <f t="shared" si="10"/>
        <v>4.46</v>
      </c>
    </row>
    <row r="491" spans="1:11" ht="15" customHeight="1" x14ac:dyDescent="0.25">
      <c r="A491" s="29">
        <v>4.47</v>
      </c>
      <c r="B491">
        <v>0.13643077565514936</v>
      </c>
      <c r="C491">
        <v>0.77286551196779762</v>
      </c>
      <c r="D491">
        <v>1.1795431628317035</v>
      </c>
      <c r="E491">
        <v>2.4715244549050102</v>
      </c>
      <c r="F491">
        <v>2.9152697725545575</v>
      </c>
      <c r="G491">
        <v>1.9101560131810926</v>
      </c>
      <c r="K491" s="25">
        <f t="shared" si="10"/>
        <v>4.47</v>
      </c>
    </row>
    <row r="492" spans="1:11" ht="15" customHeight="1" x14ac:dyDescent="0.25">
      <c r="A492" s="29">
        <v>4.4800000000000004</v>
      </c>
      <c r="B492">
        <v>0.1363236723892654</v>
      </c>
      <c r="C492">
        <v>0.77281034208223109</v>
      </c>
      <c r="D492">
        <v>1.1786171772952019</v>
      </c>
      <c r="E492">
        <v>2.4698829162889702</v>
      </c>
      <c r="F492">
        <v>2.9110464310461475</v>
      </c>
      <c r="G492">
        <v>1.9087510614403376</v>
      </c>
      <c r="K492" s="25">
        <f t="shared" ref="K492:K531" si="11">A492</f>
        <v>4.4800000000000004</v>
      </c>
    </row>
    <row r="493" spans="1:11" ht="15" customHeight="1" x14ac:dyDescent="0.25">
      <c r="A493" s="29">
        <v>4.49</v>
      </c>
      <c r="B493">
        <v>0.13621693156439582</v>
      </c>
      <c r="C493">
        <v>0.77275525841140069</v>
      </c>
      <c r="D493">
        <v>1.1776943253245571</v>
      </c>
      <c r="E493">
        <v>2.4682443643980347</v>
      </c>
      <c r="F493">
        <v>2.9068373814658837</v>
      </c>
      <c r="G493">
        <v>1.9073488116328867</v>
      </c>
      <c r="K493" s="25">
        <f t="shared" si="11"/>
        <v>4.49</v>
      </c>
    </row>
    <row r="494" spans="1:11" ht="15" customHeight="1" x14ac:dyDescent="0.25">
      <c r="A494" s="29">
        <v>4.5</v>
      </c>
      <c r="B494">
        <v>0.136110551130595</v>
      </c>
      <c r="C494">
        <v>0.77270026086222821</v>
      </c>
      <c r="D494">
        <v>1.1767745891965005</v>
      </c>
      <c r="E494">
        <v>2.4666087878064737</v>
      </c>
      <c r="F494">
        <v>2.9026425429794411</v>
      </c>
      <c r="G494">
        <v>1.9059492537831269</v>
      </c>
      <c r="K494" s="25">
        <f t="shared" si="11"/>
        <v>4.5</v>
      </c>
    </row>
    <row r="495" spans="1:11" ht="15" customHeight="1" x14ac:dyDescent="0.25">
      <c r="A495" s="29">
        <v>4.51</v>
      </c>
      <c r="B495">
        <v>0.13600452905407134</v>
      </c>
      <c r="C495">
        <v>0.77264534933904583</v>
      </c>
      <c r="D495">
        <v>1.1758579513274261</v>
      </c>
      <c r="E495">
        <v>2.4649761751556896</v>
      </c>
      <c r="F495">
        <v>2.8984618353894827</v>
      </c>
      <c r="G495">
        <v>1.9045523779655928</v>
      </c>
      <c r="K495" s="25">
        <f t="shared" si="11"/>
        <v>4.51</v>
      </c>
    </row>
    <row r="496" spans="1:11" ht="15" customHeight="1" x14ac:dyDescent="0.25">
      <c r="A496" s="29">
        <v>4.5199999999999996</v>
      </c>
      <c r="B496">
        <v>0.13589886331701956</v>
      </c>
      <c r="C496">
        <v>0.7725905237436419</v>
      </c>
      <c r="D496">
        <v>1.1749443942719415</v>
      </c>
      <c r="E496">
        <v>2.4633465151536105</v>
      </c>
      <c r="F496">
        <v>2.8942951791290565</v>
      </c>
      <c r="G496">
        <v>1.9031581743046031</v>
      </c>
      <c r="K496" s="25">
        <f t="shared" si="11"/>
        <v>4.5199999999999996</v>
      </c>
    </row>
    <row r="497" spans="1:11" ht="15" customHeight="1" x14ac:dyDescent="0.25">
      <c r="A497" s="29">
        <v>4.53</v>
      </c>
      <c r="B497">
        <v>0.13579355191745499</v>
      </c>
      <c r="C497">
        <v>0.77253578397530775</v>
      </c>
      <c r="D497">
        <v>1.1740339007214349</v>
      </c>
      <c r="E497">
        <v>2.461719796574084</v>
      </c>
      <c r="F497">
        <v>2.8901424952550481</v>
      </c>
      <c r="G497">
        <v>1.9017666329738951</v>
      </c>
      <c r="K497" s="25">
        <f t="shared" si="11"/>
        <v>4.53</v>
      </c>
    </row>
    <row r="498" spans="1:11" ht="15" customHeight="1" x14ac:dyDescent="0.25">
      <c r="A498" s="29">
        <v>4.54</v>
      </c>
      <c r="B498">
        <v>0.13568859286905016</v>
      </c>
      <c r="C498">
        <v>0.77248112993088358</v>
      </c>
      <c r="D498">
        <v>1.1731264535026624</v>
      </c>
      <c r="E498">
        <v>2.460096008256285</v>
      </c>
      <c r="F498">
        <v>2.8860037054417518</v>
      </c>
      <c r="G498">
        <v>1.9003777441962715</v>
      </c>
      <c r="K498" s="25">
        <f t="shared" si="11"/>
        <v>4.54</v>
      </c>
    </row>
    <row r="499" spans="1:11" ht="15" customHeight="1" x14ac:dyDescent="0.25">
      <c r="A499" s="29">
        <v>4.55</v>
      </c>
      <c r="B499">
        <v>0.1355839842009732</v>
      </c>
      <c r="C499">
        <v>0.77242656150480293</v>
      </c>
      <c r="D499">
        <v>1.1722220355763509</v>
      </c>
      <c r="E499">
        <v>2.4584751391041215</v>
      </c>
      <c r="F499">
        <v>2.8818787319744854</v>
      </c>
      <c r="G499">
        <v>1.8989914982432388</v>
      </c>
      <c r="K499" s="25">
        <f t="shared" si="11"/>
        <v>4.55</v>
      </c>
    </row>
    <row r="500" spans="1:11" ht="15" customHeight="1" x14ac:dyDescent="0.25">
      <c r="A500" s="29">
        <v>4.5599999999999996</v>
      </c>
      <c r="B500">
        <v>0.13547972395772831</v>
      </c>
      <c r="C500">
        <v>0.77237207858913737</v>
      </c>
      <c r="D500">
        <v>1.1713206300358185</v>
      </c>
      <c r="E500">
        <v>2.4568571780856505</v>
      </c>
      <c r="F500">
        <v>2.877767497743307</v>
      </c>
      <c r="G500">
        <v>1.8976078854346563</v>
      </c>
      <c r="K500" s="25">
        <f t="shared" si="11"/>
        <v>4.5599999999999996</v>
      </c>
    </row>
    <row r="501" spans="1:11" ht="15" customHeight="1" x14ac:dyDescent="0.25">
      <c r="A501" s="29">
        <v>4.57</v>
      </c>
      <c r="B501">
        <v>0.13537581019899839</v>
      </c>
      <c r="C501">
        <v>0.77231768107363929</v>
      </c>
      <c r="D501">
        <v>1.1704222201056145</v>
      </c>
      <c r="E501">
        <v>2.4552421142325027</v>
      </c>
      <c r="F501">
        <v>2.8736699262368082</v>
      </c>
      <c r="G501">
        <v>1.8962268961383859</v>
      </c>
      <c r="K501" s="25">
        <f t="shared" si="11"/>
        <v>4.57</v>
      </c>
    </row>
    <row r="502" spans="1:11" ht="15" customHeight="1" x14ac:dyDescent="0.25">
      <c r="A502" s="29">
        <v>4.58</v>
      </c>
      <c r="B502">
        <v>0.1352722409994897</v>
      </c>
      <c r="C502">
        <v>0.77226336884578628</v>
      </c>
      <c r="D502">
        <v>1.1695267891401759</v>
      </c>
      <c r="E502">
        <v>2.4536299366393135</v>
      </c>
      <c r="F502">
        <v>2.8695859415359894</v>
      </c>
      <c r="G502">
        <v>1.8948485207699495</v>
      </c>
      <c r="K502" s="25">
        <f t="shared" si="11"/>
        <v>4.58</v>
      </c>
    </row>
    <row r="503" spans="1:11" ht="15" customHeight="1" x14ac:dyDescent="0.25">
      <c r="A503" s="29">
        <v>4.59</v>
      </c>
      <c r="B503">
        <v>0.13516901444877799</v>
      </c>
      <c r="C503">
        <v>0.77220914179082134</v>
      </c>
      <c r="D503">
        <v>1.1686343206224972</v>
      </c>
      <c r="E503">
        <v>2.4520206344631492</v>
      </c>
      <c r="F503">
        <v>2.8655154683081863</v>
      </c>
      <c r="G503">
        <v>1.8934727497921737</v>
      </c>
      <c r="K503" s="25">
        <f t="shared" si="11"/>
        <v>4.59</v>
      </c>
    </row>
    <row r="504" spans="1:11" ht="15" customHeight="1" x14ac:dyDescent="0.25">
      <c r="A504" s="29">
        <v>4.5999999999999996</v>
      </c>
      <c r="B504">
        <v>0.13506612865115705</v>
      </c>
      <c r="C504">
        <v>0.7721549997917948</v>
      </c>
      <c r="D504">
        <v>1.1677447981628213</v>
      </c>
      <c r="E504">
        <v>2.4504141969229565</v>
      </c>
      <c r="F504">
        <v>2.8614584318011089</v>
      </c>
      <c r="G504">
        <v>1.8920995737148565</v>
      </c>
      <c r="K504" s="25">
        <f t="shared" si="11"/>
        <v>4.5999999999999996</v>
      </c>
    </row>
    <row r="505" spans="1:11" ht="15" customHeight="1" x14ac:dyDescent="0.25">
      <c r="A505" s="29">
        <v>4.6100000000000003</v>
      </c>
      <c r="B505">
        <v>0.13496358172548903</v>
      </c>
      <c r="C505">
        <v>0.77210094272960716</v>
      </c>
      <c r="D505">
        <v>1.1668582054973449</v>
      </c>
      <c r="E505">
        <v>2.4488106132990053</v>
      </c>
      <c r="F505">
        <v>2.8574147578369296</v>
      </c>
      <c r="G505">
        <v>1.8907289830944294</v>
      </c>
      <c r="K505" s="25">
        <f t="shared" si="11"/>
        <v>4.6100000000000003</v>
      </c>
    </row>
    <row r="506" spans="1:11" ht="15" customHeight="1" x14ac:dyDescent="0.25">
      <c r="A506" s="29">
        <v>4.62</v>
      </c>
      <c r="B506">
        <v>0.13486137180505661</v>
      </c>
      <c r="C506">
        <v>0.77204697048304605</v>
      </c>
      <c r="D506">
        <v>1.1659745264869406</v>
      </c>
      <c r="E506">
        <v>2.4472098729323442</v>
      </c>
      <c r="F506">
        <v>2.8533843728064556</v>
      </c>
      <c r="G506">
        <v>1.8893609685336163</v>
      </c>
      <c r="K506" s="25">
        <f t="shared" si="11"/>
        <v>4.62</v>
      </c>
    </row>
    <row r="507" spans="1:11" ht="15" customHeight="1" x14ac:dyDescent="0.25">
      <c r="A507" s="29">
        <v>4.63</v>
      </c>
      <c r="B507">
        <v>0.1347594970374168</v>
      </c>
      <c r="C507">
        <v>0.77199308292882862</v>
      </c>
      <c r="D507">
        <v>1.1650937451158929</v>
      </c>
      <c r="E507">
        <v>2.4456119652242565</v>
      </c>
      <c r="F507">
        <v>2.8493672036633675</v>
      </c>
      <c r="G507">
        <v>1.887995520681105</v>
      </c>
      <c r="K507" s="25">
        <f t="shared" si="11"/>
        <v>4.63</v>
      </c>
    </row>
    <row r="508" spans="1:11" ht="15" customHeight="1" x14ac:dyDescent="0.25">
      <c r="A508" s="29">
        <v>4.6399999999999997</v>
      </c>
      <c r="B508">
        <v>0.13465795558425672</v>
      </c>
      <c r="C508">
        <v>0.77193927994163913</v>
      </c>
      <c r="D508">
        <v>1.1642158454906522</v>
      </c>
      <c r="E508">
        <v>2.4440168796357269</v>
      </c>
      <c r="F508">
        <v>2.8453631779185335</v>
      </c>
      <c r="G508">
        <v>1.8866326302312146</v>
      </c>
      <c r="K508" s="25">
        <f t="shared" si="11"/>
        <v>4.6399999999999997</v>
      </c>
    </row>
    <row r="509" spans="1:11" ht="15" customHeight="1" x14ac:dyDescent="0.25">
      <c r="A509" s="29">
        <v>4.6500000000000004</v>
      </c>
      <c r="B509">
        <v>0.13455674562125122</v>
      </c>
      <c r="C509">
        <v>0.77188556139416753</v>
      </c>
      <c r="D509">
        <v>1.1633408118386019</v>
      </c>
      <c r="E509">
        <v>2.442424605686909</v>
      </c>
      <c r="F509">
        <v>2.8413722236343859</v>
      </c>
      <c r="G509">
        <v>1.8852722879235679</v>
      </c>
      <c r="K509" s="25">
        <f t="shared" si="11"/>
        <v>4.6500000000000004</v>
      </c>
    </row>
    <row r="510" spans="1:11" ht="15" customHeight="1" x14ac:dyDescent="0.25">
      <c r="A510" s="29">
        <v>4.66</v>
      </c>
      <c r="B510">
        <v>0.13445586533792225</v>
      </c>
      <c r="C510">
        <v>0.77183192715714666</v>
      </c>
      <c r="D510">
        <v>1.1624686285068442</v>
      </c>
      <c r="E510">
        <v>2.4408351329566047</v>
      </c>
      <c r="F510">
        <v>2.8373942694193848</v>
      </c>
      <c r="G510">
        <v>1.8839144845427664</v>
      </c>
      <c r="K510" s="25">
        <f t="shared" si="11"/>
        <v>4.66</v>
      </c>
    </row>
    <row r="511" spans="1:11" ht="15" customHeight="1" x14ac:dyDescent="0.25">
      <c r="A511" s="29">
        <v>4.67</v>
      </c>
      <c r="B511">
        <v>0.13435531293749978</v>
      </c>
      <c r="C511">
        <v>0.77177837709939034</v>
      </c>
      <c r="D511">
        <v>1.1615992799609967</v>
      </c>
      <c r="E511">
        <v>2.4392484510817449</v>
      </c>
      <c r="F511">
        <v>2.8334292444225309</v>
      </c>
      <c r="G511">
        <v>1.8825592109180707</v>
      </c>
      <c r="K511" s="25">
        <f t="shared" si="11"/>
        <v>4.67</v>
      </c>
    </row>
    <row r="512" spans="1:11" ht="15" customHeight="1" x14ac:dyDescent="0.25">
      <c r="A512" s="29">
        <v>4.68</v>
      </c>
      <c r="B512">
        <v>0.13425508663678473</v>
      </c>
      <c r="C512">
        <v>0.77172491108782992</v>
      </c>
      <c r="D512">
        <v>1.1607327507840082</v>
      </c>
      <c r="E512">
        <v>2.4376645497568772</v>
      </c>
      <c r="F512">
        <v>2.8294770783279604</v>
      </c>
      <c r="G512">
        <v>1.8812064579230809</v>
      </c>
      <c r="K512" s="25">
        <f t="shared" si="11"/>
        <v>4.68</v>
      </c>
    </row>
    <row r="513" spans="1:11" ht="15" customHeight="1" x14ac:dyDescent="0.25">
      <c r="A513" s="29">
        <v>4.6900000000000004</v>
      </c>
      <c r="B513">
        <v>0.13415518466601295</v>
      </c>
      <c r="C513">
        <v>0.7716715289875492</v>
      </c>
      <c r="D513">
        <v>1.159869025674982</v>
      </c>
      <c r="E513">
        <v>2.4360834187336531</v>
      </c>
      <c r="F513">
        <v>2.8255377013495808</v>
      </c>
      <c r="G513">
        <v>1.8798562164754142</v>
      </c>
      <c r="K513" s="25">
        <f t="shared" si="11"/>
        <v>4.6900000000000004</v>
      </c>
    </row>
    <row r="514" spans="1:11" ht="15" customHeight="1" x14ac:dyDescent="0.25">
      <c r="A514" s="29">
        <v>4.7</v>
      </c>
      <c r="B514">
        <v>0.13405560526872184</v>
      </c>
      <c r="C514">
        <v>0.77161823066182089</v>
      </c>
      <c r="D514">
        <v>1.1590080894480232</v>
      </c>
      <c r="E514">
        <v>2.4345050478203349</v>
      </c>
      <c r="F514">
        <v>2.8216110442258144</v>
      </c>
      <c r="G514">
        <v>1.8785084775363985</v>
      </c>
      <c r="K514" s="25">
        <f t="shared" si="11"/>
        <v>4.7</v>
      </c>
    </row>
    <row r="515" spans="1:11" ht="15" customHeight="1" x14ac:dyDescent="0.25">
      <c r="A515" s="29">
        <v>4.71</v>
      </c>
      <c r="B515">
        <v>0.13395634670161788</v>
      </c>
      <c r="C515">
        <v>0.77156501597214133</v>
      </c>
      <c r="D515">
        <v>1.1581499270310924</v>
      </c>
      <c r="E515">
        <v>2.4329294268812927</v>
      </c>
      <c r="F515">
        <v>2.8176970382143662</v>
      </c>
      <c r="G515">
        <v>1.8771632321107572</v>
      </c>
      <c r="K515" s="25">
        <f t="shared" si="11"/>
        <v>4.71</v>
      </c>
    </row>
    <row r="516" spans="1:11" ht="15" customHeight="1" x14ac:dyDescent="0.25">
      <c r="A516" s="29">
        <v>4.72</v>
      </c>
      <c r="B516">
        <v>0.13385740723444584</v>
      </c>
      <c r="C516">
        <v>0.77151188477826427</v>
      </c>
      <c r="D516">
        <v>1.1572945234648766</v>
      </c>
      <c r="E516">
        <v>2.4313565458365156</v>
      </c>
      <c r="F516">
        <v>2.8137956150870789</v>
      </c>
      <c r="G516">
        <v>1.8758204712463005</v>
      </c>
      <c r="K516" s="25">
        <f t="shared" si="11"/>
        <v>4.72</v>
      </c>
    </row>
    <row r="517" spans="1:11" ht="15" customHeight="1" x14ac:dyDescent="0.25">
      <c r="A517" s="29">
        <v>4.7300000000000004</v>
      </c>
      <c r="B517">
        <v>0.13375878514985981</v>
      </c>
      <c r="C517">
        <v>0.77145883693823603</v>
      </c>
      <c r="D517">
        <v>1.1564418639016729</v>
      </c>
      <c r="E517">
        <v>2.4297863946611251</v>
      </c>
      <c r="F517">
        <v>2.8099067071248371</v>
      </c>
      <c r="G517">
        <v>1.8744801860336213</v>
      </c>
      <c r="K517" s="25">
        <f t="shared" si="11"/>
        <v>4.7300000000000004</v>
      </c>
    </row>
    <row r="518" spans="1:11" ht="15" customHeight="1" x14ac:dyDescent="0.25">
      <c r="A518" s="29">
        <v>4.74</v>
      </c>
      <c r="B518">
        <v>0.13366047874329554</v>
      </c>
      <c r="C518">
        <v>0.77140587230842672</v>
      </c>
      <c r="D518">
        <v>1.155591933604285</v>
      </c>
      <c r="E518">
        <v>2.4282189633848925</v>
      </c>
      <c r="F518">
        <v>2.8060302471125405</v>
      </c>
      <c r="G518">
        <v>1.8731423676057868</v>
      </c>
      <c r="K518" s="25">
        <f t="shared" si="11"/>
        <v>4.74</v>
      </c>
    </row>
    <row r="519" spans="1:11" ht="15" customHeight="1" x14ac:dyDescent="0.25">
      <c r="A519" s="29">
        <v>4.75</v>
      </c>
      <c r="B519">
        <v>0.1335624863228449</v>
      </c>
      <c r="C519">
        <v>0.77135299074356511</v>
      </c>
      <c r="D519">
        <v>1.1547447179449382</v>
      </c>
      <c r="E519">
        <v>2.4266542420917689</v>
      </c>
      <c r="F519">
        <v>2.8021661683341472</v>
      </c>
      <c r="G519">
        <v>1.8718070071380453</v>
      </c>
      <c r="K519" s="25">
        <f t="shared" si="11"/>
        <v>4.75</v>
      </c>
    </row>
    <row r="520" spans="1:11" ht="15" customHeight="1" x14ac:dyDescent="0.25">
      <c r="A520" s="29">
        <v>4.76</v>
      </c>
      <c r="B520">
        <v>0.13346480620913079</v>
      </c>
      <c r="C520">
        <v>0.77130019209677059</v>
      </c>
      <c r="D520">
        <v>1.1539002024041973</v>
      </c>
      <c r="E520">
        <v>2.4250922209194052</v>
      </c>
      <c r="F520">
        <v>2.7983144045677459</v>
      </c>
      <c r="G520">
        <v>1.8704740958475212</v>
      </c>
      <c r="K520" s="25">
        <f t="shared" si="11"/>
        <v>4.76</v>
      </c>
    </row>
    <row r="521" spans="1:11" ht="15" customHeight="1" x14ac:dyDescent="0.25">
      <c r="A521" s="29">
        <v>4.7699999999999996</v>
      </c>
      <c r="B521">
        <v>0.13336743673518478</v>
      </c>
      <c r="C521">
        <v>0.77124747621958267</v>
      </c>
      <c r="D521">
        <v>1.1530583725699095</v>
      </c>
      <c r="E521">
        <v>2.4235328900586963</v>
      </c>
      <c r="F521">
        <v>2.7944748900807301</v>
      </c>
      <c r="G521">
        <v>1.8691436249929207</v>
      </c>
      <c r="K521" s="25">
        <f t="shared" si="11"/>
        <v>4.7699999999999996</v>
      </c>
    </row>
    <row r="522" spans="1:11" ht="15" customHeight="1" x14ac:dyDescent="0.25">
      <c r="A522" s="29">
        <v>4.78</v>
      </c>
      <c r="B522">
        <v>0.13327037624632532</v>
      </c>
      <c r="C522">
        <v>0.77119484296199581</v>
      </c>
      <c r="D522">
        <v>1.1522192141361507</v>
      </c>
      <c r="E522">
        <v>2.4219762397533122</v>
      </c>
      <c r="F522">
        <v>2.7906475596249907</v>
      </c>
      <c r="G522">
        <v>1.8678155858742407</v>
      </c>
      <c r="K522" s="25">
        <f t="shared" si="11"/>
        <v>4.78</v>
      </c>
    </row>
    <row r="523" spans="1:11" ht="15" customHeight="1" x14ac:dyDescent="0.25">
      <c r="A523" s="29">
        <v>4.79</v>
      </c>
      <c r="B523">
        <v>0.13317362310003766</v>
      </c>
      <c r="C523">
        <v>0.7711422921724872</v>
      </c>
      <c r="D523">
        <v>1.1513827129021879</v>
      </c>
      <c r="E523">
        <v>2.4204222602992456</v>
      </c>
      <c r="F523">
        <v>2.7868323484321906</v>
      </c>
      <c r="G523">
        <v>1.8664899698324726</v>
      </c>
      <c r="K523" s="25">
        <f t="shared" si="11"/>
        <v>4.79</v>
      </c>
    </row>
    <row r="524" spans="1:11" ht="15" customHeight="1" x14ac:dyDescent="0.25">
      <c r="A524" s="29">
        <v>4.8</v>
      </c>
      <c r="B524">
        <v>0.13307717566585572</v>
      </c>
      <c r="C524">
        <v>0.77108982369804935</v>
      </c>
      <c r="D524">
        <v>1.1505488547714569</v>
      </c>
      <c r="E524">
        <v>2.4188709420443626</v>
      </c>
      <c r="F524">
        <v>2.7830291922090962</v>
      </c>
      <c r="G524">
        <v>1.865166768249322</v>
      </c>
      <c r="K524" s="25">
        <f t="shared" si="11"/>
        <v>4.8</v>
      </c>
    </row>
    <row r="525" spans="1:11" ht="15" customHeight="1" x14ac:dyDescent="0.25">
      <c r="A525" s="29">
        <v>4.8099999999999996</v>
      </c>
      <c r="B525">
        <v>0.13298103232524433</v>
      </c>
      <c r="C525">
        <v>0.77103743738421882</v>
      </c>
      <c r="D525">
        <v>1.1497176257505457</v>
      </c>
      <c r="E525">
        <v>2.4173222753879506</v>
      </c>
      <c r="F525">
        <v>2.7792380271329411</v>
      </c>
      <c r="G525">
        <v>1.8638459725469143</v>
      </c>
      <c r="K525" s="25">
        <f t="shared" si="11"/>
        <v>4.8099999999999996</v>
      </c>
    </row>
    <row r="526" spans="1:11" ht="15" customHeight="1" x14ac:dyDescent="0.25">
      <c r="A526" s="29">
        <v>4.82</v>
      </c>
      <c r="B526">
        <v>0.13288519147148412</v>
      </c>
      <c r="C526">
        <v>0.77098513307510597</v>
      </c>
      <c r="D526">
        <v>1.1488890119481985</v>
      </c>
      <c r="E526">
        <v>2.415776250780286</v>
      </c>
      <c r="F526">
        <v>2.7754587898468857</v>
      </c>
      <c r="G526">
        <v>1.8625275741875194</v>
      </c>
      <c r="K526" s="25">
        <f t="shared" si="11"/>
        <v>4.82</v>
      </c>
    </row>
    <row r="527" spans="1:11" ht="15" customHeight="1" x14ac:dyDescent="0.25">
      <c r="A527" s="29">
        <v>4.83</v>
      </c>
      <c r="B527">
        <v>0.1327896515095566</v>
      </c>
      <c r="C527">
        <v>0.77093291061342384</v>
      </c>
      <c r="D527">
        <v>1.1480629995743215</v>
      </c>
      <c r="E527">
        <v>2.4142328587221864</v>
      </c>
      <c r="F527">
        <v>2.7716914174554823</v>
      </c>
      <c r="G527">
        <v>1.8612115646732621</v>
      </c>
      <c r="K527" s="25">
        <f t="shared" si="11"/>
        <v>4.83</v>
      </c>
    </row>
    <row r="528" spans="1:11" ht="15" customHeight="1" x14ac:dyDescent="0.25">
      <c r="A528" s="29">
        <v>4.84</v>
      </c>
      <c r="B528">
        <v>0.13269441085603145</v>
      </c>
      <c r="C528">
        <v>0.77088076984051612</v>
      </c>
      <c r="D528">
        <v>1.1472395749390092</v>
      </c>
      <c r="E528">
        <v>2.4126920897645849</v>
      </c>
      <c r="F528">
        <v>2.7679358475202318</v>
      </c>
      <c r="G528">
        <v>1.8598979355458469</v>
      </c>
      <c r="K528" s="25">
        <f t="shared" si="11"/>
        <v>4.84</v>
      </c>
    </row>
    <row r="529" spans="1:11" ht="15" customHeight="1" x14ac:dyDescent="0.25">
      <c r="A529" s="29">
        <v>4.8499999999999996</v>
      </c>
      <c r="B529">
        <v>0.13259946793895483</v>
      </c>
      <c r="C529">
        <v>0.7708287105963868</v>
      </c>
      <c r="D529">
        <v>1.1464187244515787</v>
      </c>
      <c r="E529">
        <v>2.4111539345081012</v>
      </c>
      <c r="F529">
        <v>2.7641920180551818</v>
      </c>
      <c r="G529">
        <v>1.8585866783862846</v>
      </c>
      <c r="K529" s="25">
        <f t="shared" si="11"/>
        <v>4.8499999999999996</v>
      </c>
    </row>
    <row r="530" spans="1:11" ht="15" customHeight="1" x14ac:dyDescent="0.25">
      <c r="A530" s="29">
        <v>4.8600000000000003</v>
      </c>
      <c r="B530">
        <v>0.1325048211977389</v>
      </c>
      <c r="C530">
        <v>0.77077673271972713</v>
      </c>
      <c r="D530">
        <v>1.1456004346196149</v>
      </c>
      <c r="E530">
        <v>2.409618383602619</v>
      </c>
      <c r="F530">
        <v>2.7604598675225747</v>
      </c>
      <c r="G530">
        <v>1.8572777848146169</v>
      </c>
      <c r="K530" s="25">
        <f t="shared" si="11"/>
        <v>4.8600000000000003</v>
      </c>
    </row>
    <row r="531" spans="1:11" ht="15" customHeight="1" x14ac:dyDescent="0.25">
      <c r="A531" s="29">
        <v>4.87</v>
      </c>
      <c r="B531">
        <v>0.13241046908305287</v>
      </c>
      <c r="C531">
        <v>0.77072483604794217</v>
      </c>
      <c r="D531">
        <v>1.1447846920480274</v>
      </c>
      <c r="E531">
        <v>2.4080854277468617</v>
      </c>
      <c r="F531">
        <v>2.7567393348285334</v>
      </c>
      <c r="G531">
        <v>1.8559712464896387</v>
      </c>
      <c r="K531" s="25">
        <f t="shared" si="11"/>
        <v>4.87</v>
      </c>
    </row>
    <row r="532" spans="1:11" ht="15" customHeight="1" x14ac:dyDescent="0.25">
      <c r="A532" s="29">
        <v>4.88</v>
      </c>
      <c r="B532">
        <v>0.13241046908305287</v>
      </c>
      <c r="C532">
        <v>0.77072483604794217</v>
      </c>
      <c r="D532">
        <v>1.1447846920480274</v>
      </c>
      <c r="E532">
        <v>2.4080854277468617</v>
      </c>
      <c r="F532">
        <v>2.7567393348285334</v>
      </c>
      <c r="G532">
        <v>1.8559712464896387</v>
      </c>
      <c r="K532" s="25">
        <f t="shared" ref="K532:K544" si="12">A532</f>
        <v>4.88</v>
      </c>
    </row>
    <row r="533" spans="1:11" ht="15" customHeight="1" x14ac:dyDescent="0.25">
      <c r="A533" s="29">
        <v>4.8900000000000103</v>
      </c>
      <c r="B533">
        <v>0.13241046908305287</v>
      </c>
      <c r="C533">
        <v>0.77072483604794217</v>
      </c>
      <c r="D533">
        <v>1.1447846920480274</v>
      </c>
      <c r="E533">
        <v>2.4080854277468617</v>
      </c>
      <c r="F533">
        <v>2.7567393348285334</v>
      </c>
      <c r="G533">
        <v>1.8559712464896387</v>
      </c>
      <c r="K533" s="25">
        <f t="shared" si="12"/>
        <v>4.8900000000000103</v>
      </c>
    </row>
    <row r="534" spans="1:11" ht="15" customHeight="1" x14ac:dyDescent="0.25">
      <c r="A534" s="29">
        <v>4.9000000000000101</v>
      </c>
      <c r="B534">
        <v>0.13241046908305287</v>
      </c>
      <c r="C534">
        <v>0.77072483604794217</v>
      </c>
      <c r="D534">
        <v>1.1447846920480274</v>
      </c>
      <c r="E534">
        <v>2.4080854277468617</v>
      </c>
      <c r="F534">
        <v>2.7567393348285334</v>
      </c>
      <c r="G534">
        <v>1.8559712464896387</v>
      </c>
      <c r="K534" s="25">
        <f t="shared" si="12"/>
        <v>4.9000000000000101</v>
      </c>
    </row>
    <row r="535" spans="1:11" ht="15" customHeight="1" x14ac:dyDescent="0.25">
      <c r="A535" s="29">
        <v>4.9100000000000099</v>
      </c>
      <c r="B535">
        <v>0.13241046908305287</v>
      </c>
      <c r="C535">
        <v>0.77072483604794217</v>
      </c>
      <c r="D535">
        <v>1.1447846920480274</v>
      </c>
      <c r="E535">
        <v>2.4080854277468617</v>
      </c>
      <c r="F535">
        <v>2.7567393348285334</v>
      </c>
      <c r="G535">
        <v>1.8559712464896387</v>
      </c>
      <c r="K535" s="25">
        <f t="shared" si="12"/>
        <v>4.9100000000000099</v>
      </c>
    </row>
    <row r="536" spans="1:11" ht="15" customHeight="1" x14ac:dyDescent="0.25">
      <c r="A536" s="29">
        <v>4.9200000000000097</v>
      </c>
      <c r="B536">
        <v>0.13241046908305287</v>
      </c>
      <c r="C536">
        <v>0.77072483604794217</v>
      </c>
      <c r="D536">
        <v>1.1447846920480274</v>
      </c>
      <c r="E536">
        <v>2.4080854277468617</v>
      </c>
      <c r="F536">
        <v>2.7567393348285334</v>
      </c>
      <c r="G536">
        <v>1.8559712464896387</v>
      </c>
      <c r="K536" s="25">
        <f t="shared" si="12"/>
        <v>4.9200000000000097</v>
      </c>
    </row>
    <row r="537" spans="1:11" ht="15" customHeight="1" x14ac:dyDescent="0.25">
      <c r="A537" s="29">
        <v>4.9300000000000104</v>
      </c>
      <c r="B537">
        <v>0.13241046908305287</v>
      </c>
      <c r="C537">
        <v>0.77072483604794217</v>
      </c>
      <c r="D537">
        <v>1.1447846920480274</v>
      </c>
      <c r="E537">
        <v>2.4080854277468617</v>
      </c>
      <c r="F537">
        <v>2.7567393348285334</v>
      </c>
      <c r="G537">
        <v>1.8559712464896387</v>
      </c>
      <c r="K537" s="25">
        <f t="shared" si="12"/>
        <v>4.9300000000000104</v>
      </c>
    </row>
    <row r="538" spans="1:11" ht="15" customHeight="1" x14ac:dyDescent="0.25">
      <c r="A538" s="29">
        <v>4.9400000000000102</v>
      </c>
      <c r="B538">
        <v>0.13241046908305287</v>
      </c>
      <c r="C538">
        <v>0.77072483604794217</v>
      </c>
      <c r="D538">
        <v>1.1447846920480274</v>
      </c>
      <c r="E538">
        <v>2.4080854277468617</v>
      </c>
      <c r="F538">
        <v>2.7567393348285334</v>
      </c>
      <c r="G538">
        <v>1.8559712464896387</v>
      </c>
      <c r="K538" s="25">
        <f t="shared" si="12"/>
        <v>4.9400000000000102</v>
      </c>
    </row>
    <row r="539" spans="1:11" ht="15" customHeight="1" x14ac:dyDescent="0.25">
      <c r="A539" s="29">
        <v>4.9500000000000099</v>
      </c>
      <c r="B539">
        <v>0.13241046908305287</v>
      </c>
      <c r="C539">
        <v>0.77072483604794217</v>
      </c>
      <c r="D539">
        <v>1.1447846920480274</v>
      </c>
      <c r="E539">
        <v>2.4080854277468617</v>
      </c>
      <c r="F539">
        <v>2.7567393348285334</v>
      </c>
      <c r="G539">
        <v>1.8559712464896387</v>
      </c>
      <c r="K539" s="25">
        <f t="shared" si="12"/>
        <v>4.9500000000000099</v>
      </c>
    </row>
    <row r="540" spans="1:11" ht="15" customHeight="1" x14ac:dyDescent="0.25">
      <c r="A540" s="29">
        <v>4.9600000000000097</v>
      </c>
      <c r="B540">
        <v>0.13241046908305287</v>
      </c>
      <c r="C540">
        <v>0.77072483604794217</v>
      </c>
      <c r="D540">
        <v>1.1447846920480274</v>
      </c>
      <c r="E540">
        <v>2.4080854277468617</v>
      </c>
      <c r="F540">
        <v>2.7567393348285334</v>
      </c>
      <c r="G540">
        <v>1.8559712464896387</v>
      </c>
      <c r="K540" s="25">
        <f t="shared" si="12"/>
        <v>4.9600000000000097</v>
      </c>
    </row>
    <row r="541" spans="1:11" ht="15" customHeight="1" x14ac:dyDescent="0.25">
      <c r="A541" s="29">
        <v>4.9700000000000104</v>
      </c>
      <c r="B541">
        <v>0.13241046908305287</v>
      </c>
      <c r="C541">
        <v>0.77072483604794217</v>
      </c>
      <c r="D541">
        <v>1.1447846920480274</v>
      </c>
      <c r="E541">
        <v>2.4080854277468617</v>
      </c>
      <c r="F541">
        <v>2.7567393348285334</v>
      </c>
      <c r="G541">
        <v>1.8559712464896387</v>
      </c>
      <c r="K541" s="25">
        <f t="shared" si="12"/>
        <v>4.9700000000000104</v>
      </c>
    </row>
    <row r="542" spans="1:11" ht="15" customHeight="1" x14ac:dyDescent="0.25">
      <c r="A542" s="29">
        <v>4.9800000000000102</v>
      </c>
      <c r="B542">
        <v>0.13241046908305287</v>
      </c>
      <c r="C542">
        <v>0.77072483604794217</v>
      </c>
      <c r="D542">
        <v>1.1447846920480274</v>
      </c>
      <c r="E542">
        <v>2.4080854277468617</v>
      </c>
      <c r="F542">
        <v>2.7567393348285334</v>
      </c>
      <c r="G542">
        <v>1.8559712464896387</v>
      </c>
      <c r="K542" s="25">
        <f t="shared" si="12"/>
        <v>4.9800000000000102</v>
      </c>
    </row>
    <row r="543" spans="1:11" ht="15" customHeight="1" x14ac:dyDescent="0.25">
      <c r="A543" s="29">
        <v>4.99000000000001</v>
      </c>
      <c r="B543">
        <v>0.13241046908305287</v>
      </c>
      <c r="C543">
        <v>0.77072483604794217</v>
      </c>
      <c r="D543">
        <v>1.1447846920480274</v>
      </c>
      <c r="E543">
        <v>2.4080854277468617</v>
      </c>
      <c r="F543">
        <v>2.7567393348285334</v>
      </c>
      <c r="G543">
        <v>1.8559712464896387</v>
      </c>
      <c r="K543" s="25">
        <f t="shared" si="12"/>
        <v>4.99000000000001</v>
      </c>
    </row>
    <row r="544" spans="1:11" ht="15" customHeight="1" x14ac:dyDescent="0.25">
      <c r="A544" s="29">
        <v>5.0000000000000098</v>
      </c>
      <c r="B544">
        <v>0.13241046908305287</v>
      </c>
      <c r="C544">
        <v>0.77072483604794217</v>
      </c>
      <c r="D544">
        <v>1.1447846920480274</v>
      </c>
      <c r="E544">
        <v>2.4080854277468617</v>
      </c>
      <c r="F544">
        <v>2.7567393348285334</v>
      </c>
      <c r="G544">
        <v>1.8559712464896387</v>
      </c>
      <c r="K544" s="25">
        <f t="shared" si="12"/>
        <v>5.0000000000000098</v>
      </c>
    </row>
    <row r="545" spans="1:11" ht="15" customHeight="1" x14ac:dyDescent="0.25">
      <c r="A545" s="29"/>
      <c r="K545" s="25"/>
    </row>
    <row r="546" spans="1:11" ht="15" customHeight="1" x14ac:dyDescent="0.25">
      <c r="A546" s="29"/>
      <c r="K546" s="25"/>
    </row>
    <row r="547" spans="1:11" ht="15" customHeight="1" x14ac:dyDescent="0.25">
      <c r="A547" s="29"/>
      <c r="K547" s="25"/>
    </row>
    <row r="548" spans="1:11" ht="15" customHeight="1" x14ac:dyDescent="0.25">
      <c r="A548" s="29"/>
      <c r="K548" s="25"/>
    </row>
    <row r="549" spans="1:11" ht="15" customHeight="1" x14ac:dyDescent="0.25">
      <c r="A549" s="29"/>
      <c r="K549" s="25"/>
    </row>
    <row r="550" spans="1:11" ht="15" customHeight="1" x14ac:dyDescent="0.25">
      <c r="A550" s="29"/>
      <c r="K550" s="25"/>
    </row>
    <row r="551" spans="1:11" ht="15" customHeight="1" x14ac:dyDescent="0.25">
      <c r="A551" s="29"/>
      <c r="K551" s="25"/>
    </row>
  </sheetData>
  <mergeCells count="4">
    <mergeCell ref="A1:A4"/>
    <mergeCell ref="A9:A12"/>
    <mergeCell ref="A24:A27"/>
    <mergeCell ref="A41:G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phi0</vt:lpstr>
      <vt:lpstr>SPR and YPR</vt:lpstr>
      <vt:lpstr>Curves and SPRx</vt:lpstr>
      <vt:lpstr>SSB at SPRx</vt:lpstr>
      <vt:lpstr>SRR and Yield</vt:lpstr>
      <vt:lpstr>MSY</vt:lpstr>
    </vt:vector>
  </TitlesOfParts>
  <Company>DFO-MPO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Barrett, Tim</dc:creator>
  <cp:lastModifiedBy>Barrett, Tim</cp:lastModifiedBy>
  <dcterms:created xsi:type="dcterms:W3CDTF">2021-10-13T15:01:06Z</dcterms:created>
  <dcterms:modified xsi:type="dcterms:W3CDTF">2021-10-26T17:57:21Z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2021-10-13T19:32:16Z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e8465786-1aa6-4c57-beca-000083d6e696</vt:lpwstr>
  </property>
</Properties>
</file>
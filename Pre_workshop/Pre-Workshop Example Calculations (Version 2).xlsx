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retttj\Desktop\LRP_workshop\Pre_workshop\"/>
    </mc:Choice>
  </mc:AlternateContent>
  <bookViews>
    <workbookView xWindow="0" yWindow="0" windowWidth="18768" windowHeight="9060" tabRatio="659"/>
  </bookViews>
  <sheets>
    <sheet name="Read Me" sheetId="9" r:id="rId1"/>
    <sheet name="phi0" sheetId="1" r:id="rId2"/>
    <sheet name="phiF SPR YPR" sheetId="2" r:id="rId3"/>
    <sheet name="SPR YPR all F" sheetId="5" r:id="rId4"/>
    <sheet name="Fx%SPR" sheetId="15" r:id="rId5"/>
    <sheet name="SSB at Fx%SPR" sheetId="16" r:id="rId6"/>
    <sheet name="SRR and Yield" sheetId="6" r:id="rId7"/>
    <sheet name="MSY" sheetId="8" r:id="rId8"/>
    <sheet name="Plots" sheetId="17" r:id="rId9"/>
    <sheet name="SR Plots with Ref Pts" sheetId="1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8" l="1"/>
  <c r="F28" i="18"/>
  <c r="F25" i="18"/>
  <c r="F26" i="18"/>
  <c r="F27" i="18"/>
  <c r="F24" i="18"/>
  <c r="B29" i="18"/>
  <c r="B28" i="18"/>
  <c r="AC506" i="18"/>
  <c r="AB506" i="18"/>
  <c r="AI506" i="18" s="1"/>
  <c r="AA506" i="18"/>
  <c r="Z506" i="18"/>
  <c r="Y506" i="18"/>
  <c r="X506" i="18"/>
  <c r="AE506" i="18" s="1"/>
  <c r="W506" i="18"/>
  <c r="AH506" i="18" s="1"/>
  <c r="AC505" i="18"/>
  <c r="AB505" i="18"/>
  <c r="AI505" i="18" s="1"/>
  <c r="AA505" i="18"/>
  <c r="Z505" i="18"/>
  <c r="Y505" i="18"/>
  <c r="X505" i="18"/>
  <c r="AD505" i="18" s="1"/>
  <c r="W505" i="18"/>
  <c r="AH505" i="18" s="1"/>
  <c r="AC504" i="18"/>
  <c r="AB504" i="18"/>
  <c r="AI504" i="18" s="1"/>
  <c r="AA504" i="18"/>
  <c r="Z504" i="18"/>
  <c r="Y504" i="18"/>
  <c r="X504" i="18"/>
  <c r="AD504" i="18" s="1"/>
  <c r="W504" i="18"/>
  <c r="AH504" i="18" s="1"/>
  <c r="AC503" i="18"/>
  <c r="AB503" i="18"/>
  <c r="AI503" i="18" s="1"/>
  <c r="AA503" i="18"/>
  <c r="Z503" i="18"/>
  <c r="Y503" i="18"/>
  <c r="X503" i="18"/>
  <c r="AD503" i="18" s="1"/>
  <c r="W503" i="18"/>
  <c r="AH503" i="18" s="1"/>
  <c r="AC502" i="18"/>
  <c r="AB502" i="18"/>
  <c r="AI502" i="18" s="1"/>
  <c r="AA502" i="18"/>
  <c r="Z502" i="18"/>
  <c r="Y502" i="18"/>
  <c r="X502" i="18"/>
  <c r="AE502" i="18" s="1"/>
  <c r="W502" i="18"/>
  <c r="AH502" i="18" s="1"/>
  <c r="AC501" i="18"/>
  <c r="AB501" i="18"/>
  <c r="AI501" i="18" s="1"/>
  <c r="AA501" i="18"/>
  <c r="Z501" i="18"/>
  <c r="Y501" i="18"/>
  <c r="X501" i="18"/>
  <c r="AD501" i="18" s="1"/>
  <c r="W501" i="18"/>
  <c r="AH501" i="18" s="1"/>
  <c r="AC500" i="18"/>
  <c r="AB500" i="18"/>
  <c r="AI500" i="18" s="1"/>
  <c r="AA500" i="18"/>
  <c r="Z500" i="18"/>
  <c r="Y500" i="18"/>
  <c r="X500" i="18"/>
  <c r="AE500" i="18" s="1"/>
  <c r="W500" i="18"/>
  <c r="AH500" i="18" s="1"/>
  <c r="AC499" i="18"/>
  <c r="AB499" i="18"/>
  <c r="AI499" i="18" s="1"/>
  <c r="AA499" i="18"/>
  <c r="Z499" i="18"/>
  <c r="Y499" i="18"/>
  <c r="X499" i="18"/>
  <c r="AD499" i="18" s="1"/>
  <c r="W499" i="18"/>
  <c r="AH499" i="18" s="1"/>
  <c r="AC498" i="18"/>
  <c r="AB498" i="18"/>
  <c r="AI498" i="18" s="1"/>
  <c r="AA498" i="18"/>
  <c r="Z498" i="18"/>
  <c r="Y498" i="18"/>
  <c r="X498" i="18"/>
  <c r="AE498" i="18" s="1"/>
  <c r="W498" i="18"/>
  <c r="AH498" i="18" s="1"/>
  <c r="AC497" i="18"/>
  <c r="AB497" i="18"/>
  <c r="AI497" i="18" s="1"/>
  <c r="AA497" i="18"/>
  <c r="Z497" i="18"/>
  <c r="Y497" i="18"/>
  <c r="X497" i="18"/>
  <c r="AE497" i="18" s="1"/>
  <c r="W497" i="18"/>
  <c r="AH497" i="18" s="1"/>
  <c r="AC496" i="18"/>
  <c r="AB496" i="18"/>
  <c r="AI496" i="18" s="1"/>
  <c r="AA496" i="18"/>
  <c r="Z496" i="18"/>
  <c r="Y496" i="18"/>
  <c r="X496" i="18"/>
  <c r="AE496" i="18" s="1"/>
  <c r="W496" i="18"/>
  <c r="AH496" i="18" s="1"/>
  <c r="AC495" i="18"/>
  <c r="AB495" i="18"/>
  <c r="AI495" i="18" s="1"/>
  <c r="AA495" i="18"/>
  <c r="Z495" i="18"/>
  <c r="Y495" i="18"/>
  <c r="X495" i="18"/>
  <c r="AE495" i="18" s="1"/>
  <c r="W495" i="18"/>
  <c r="AH495" i="18" s="1"/>
  <c r="AC494" i="18"/>
  <c r="AB494" i="18"/>
  <c r="AI494" i="18" s="1"/>
  <c r="AA494" i="18"/>
  <c r="Z494" i="18"/>
  <c r="Y494" i="18"/>
  <c r="X494" i="18"/>
  <c r="AE494" i="18" s="1"/>
  <c r="W494" i="18"/>
  <c r="AH494" i="18" s="1"/>
  <c r="AC493" i="18"/>
  <c r="AB493" i="18"/>
  <c r="AI493" i="18" s="1"/>
  <c r="AA493" i="18"/>
  <c r="Z493" i="18"/>
  <c r="Y493" i="18"/>
  <c r="X493" i="18"/>
  <c r="AE493" i="18" s="1"/>
  <c r="W493" i="18"/>
  <c r="AH493" i="18" s="1"/>
  <c r="AC492" i="18"/>
  <c r="AB492" i="18"/>
  <c r="AI492" i="18" s="1"/>
  <c r="AA492" i="18"/>
  <c r="Z492" i="18"/>
  <c r="Y492" i="18"/>
  <c r="X492" i="18"/>
  <c r="AE492" i="18" s="1"/>
  <c r="W492" i="18"/>
  <c r="AH492" i="18" s="1"/>
  <c r="AC491" i="18"/>
  <c r="AB491" i="18"/>
  <c r="AI491" i="18" s="1"/>
  <c r="AA491" i="18"/>
  <c r="Z491" i="18"/>
  <c r="Y491" i="18"/>
  <c r="X491" i="18"/>
  <c r="AE491" i="18" s="1"/>
  <c r="W491" i="18"/>
  <c r="AH491" i="18" s="1"/>
  <c r="AC490" i="18"/>
  <c r="AB490" i="18"/>
  <c r="AI490" i="18" s="1"/>
  <c r="AA490" i="18"/>
  <c r="Z490" i="18"/>
  <c r="Y490" i="18"/>
  <c r="X490" i="18"/>
  <c r="AE490" i="18" s="1"/>
  <c r="W490" i="18"/>
  <c r="AH490" i="18" s="1"/>
  <c r="AC489" i="18"/>
  <c r="AB489" i="18"/>
  <c r="AI489" i="18" s="1"/>
  <c r="AA489" i="18"/>
  <c r="Z489" i="18"/>
  <c r="Y489" i="18"/>
  <c r="X489" i="18"/>
  <c r="AE489" i="18" s="1"/>
  <c r="W489" i="18"/>
  <c r="AH489" i="18" s="1"/>
  <c r="AC488" i="18"/>
  <c r="AB488" i="18"/>
  <c r="AI488" i="18" s="1"/>
  <c r="AA488" i="18"/>
  <c r="Z488" i="18"/>
  <c r="Y488" i="18"/>
  <c r="X488" i="18"/>
  <c r="AE488" i="18" s="1"/>
  <c r="W488" i="18"/>
  <c r="AH488" i="18" s="1"/>
  <c r="AC487" i="18"/>
  <c r="AB487" i="18"/>
  <c r="AI487" i="18" s="1"/>
  <c r="AA487" i="18"/>
  <c r="Z487" i="18"/>
  <c r="Y487" i="18"/>
  <c r="X487" i="18"/>
  <c r="AD487" i="18" s="1"/>
  <c r="W487" i="18"/>
  <c r="AH487" i="18" s="1"/>
  <c r="AC486" i="18"/>
  <c r="AB486" i="18"/>
  <c r="AI486" i="18" s="1"/>
  <c r="AA486" i="18"/>
  <c r="Z486" i="18"/>
  <c r="Y486" i="18"/>
  <c r="X486" i="18"/>
  <c r="AE486" i="18" s="1"/>
  <c r="W486" i="18"/>
  <c r="AH486" i="18" s="1"/>
  <c r="AC485" i="18"/>
  <c r="AB485" i="18"/>
  <c r="AI485" i="18" s="1"/>
  <c r="AA485" i="18"/>
  <c r="Z485" i="18"/>
  <c r="Y485" i="18"/>
  <c r="X485" i="18"/>
  <c r="AD485" i="18" s="1"/>
  <c r="W485" i="18"/>
  <c r="AH485" i="18" s="1"/>
  <c r="AC484" i="18"/>
  <c r="AB484" i="18"/>
  <c r="AI484" i="18" s="1"/>
  <c r="AA484" i="18"/>
  <c r="Z484" i="18"/>
  <c r="Y484" i="18"/>
  <c r="X484" i="18"/>
  <c r="AE484" i="18" s="1"/>
  <c r="W484" i="18"/>
  <c r="AH484" i="18" s="1"/>
  <c r="AC483" i="18"/>
  <c r="AB483" i="18"/>
  <c r="AI483" i="18" s="1"/>
  <c r="AA483" i="18"/>
  <c r="Z483" i="18"/>
  <c r="Y483" i="18"/>
  <c r="X483" i="18"/>
  <c r="AE483" i="18" s="1"/>
  <c r="W483" i="18"/>
  <c r="AH483" i="18" s="1"/>
  <c r="AC482" i="18"/>
  <c r="AB482" i="18"/>
  <c r="AI482" i="18" s="1"/>
  <c r="AA482" i="18"/>
  <c r="Z482" i="18"/>
  <c r="Y482" i="18"/>
  <c r="X482" i="18"/>
  <c r="AE482" i="18" s="1"/>
  <c r="W482" i="18"/>
  <c r="AH482" i="18" s="1"/>
  <c r="AC481" i="18"/>
  <c r="AB481" i="18"/>
  <c r="AI481" i="18" s="1"/>
  <c r="AA481" i="18"/>
  <c r="Z481" i="18"/>
  <c r="Y481" i="18"/>
  <c r="X481" i="18"/>
  <c r="AE481" i="18" s="1"/>
  <c r="W481" i="18"/>
  <c r="AH481" i="18" s="1"/>
  <c r="AC480" i="18"/>
  <c r="AB480" i="18"/>
  <c r="AI480" i="18" s="1"/>
  <c r="AA480" i="18"/>
  <c r="Z480" i="18"/>
  <c r="Y480" i="18"/>
  <c r="X480" i="18"/>
  <c r="AD480" i="18" s="1"/>
  <c r="W480" i="18"/>
  <c r="AH480" i="18" s="1"/>
  <c r="AC479" i="18"/>
  <c r="AB479" i="18"/>
  <c r="AI479" i="18" s="1"/>
  <c r="AA479" i="18"/>
  <c r="Z479" i="18"/>
  <c r="Y479" i="18"/>
  <c r="X479" i="18"/>
  <c r="AE479" i="18" s="1"/>
  <c r="W479" i="18"/>
  <c r="AH479" i="18" s="1"/>
  <c r="AC478" i="18"/>
  <c r="AB478" i="18"/>
  <c r="AI478" i="18" s="1"/>
  <c r="AA478" i="18"/>
  <c r="Z478" i="18"/>
  <c r="Y478" i="18"/>
  <c r="X478" i="18"/>
  <c r="AE478" i="18" s="1"/>
  <c r="W478" i="18"/>
  <c r="AH478" i="18" s="1"/>
  <c r="AC477" i="18"/>
  <c r="AB477" i="18"/>
  <c r="AI477" i="18" s="1"/>
  <c r="AA477" i="18"/>
  <c r="Z477" i="18"/>
  <c r="Y477" i="18"/>
  <c r="X477" i="18"/>
  <c r="AD477" i="18" s="1"/>
  <c r="W477" i="18"/>
  <c r="AH477" i="18" s="1"/>
  <c r="AC476" i="18"/>
  <c r="AB476" i="18"/>
  <c r="AI476" i="18" s="1"/>
  <c r="AA476" i="18"/>
  <c r="Z476" i="18"/>
  <c r="Y476" i="18"/>
  <c r="X476" i="18"/>
  <c r="AE476" i="18" s="1"/>
  <c r="W476" i="18"/>
  <c r="AH476" i="18" s="1"/>
  <c r="AC475" i="18"/>
  <c r="AB475" i="18"/>
  <c r="AI475" i="18" s="1"/>
  <c r="AA475" i="18"/>
  <c r="Z475" i="18"/>
  <c r="Y475" i="18"/>
  <c r="X475" i="18"/>
  <c r="AD475" i="18" s="1"/>
  <c r="W475" i="18"/>
  <c r="AH475" i="18" s="1"/>
  <c r="AC474" i="18"/>
  <c r="AB474" i="18"/>
  <c r="AI474" i="18" s="1"/>
  <c r="AA474" i="18"/>
  <c r="Z474" i="18"/>
  <c r="Y474" i="18"/>
  <c r="X474" i="18"/>
  <c r="AE474" i="18" s="1"/>
  <c r="W474" i="18"/>
  <c r="AH474" i="18" s="1"/>
  <c r="AC473" i="18"/>
  <c r="AB473" i="18"/>
  <c r="AI473" i="18" s="1"/>
  <c r="AA473" i="18"/>
  <c r="Z473" i="18"/>
  <c r="Y473" i="18"/>
  <c r="X473" i="18"/>
  <c r="AE473" i="18" s="1"/>
  <c r="W473" i="18"/>
  <c r="AH473" i="18" s="1"/>
  <c r="AC472" i="18"/>
  <c r="AB472" i="18"/>
  <c r="AI472" i="18" s="1"/>
  <c r="AA472" i="18"/>
  <c r="Z472" i="18"/>
  <c r="Y472" i="18"/>
  <c r="X472" i="18"/>
  <c r="AE472" i="18" s="1"/>
  <c r="W472" i="18"/>
  <c r="AH472" i="18" s="1"/>
  <c r="AC471" i="18"/>
  <c r="AB471" i="18"/>
  <c r="AI471" i="18" s="1"/>
  <c r="AA471" i="18"/>
  <c r="Z471" i="18"/>
  <c r="Y471" i="18"/>
  <c r="X471" i="18"/>
  <c r="AE471" i="18" s="1"/>
  <c r="W471" i="18"/>
  <c r="AH471" i="18" s="1"/>
  <c r="AC470" i="18"/>
  <c r="AB470" i="18"/>
  <c r="AI470" i="18" s="1"/>
  <c r="AA470" i="18"/>
  <c r="Z470" i="18"/>
  <c r="Y470" i="18"/>
  <c r="X470" i="18"/>
  <c r="AE470" i="18" s="1"/>
  <c r="W470" i="18"/>
  <c r="AH470" i="18" s="1"/>
  <c r="AC469" i="18"/>
  <c r="AB469" i="18"/>
  <c r="AI469" i="18" s="1"/>
  <c r="AA469" i="18"/>
  <c r="Z469" i="18"/>
  <c r="Y469" i="18"/>
  <c r="X469" i="18"/>
  <c r="AE469" i="18" s="1"/>
  <c r="W469" i="18"/>
  <c r="AH469" i="18" s="1"/>
  <c r="AC468" i="18"/>
  <c r="AB468" i="18"/>
  <c r="AI468" i="18" s="1"/>
  <c r="AA468" i="18"/>
  <c r="Z468" i="18"/>
  <c r="Y468" i="18"/>
  <c r="X468" i="18"/>
  <c r="AE468" i="18" s="1"/>
  <c r="W468" i="18"/>
  <c r="AH468" i="18" s="1"/>
  <c r="AC467" i="18"/>
  <c r="AB467" i="18"/>
  <c r="AI467" i="18" s="1"/>
  <c r="AA467" i="18"/>
  <c r="Z467" i="18"/>
  <c r="Y467" i="18"/>
  <c r="X467" i="18"/>
  <c r="AE467" i="18" s="1"/>
  <c r="W467" i="18"/>
  <c r="AH467" i="18" s="1"/>
  <c r="AC466" i="18"/>
  <c r="AB466" i="18"/>
  <c r="AI466" i="18" s="1"/>
  <c r="AA466" i="18"/>
  <c r="Z466" i="18"/>
  <c r="Y466" i="18"/>
  <c r="X466" i="18"/>
  <c r="AE466" i="18" s="1"/>
  <c r="W466" i="18"/>
  <c r="AH466" i="18" s="1"/>
  <c r="AC465" i="18"/>
  <c r="AB465" i="18"/>
  <c r="AI465" i="18" s="1"/>
  <c r="AA465" i="18"/>
  <c r="Z465" i="18"/>
  <c r="Y465" i="18"/>
  <c r="X465" i="18"/>
  <c r="AD465" i="18" s="1"/>
  <c r="W465" i="18"/>
  <c r="AH465" i="18" s="1"/>
  <c r="AC464" i="18"/>
  <c r="AB464" i="18"/>
  <c r="AI464" i="18" s="1"/>
  <c r="AA464" i="18"/>
  <c r="Z464" i="18"/>
  <c r="Y464" i="18"/>
  <c r="X464" i="18"/>
  <c r="AE464" i="18" s="1"/>
  <c r="W464" i="18"/>
  <c r="AH464" i="18" s="1"/>
  <c r="AC463" i="18"/>
  <c r="AB463" i="18"/>
  <c r="AI463" i="18" s="1"/>
  <c r="AA463" i="18"/>
  <c r="Z463" i="18"/>
  <c r="Y463" i="18"/>
  <c r="X463" i="18"/>
  <c r="AD463" i="18" s="1"/>
  <c r="W463" i="18"/>
  <c r="AH463" i="18" s="1"/>
  <c r="AH462" i="18"/>
  <c r="AC462" i="18"/>
  <c r="AB462" i="18"/>
  <c r="AI462" i="18" s="1"/>
  <c r="AA462" i="18"/>
  <c r="Z462" i="18"/>
  <c r="Y462" i="18"/>
  <c r="X462" i="18"/>
  <c r="AE462" i="18" s="1"/>
  <c r="W462" i="18"/>
  <c r="AC461" i="18"/>
  <c r="AB461" i="18"/>
  <c r="AI461" i="18" s="1"/>
  <c r="AA461" i="18"/>
  <c r="Z461" i="18"/>
  <c r="Y461" i="18"/>
  <c r="X461" i="18"/>
  <c r="AE461" i="18" s="1"/>
  <c r="W461" i="18"/>
  <c r="AH461" i="18" s="1"/>
  <c r="AC460" i="18"/>
  <c r="AB460" i="18"/>
  <c r="AI460" i="18" s="1"/>
  <c r="AA460" i="18"/>
  <c r="Z460" i="18"/>
  <c r="Y460" i="18"/>
  <c r="X460" i="18"/>
  <c r="AE460" i="18" s="1"/>
  <c r="W460" i="18"/>
  <c r="AH460" i="18" s="1"/>
  <c r="AC459" i="18"/>
  <c r="AB459" i="18"/>
  <c r="AI459" i="18" s="1"/>
  <c r="AA459" i="18"/>
  <c r="Z459" i="18"/>
  <c r="Y459" i="18"/>
  <c r="X459" i="18"/>
  <c r="AE459" i="18" s="1"/>
  <c r="W459" i="18"/>
  <c r="AH459" i="18" s="1"/>
  <c r="AC458" i="18"/>
  <c r="AB458" i="18"/>
  <c r="AI458" i="18" s="1"/>
  <c r="AA458" i="18"/>
  <c r="Z458" i="18"/>
  <c r="Y458" i="18"/>
  <c r="X458" i="18"/>
  <c r="AE458" i="18" s="1"/>
  <c r="W458" i="18"/>
  <c r="AH458" i="18" s="1"/>
  <c r="AC457" i="18"/>
  <c r="AB457" i="18"/>
  <c r="AI457" i="18" s="1"/>
  <c r="AA457" i="18"/>
  <c r="Z457" i="18"/>
  <c r="Y457" i="18"/>
  <c r="X457" i="18"/>
  <c r="AE457" i="18" s="1"/>
  <c r="W457" i="18"/>
  <c r="AH457" i="18" s="1"/>
  <c r="AC456" i="18"/>
  <c r="AB456" i="18"/>
  <c r="AI456" i="18" s="1"/>
  <c r="AA456" i="18"/>
  <c r="Z456" i="18"/>
  <c r="Y456" i="18"/>
  <c r="X456" i="18"/>
  <c r="AE456" i="18" s="1"/>
  <c r="W456" i="18"/>
  <c r="AH456" i="18" s="1"/>
  <c r="AC455" i="18"/>
  <c r="AB455" i="18"/>
  <c r="AI455" i="18" s="1"/>
  <c r="AA455" i="18"/>
  <c r="Z455" i="18"/>
  <c r="Y455" i="18"/>
  <c r="X455" i="18"/>
  <c r="AE455" i="18" s="1"/>
  <c r="W455" i="18"/>
  <c r="AH455" i="18" s="1"/>
  <c r="AC454" i="18"/>
  <c r="AB454" i="18"/>
  <c r="AI454" i="18" s="1"/>
  <c r="AA454" i="18"/>
  <c r="Z454" i="18"/>
  <c r="Y454" i="18"/>
  <c r="X454" i="18"/>
  <c r="AE454" i="18" s="1"/>
  <c r="W454" i="18"/>
  <c r="AH454" i="18" s="1"/>
  <c r="AC453" i="18"/>
  <c r="AB453" i="18"/>
  <c r="AI453" i="18" s="1"/>
  <c r="AA453" i="18"/>
  <c r="Z453" i="18"/>
  <c r="Y453" i="18"/>
  <c r="X453" i="18"/>
  <c r="AE453" i="18" s="1"/>
  <c r="W453" i="18"/>
  <c r="AH453" i="18" s="1"/>
  <c r="AC452" i="18"/>
  <c r="AB452" i="18"/>
  <c r="AI452" i="18" s="1"/>
  <c r="AA452" i="18"/>
  <c r="Z452" i="18"/>
  <c r="Y452" i="18"/>
  <c r="X452" i="18"/>
  <c r="AE452" i="18" s="1"/>
  <c r="W452" i="18"/>
  <c r="AH452" i="18" s="1"/>
  <c r="AC451" i="18"/>
  <c r="AB451" i="18"/>
  <c r="AI451" i="18" s="1"/>
  <c r="AA451" i="18"/>
  <c r="Z451" i="18"/>
  <c r="Y451" i="18"/>
  <c r="X451" i="18"/>
  <c r="AD451" i="18" s="1"/>
  <c r="W451" i="18"/>
  <c r="AH451" i="18" s="1"/>
  <c r="AC450" i="18"/>
  <c r="AB450" i="18"/>
  <c r="AI450" i="18" s="1"/>
  <c r="AA450" i="18"/>
  <c r="Z450" i="18"/>
  <c r="Y450" i="18"/>
  <c r="X450" i="18"/>
  <c r="AE450" i="18" s="1"/>
  <c r="W450" i="18"/>
  <c r="AH450" i="18" s="1"/>
  <c r="AC449" i="18"/>
  <c r="AB449" i="18"/>
  <c r="AI449" i="18" s="1"/>
  <c r="AA449" i="18"/>
  <c r="Z449" i="18"/>
  <c r="Y449" i="18"/>
  <c r="X449" i="18"/>
  <c r="AE449" i="18" s="1"/>
  <c r="W449" i="18"/>
  <c r="AH449" i="18" s="1"/>
  <c r="AC448" i="18"/>
  <c r="AB448" i="18"/>
  <c r="AI448" i="18" s="1"/>
  <c r="AA448" i="18"/>
  <c r="Z448" i="18"/>
  <c r="Y448" i="18"/>
  <c r="X448" i="18"/>
  <c r="AE448" i="18" s="1"/>
  <c r="W448" i="18"/>
  <c r="AH448" i="18" s="1"/>
  <c r="AC447" i="18"/>
  <c r="AB447" i="18"/>
  <c r="AI447" i="18" s="1"/>
  <c r="AA447" i="18"/>
  <c r="Z447" i="18"/>
  <c r="Y447" i="18"/>
  <c r="X447" i="18"/>
  <c r="AE447" i="18" s="1"/>
  <c r="W447" i="18"/>
  <c r="AH447" i="18" s="1"/>
  <c r="AC446" i="18"/>
  <c r="AB446" i="18"/>
  <c r="AI446" i="18" s="1"/>
  <c r="AA446" i="18"/>
  <c r="Z446" i="18"/>
  <c r="Y446" i="18"/>
  <c r="X446" i="18"/>
  <c r="AE446" i="18" s="1"/>
  <c r="W446" i="18"/>
  <c r="AH446" i="18" s="1"/>
  <c r="AC445" i="18"/>
  <c r="AB445" i="18"/>
  <c r="AI445" i="18" s="1"/>
  <c r="AA445" i="18"/>
  <c r="Z445" i="18"/>
  <c r="Y445" i="18"/>
  <c r="X445" i="18"/>
  <c r="AE445" i="18" s="1"/>
  <c r="W445" i="18"/>
  <c r="AH445" i="18" s="1"/>
  <c r="AC444" i="18"/>
  <c r="AB444" i="18"/>
  <c r="AI444" i="18" s="1"/>
  <c r="AA444" i="18"/>
  <c r="Z444" i="18"/>
  <c r="Y444" i="18"/>
  <c r="X444" i="18"/>
  <c r="AE444" i="18" s="1"/>
  <c r="W444" i="18"/>
  <c r="AH444" i="18" s="1"/>
  <c r="AC443" i="18"/>
  <c r="AB443" i="18"/>
  <c r="AI443" i="18" s="1"/>
  <c r="AA443" i="18"/>
  <c r="Z443" i="18"/>
  <c r="Y443" i="18"/>
  <c r="X443" i="18"/>
  <c r="AE443" i="18" s="1"/>
  <c r="W443" i="18"/>
  <c r="AH443" i="18" s="1"/>
  <c r="AC442" i="18"/>
  <c r="AB442" i="18"/>
  <c r="AI442" i="18" s="1"/>
  <c r="AA442" i="18"/>
  <c r="Z442" i="18"/>
  <c r="Y442" i="18"/>
  <c r="X442" i="18"/>
  <c r="AE442" i="18" s="1"/>
  <c r="W442" i="18"/>
  <c r="AH442" i="18" s="1"/>
  <c r="AC441" i="18"/>
  <c r="AB441" i="18"/>
  <c r="AI441" i="18" s="1"/>
  <c r="AA441" i="18"/>
  <c r="Z441" i="18"/>
  <c r="Y441" i="18"/>
  <c r="X441" i="18"/>
  <c r="AD441" i="18" s="1"/>
  <c r="W441" i="18"/>
  <c r="AH441" i="18" s="1"/>
  <c r="AC440" i="18"/>
  <c r="AB440" i="18"/>
  <c r="AI440" i="18" s="1"/>
  <c r="AA440" i="18"/>
  <c r="Z440" i="18"/>
  <c r="Y440" i="18"/>
  <c r="X440" i="18"/>
  <c r="AE440" i="18" s="1"/>
  <c r="W440" i="18"/>
  <c r="AH440" i="18" s="1"/>
  <c r="AC439" i="18"/>
  <c r="AB439" i="18"/>
  <c r="AI439" i="18" s="1"/>
  <c r="AA439" i="18"/>
  <c r="Z439" i="18"/>
  <c r="Y439" i="18"/>
  <c r="X439" i="18"/>
  <c r="AD439" i="18" s="1"/>
  <c r="W439" i="18"/>
  <c r="AH439" i="18" s="1"/>
  <c r="AC438" i="18"/>
  <c r="AB438" i="18"/>
  <c r="AI438" i="18" s="1"/>
  <c r="AA438" i="18"/>
  <c r="Z438" i="18"/>
  <c r="Y438" i="18"/>
  <c r="X438" i="18"/>
  <c r="AE438" i="18" s="1"/>
  <c r="W438" i="18"/>
  <c r="AH438" i="18" s="1"/>
  <c r="AC437" i="18"/>
  <c r="AB437" i="18"/>
  <c r="AI437" i="18" s="1"/>
  <c r="AA437" i="18"/>
  <c r="Z437" i="18"/>
  <c r="Y437" i="18"/>
  <c r="X437" i="18"/>
  <c r="AE437" i="18" s="1"/>
  <c r="W437" i="18"/>
  <c r="AH437" i="18" s="1"/>
  <c r="AC436" i="18"/>
  <c r="AB436" i="18"/>
  <c r="AI436" i="18" s="1"/>
  <c r="AA436" i="18"/>
  <c r="Z436" i="18"/>
  <c r="Y436" i="18"/>
  <c r="X436" i="18"/>
  <c r="AE436" i="18" s="1"/>
  <c r="W436" i="18"/>
  <c r="AH436" i="18" s="1"/>
  <c r="AC435" i="18"/>
  <c r="AB435" i="18"/>
  <c r="AI435" i="18" s="1"/>
  <c r="AA435" i="18"/>
  <c r="Z435" i="18"/>
  <c r="Y435" i="18"/>
  <c r="X435" i="18"/>
  <c r="AE435" i="18" s="1"/>
  <c r="W435" i="18"/>
  <c r="AH435" i="18" s="1"/>
  <c r="AC434" i="18"/>
  <c r="AB434" i="18"/>
  <c r="AI434" i="18" s="1"/>
  <c r="AA434" i="18"/>
  <c r="Z434" i="18"/>
  <c r="Y434" i="18"/>
  <c r="X434" i="18"/>
  <c r="AE434" i="18" s="1"/>
  <c r="W434" i="18"/>
  <c r="AH434" i="18" s="1"/>
  <c r="AC433" i="18"/>
  <c r="AB433" i="18"/>
  <c r="AI433" i="18" s="1"/>
  <c r="AA433" i="18"/>
  <c r="Z433" i="18"/>
  <c r="Y433" i="18"/>
  <c r="X433" i="18"/>
  <c r="AE433" i="18" s="1"/>
  <c r="W433" i="18"/>
  <c r="AH433" i="18" s="1"/>
  <c r="AC432" i="18"/>
  <c r="AB432" i="18"/>
  <c r="AI432" i="18" s="1"/>
  <c r="AA432" i="18"/>
  <c r="Z432" i="18"/>
  <c r="Y432" i="18"/>
  <c r="X432" i="18"/>
  <c r="AE432" i="18" s="1"/>
  <c r="W432" i="18"/>
  <c r="AH432" i="18" s="1"/>
  <c r="AC431" i="18"/>
  <c r="AB431" i="18"/>
  <c r="AI431" i="18" s="1"/>
  <c r="AA431" i="18"/>
  <c r="Z431" i="18"/>
  <c r="Y431" i="18"/>
  <c r="X431" i="18"/>
  <c r="AE431" i="18" s="1"/>
  <c r="W431" i="18"/>
  <c r="AH431" i="18" s="1"/>
  <c r="AC430" i="18"/>
  <c r="AB430" i="18"/>
  <c r="AI430" i="18" s="1"/>
  <c r="AA430" i="18"/>
  <c r="Z430" i="18"/>
  <c r="Y430" i="18"/>
  <c r="X430" i="18"/>
  <c r="AE430" i="18" s="1"/>
  <c r="W430" i="18"/>
  <c r="AH430" i="18" s="1"/>
  <c r="AC429" i="18"/>
  <c r="AB429" i="18"/>
  <c r="AI429" i="18" s="1"/>
  <c r="AA429" i="18"/>
  <c r="Z429" i="18"/>
  <c r="Y429" i="18"/>
  <c r="X429" i="18"/>
  <c r="AD429" i="18" s="1"/>
  <c r="W429" i="18"/>
  <c r="AH429" i="18" s="1"/>
  <c r="AC428" i="18"/>
  <c r="AB428" i="18"/>
  <c r="AI428" i="18" s="1"/>
  <c r="AA428" i="18"/>
  <c r="Z428" i="18"/>
  <c r="Y428" i="18"/>
  <c r="X428" i="18"/>
  <c r="AE428" i="18" s="1"/>
  <c r="W428" i="18"/>
  <c r="AH428" i="18" s="1"/>
  <c r="AC427" i="18"/>
  <c r="AB427" i="18"/>
  <c r="AI427" i="18" s="1"/>
  <c r="AA427" i="18"/>
  <c r="Z427" i="18"/>
  <c r="Y427" i="18"/>
  <c r="X427" i="18"/>
  <c r="AD427" i="18" s="1"/>
  <c r="W427" i="18"/>
  <c r="AH427" i="18" s="1"/>
  <c r="AC426" i="18"/>
  <c r="AB426" i="18"/>
  <c r="AI426" i="18" s="1"/>
  <c r="AA426" i="18"/>
  <c r="Z426" i="18"/>
  <c r="Y426" i="18"/>
  <c r="X426" i="18"/>
  <c r="AE426" i="18" s="1"/>
  <c r="W426" i="18"/>
  <c r="AH426" i="18" s="1"/>
  <c r="AC425" i="18"/>
  <c r="AB425" i="18"/>
  <c r="AI425" i="18" s="1"/>
  <c r="AA425" i="18"/>
  <c r="Z425" i="18"/>
  <c r="Y425" i="18"/>
  <c r="X425" i="18"/>
  <c r="AE425" i="18" s="1"/>
  <c r="W425" i="18"/>
  <c r="AH425" i="18" s="1"/>
  <c r="AC424" i="18"/>
  <c r="AB424" i="18"/>
  <c r="AI424" i="18" s="1"/>
  <c r="AA424" i="18"/>
  <c r="Z424" i="18"/>
  <c r="Y424" i="18"/>
  <c r="X424" i="18"/>
  <c r="AE424" i="18" s="1"/>
  <c r="W424" i="18"/>
  <c r="AH424" i="18" s="1"/>
  <c r="AC423" i="18"/>
  <c r="AB423" i="18"/>
  <c r="AI423" i="18" s="1"/>
  <c r="AA423" i="18"/>
  <c r="Z423" i="18"/>
  <c r="Y423" i="18"/>
  <c r="X423" i="18"/>
  <c r="AE423" i="18" s="1"/>
  <c r="W423" i="18"/>
  <c r="AH423" i="18" s="1"/>
  <c r="AC422" i="18"/>
  <c r="AB422" i="18"/>
  <c r="AI422" i="18" s="1"/>
  <c r="AA422" i="18"/>
  <c r="Z422" i="18"/>
  <c r="Y422" i="18"/>
  <c r="X422" i="18"/>
  <c r="AE422" i="18" s="1"/>
  <c r="W422" i="18"/>
  <c r="AH422" i="18" s="1"/>
  <c r="AC421" i="18"/>
  <c r="AB421" i="18"/>
  <c r="AI421" i="18" s="1"/>
  <c r="AA421" i="18"/>
  <c r="Z421" i="18"/>
  <c r="Y421" i="18"/>
  <c r="X421" i="18"/>
  <c r="AE421" i="18" s="1"/>
  <c r="W421" i="18"/>
  <c r="AH421" i="18" s="1"/>
  <c r="AC420" i="18"/>
  <c r="AB420" i="18"/>
  <c r="AI420" i="18" s="1"/>
  <c r="AA420" i="18"/>
  <c r="Z420" i="18"/>
  <c r="Y420" i="18"/>
  <c r="X420" i="18"/>
  <c r="AE420" i="18" s="1"/>
  <c r="W420" i="18"/>
  <c r="AH420" i="18" s="1"/>
  <c r="AC419" i="18"/>
  <c r="AB419" i="18"/>
  <c r="AI419" i="18" s="1"/>
  <c r="AA419" i="18"/>
  <c r="Z419" i="18"/>
  <c r="Y419" i="18"/>
  <c r="X419" i="18"/>
  <c r="AE419" i="18" s="1"/>
  <c r="W419" i="18"/>
  <c r="AH419" i="18" s="1"/>
  <c r="AC418" i="18"/>
  <c r="AB418" i="18"/>
  <c r="AI418" i="18" s="1"/>
  <c r="AA418" i="18"/>
  <c r="Z418" i="18"/>
  <c r="Y418" i="18"/>
  <c r="X418" i="18"/>
  <c r="AE418" i="18" s="1"/>
  <c r="W418" i="18"/>
  <c r="AH418" i="18" s="1"/>
  <c r="AC417" i="18"/>
  <c r="AB417" i="18"/>
  <c r="AI417" i="18" s="1"/>
  <c r="AA417" i="18"/>
  <c r="Z417" i="18"/>
  <c r="Y417" i="18"/>
  <c r="X417" i="18"/>
  <c r="AD417" i="18" s="1"/>
  <c r="W417" i="18"/>
  <c r="AH417" i="18" s="1"/>
  <c r="AC416" i="18"/>
  <c r="AB416" i="18"/>
  <c r="AI416" i="18" s="1"/>
  <c r="AA416" i="18"/>
  <c r="Z416" i="18"/>
  <c r="Y416" i="18"/>
  <c r="X416" i="18"/>
  <c r="AE416" i="18" s="1"/>
  <c r="W416" i="18"/>
  <c r="AH416" i="18" s="1"/>
  <c r="AC415" i="18"/>
  <c r="AB415" i="18"/>
  <c r="AI415" i="18" s="1"/>
  <c r="AA415" i="18"/>
  <c r="Z415" i="18"/>
  <c r="Y415" i="18"/>
  <c r="X415" i="18"/>
  <c r="AD415" i="18" s="1"/>
  <c r="W415" i="18"/>
  <c r="AH415" i="18" s="1"/>
  <c r="AC414" i="18"/>
  <c r="AB414" i="18"/>
  <c r="AI414" i="18" s="1"/>
  <c r="AA414" i="18"/>
  <c r="Z414" i="18"/>
  <c r="Y414" i="18"/>
  <c r="X414" i="18"/>
  <c r="AE414" i="18" s="1"/>
  <c r="W414" i="18"/>
  <c r="AH414" i="18" s="1"/>
  <c r="AC413" i="18"/>
  <c r="AB413" i="18"/>
  <c r="AI413" i="18" s="1"/>
  <c r="AA413" i="18"/>
  <c r="Z413" i="18"/>
  <c r="Y413" i="18"/>
  <c r="X413" i="18"/>
  <c r="AE413" i="18" s="1"/>
  <c r="W413" i="18"/>
  <c r="AH413" i="18" s="1"/>
  <c r="AC412" i="18"/>
  <c r="AB412" i="18"/>
  <c r="AI412" i="18" s="1"/>
  <c r="AA412" i="18"/>
  <c r="Z412" i="18"/>
  <c r="Y412" i="18"/>
  <c r="X412" i="18"/>
  <c r="AE412" i="18" s="1"/>
  <c r="W412" i="18"/>
  <c r="AH412" i="18" s="1"/>
  <c r="AC411" i="18"/>
  <c r="AB411" i="18"/>
  <c r="AI411" i="18" s="1"/>
  <c r="AA411" i="18"/>
  <c r="Z411" i="18"/>
  <c r="Y411" i="18"/>
  <c r="X411" i="18"/>
  <c r="AE411" i="18" s="1"/>
  <c r="W411" i="18"/>
  <c r="AH411" i="18" s="1"/>
  <c r="AC410" i="18"/>
  <c r="AB410" i="18"/>
  <c r="AI410" i="18" s="1"/>
  <c r="AA410" i="18"/>
  <c r="Z410" i="18"/>
  <c r="Y410" i="18"/>
  <c r="X410" i="18"/>
  <c r="AE410" i="18" s="1"/>
  <c r="W410" i="18"/>
  <c r="AH410" i="18" s="1"/>
  <c r="AC409" i="18"/>
  <c r="AB409" i="18"/>
  <c r="AI409" i="18" s="1"/>
  <c r="AA409" i="18"/>
  <c r="Z409" i="18"/>
  <c r="Y409" i="18"/>
  <c r="X409" i="18"/>
  <c r="AE409" i="18" s="1"/>
  <c r="W409" i="18"/>
  <c r="AH409" i="18" s="1"/>
  <c r="AC408" i="18"/>
  <c r="AB408" i="18"/>
  <c r="AI408" i="18" s="1"/>
  <c r="AA408" i="18"/>
  <c r="Z408" i="18"/>
  <c r="Y408" i="18"/>
  <c r="X408" i="18"/>
  <c r="AE408" i="18" s="1"/>
  <c r="W408" i="18"/>
  <c r="AH408" i="18" s="1"/>
  <c r="AC407" i="18"/>
  <c r="AB407" i="18"/>
  <c r="AI407" i="18" s="1"/>
  <c r="AA407" i="18"/>
  <c r="Z407" i="18"/>
  <c r="Y407" i="18"/>
  <c r="X407" i="18"/>
  <c r="AE407" i="18" s="1"/>
  <c r="W407" i="18"/>
  <c r="AH407" i="18" s="1"/>
  <c r="AC406" i="18"/>
  <c r="AB406" i="18"/>
  <c r="AI406" i="18" s="1"/>
  <c r="AA406" i="18"/>
  <c r="Z406" i="18"/>
  <c r="Y406" i="18"/>
  <c r="X406" i="18"/>
  <c r="AE406" i="18" s="1"/>
  <c r="W406" i="18"/>
  <c r="AH406" i="18" s="1"/>
  <c r="AC405" i="18"/>
  <c r="AB405" i="18"/>
  <c r="AI405" i="18" s="1"/>
  <c r="AA405" i="18"/>
  <c r="Z405" i="18"/>
  <c r="Y405" i="18"/>
  <c r="X405" i="18"/>
  <c r="AD405" i="18" s="1"/>
  <c r="W405" i="18"/>
  <c r="AH405" i="18" s="1"/>
  <c r="AC404" i="18"/>
  <c r="AB404" i="18"/>
  <c r="AI404" i="18" s="1"/>
  <c r="AA404" i="18"/>
  <c r="Z404" i="18"/>
  <c r="Y404" i="18"/>
  <c r="X404" i="18"/>
  <c r="AE404" i="18" s="1"/>
  <c r="W404" i="18"/>
  <c r="AH404" i="18" s="1"/>
  <c r="AC403" i="18"/>
  <c r="AB403" i="18"/>
  <c r="AI403" i="18" s="1"/>
  <c r="AA403" i="18"/>
  <c r="Z403" i="18"/>
  <c r="Y403" i="18"/>
  <c r="X403" i="18"/>
  <c r="AD403" i="18" s="1"/>
  <c r="W403" i="18"/>
  <c r="AH403" i="18" s="1"/>
  <c r="AC402" i="18"/>
  <c r="AB402" i="18"/>
  <c r="AI402" i="18" s="1"/>
  <c r="AA402" i="18"/>
  <c r="Z402" i="18"/>
  <c r="Y402" i="18"/>
  <c r="X402" i="18"/>
  <c r="AE402" i="18" s="1"/>
  <c r="W402" i="18"/>
  <c r="AH402" i="18" s="1"/>
  <c r="AC401" i="18"/>
  <c r="AB401" i="18"/>
  <c r="AI401" i="18" s="1"/>
  <c r="AA401" i="18"/>
  <c r="Z401" i="18"/>
  <c r="Y401" i="18"/>
  <c r="X401" i="18"/>
  <c r="AE401" i="18" s="1"/>
  <c r="W401" i="18"/>
  <c r="AH401" i="18" s="1"/>
  <c r="AC400" i="18"/>
  <c r="AB400" i="18"/>
  <c r="AI400" i="18" s="1"/>
  <c r="AA400" i="18"/>
  <c r="Z400" i="18"/>
  <c r="Y400" i="18"/>
  <c r="X400" i="18"/>
  <c r="AE400" i="18" s="1"/>
  <c r="W400" i="18"/>
  <c r="AH400" i="18" s="1"/>
  <c r="AC399" i="18"/>
  <c r="AB399" i="18"/>
  <c r="AI399" i="18" s="1"/>
  <c r="AA399" i="18"/>
  <c r="Z399" i="18"/>
  <c r="Y399" i="18"/>
  <c r="X399" i="18"/>
  <c r="AE399" i="18" s="1"/>
  <c r="W399" i="18"/>
  <c r="AH399" i="18" s="1"/>
  <c r="AC398" i="18"/>
  <c r="AB398" i="18"/>
  <c r="AI398" i="18" s="1"/>
  <c r="AA398" i="18"/>
  <c r="Z398" i="18"/>
  <c r="Y398" i="18"/>
  <c r="X398" i="18"/>
  <c r="AE398" i="18" s="1"/>
  <c r="W398" i="18"/>
  <c r="AH398" i="18" s="1"/>
  <c r="AC397" i="18"/>
  <c r="AB397" i="18"/>
  <c r="AI397" i="18" s="1"/>
  <c r="AA397" i="18"/>
  <c r="Z397" i="18"/>
  <c r="Y397" i="18"/>
  <c r="X397" i="18"/>
  <c r="AE397" i="18" s="1"/>
  <c r="W397" i="18"/>
  <c r="AH397" i="18" s="1"/>
  <c r="AC396" i="18"/>
  <c r="AB396" i="18"/>
  <c r="AI396" i="18" s="1"/>
  <c r="AA396" i="18"/>
  <c r="Z396" i="18"/>
  <c r="Y396" i="18"/>
  <c r="X396" i="18"/>
  <c r="AE396" i="18" s="1"/>
  <c r="W396" i="18"/>
  <c r="AH396" i="18" s="1"/>
  <c r="AC395" i="18"/>
  <c r="AB395" i="18"/>
  <c r="AI395" i="18" s="1"/>
  <c r="AA395" i="18"/>
  <c r="Z395" i="18"/>
  <c r="Y395" i="18"/>
  <c r="X395" i="18"/>
  <c r="AE395" i="18" s="1"/>
  <c r="W395" i="18"/>
  <c r="AH395" i="18" s="1"/>
  <c r="AC394" i="18"/>
  <c r="AB394" i="18"/>
  <c r="AI394" i="18" s="1"/>
  <c r="AA394" i="18"/>
  <c r="Z394" i="18"/>
  <c r="Y394" i="18"/>
  <c r="X394" i="18"/>
  <c r="AE394" i="18" s="1"/>
  <c r="W394" i="18"/>
  <c r="AH394" i="18" s="1"/>
  <c r="AC393" i="18"/>
  <c r="AB393" i="18"/>
  <c r="AI393" i="18" s="1"/>
  <c r="AA393" i="18"/>
  <c r="Z393" i="18"/>
  <c r="Y393" i="18"/>
  <c r="X393" i="18"/>
  <c r="AE393" i="18" s="1"/>
  <c r="W393" i="18"/>
  <c r="AH393" i="18" s="1"/>
  <c r="AC392" i="18"/>
  <c r="AB392" i="18"/>
  <c r="AI392" i="18" s="1"/>
  <c r="AA392" i="18"/>
  <c r="Z392" i="18"/>
  <c r="Y392" i="18"/>
  <c r="X392" i="18"/>
  <c r="AE392" i="18" s="1"/>
  <c r="W392" i="18"/>
  <c r="AH392" i="18" s="1"/>
  <c r="AC391" i="18"/>
  <c r="AB391" i="18"/>
  <c r="AI391" i="18" s="1"/>
  <c r="AA391" i="18"/>
  <c r="Z391" i="18"/>
  <c r="Y391" i="18"/>
  <c r="X391" i="18"/>
  <c r="AD391" i="18" s="1"/>
  <c r="W391" i="18"/>
  <c r="AH391" i="18" s="1"/>
  <c r="AC390" i="18"/>
  <c r="AB390" i="18"/>
  <c r="AI390" i="18" s="1"/>
  <c r="AA390" i="18"/>
  <c r="Z390" i="18"/>
  <c r="Y390" i="18"/>
  <c r="X390" i="18"/>
  <c r="AE390" i="18" s="1"/>
  <c r="W390" i="18"/>
  <c r="AH390" i="18" s="1"/>
  <c r="AC389" i="18"/>
  <c r="AB389" i="18"/>
  <c r="AI389" i="18" s="1"/>
  <c r="AA389" i="18"/>
  <c r="Z389" i="18"/>
  <c r="Y389" i="18"/>
  <c r="X389" i="18"/>
  <c r="AE389" i="18" s="1"/>
  <c r="W389" i="18"/>
  <c r="AH389" i="18" s="1"/>
  <c r="AC388" i="18"/>
  <c r="AB388" i="18"/>
  <c r="AI388" i="18" s="1"/>
  <c r="AA388" i="18"/>
  <c r="Z388" i="18"/>
  <c r="Y388" i="18"/>
  <c r="X388" i="18"/>
  <c r="AE388" i="18" s="1"/>
  <c r="W388" i="18"/>
  <c r="AH388" i="18" s="1"/>
  <c r="AC387" i="18"/>
  <c r="AB387" i="18"/>
  <c r="AI387" i="18" s="1"/>
  <c r="AA387" i="18"/>
  <c r="Z387" i="18"/>
  <c r="Y387" i="18"/>
  <c r="X387" i="18"/>
  <c r="AE387" i="18" s="1"/>
  <c r="W387" i="18"/>
  <c r="AH387" i="18" s="1"/>
  <c r="AC386" i="18"/>
  <c r="AB386" i="18"/>
  <c r="AI386" i="18" s="1"/>
  <c r="AA386" i="18"/>
  <c r="Z386" i="18"/>
  <c r="Y386" i="18"/>
  <c r="X386" i="18"/>
  <c r="AE386" i="18" s="1"/>
  <c r="W386" i="18"/>
  <c r="AH386" i="18" s="1"/>
  <c r="AC385" i="18"/>
  <c r="AB385" i="18"/>
  <c r="AI385" i="18" s="1"/>
  <c r="AA385" i="18"/>
  <c r="Z385" i="18"/>
  <c r="Y385" i="18"/>
  <c r="X385" i="18"/>
  <c r="AE385" i="18" s="1"/>
  <c r="W385" i="18"/>
  <c r="AH385" i="18" s="1"/>
  <c r="AC384" i="18"/>
  <c r="AB384" i="18"/>
  <c r="AI384" i="18" s="1"/>
  <c r="AA384" i="18"/>
  <c r="Z384" i="18"/>
  <c r="Y384" i="18"/>
  <c r="X384" i="18"/>
  <c r="AE384" i="18" s="1"/>
  <c r="W384" i="18"/>
  <c r="AH384" i="18" s="1"/>
  <c r="AC383" i="18"/>
  <c r="AB383" i="18"/>
  <c r="AI383" i="18" s="1"/>
  <c r="AA383" i="18"/>
  <c r="Z383" i="18"/>
  <c r="Y383" i="18"/>
  <c r="X383" i="18"/>
  <c r="AE383" i="18" s="1"/>
  <c r="W383" i="18"/>
  <c r="AH383" i="18" s="1"/>
  <c r="AC382" i="18"/>
  <c r="AB382" i="18"/>
  <c r="AI382" i="18" s="1"/>
  <c r="AA382" i="18"/>
  <c r="Z382" i="18"/>
  <c r="Y382" i="18"/>
  <c r="X382" i="18"/>
  <c r="AE382" i="18" s="1"/>
  <c r="W382" i="18"/>
  <c r="AH382" i="18" s="1"/>
  <c r="AC381" i="18"/>
  <c r="AB381" i="18"/>
  <c r="AI381" i="18" s="1"/>
  <c r="AA381" i="18"/>
  <c r="Z381" i="18"/>
  <c r="Y381" i="18"/>
  <c r="X381" i="18"/>
  <c r="AE381" i="18" s="1"/>
  <c r="W381" i="18"/>
  <c r="AH381" i="18" s="1"/>
  <c r="AC380" i="18"/>
  <c r="AB380" i="18"/>
  <c r="AI380" i="18" s="1"/>
  <c r="AA380" i="18"/>
  <c r="Z380" i="18"/>
  <c r="Y380" i="18"/>
  <c r="X380" i="18"/>
  <c r="AE380" i="18" s="1"/>
  <c r="W380" i="18"/>
  <c r="AH380" i="18" s="1"/>
  <c r="AC379" i="18"/>
  <c r="AB379" i="18"/>
  <c r="AI379" i="18" s="1"/>
  <c r="AA379" i="18"/>
  <c r="Z379" i="18"/>
  <c r="Y379" i="18"/>
  <c r="X379" i="18"/>
  <c r="AD379" i="18" s="1"/>
  <c r="W379" i="18"/>
  <c r="AH379" i="18" s="1"/>
  <c r="AC378" i="18"/>
  <c r="AB378" i="18"/>
  <c r="AI378" i="18" s="1"/>
  <c r="AA378" i="18"/>
  <c r="Z378" i="18"/>
  <c r="Y378" i="18"/>
  <c r="X378" i="18"/>
  <c r="AE378" i="18" s="1"/>
  <c r="W378" i="18"/>
  <c r="AH378" i="18" s="1"/>
  <c r="AC377" i="18"/>
  <c r="AB377" i="18"/>
  <c r="AI377" i="18" s="1"/>
  <c r="AA377" i="18"/>
  <c r="Z377" i="18"/>
  <c r="Y377" i="18"/>
  <c r="X377" i="18"/>
  <c r="AE377" i="18" s="1"/>
  <c r="W377" i="18"/>
  <c r="AH377" i="18" s="1"/>
  <c r="AC376" i="18"/>
  <c r="AB376" i="18"/>
  <c r="AI376" i="18" s="1"/>
  <c r="AA376" i="18"/>
  <c r="Z376" i="18"/>
  <c r="Y376" i="18"/>
  <c r="X376" i="18"/>
  <c r="AE376" i="18" s="1"/>
  <c r="W376" i="18"/>
  <c r="AH376" i="18" s="1"/>
  <c r="AC375" i="18"/>
  <c r="AB375" i="18"/>
  <c r="AI375" i="18" s="1"/>
  <c r="AA375" i="18"/>
  <c r="Z375" i="18"/>
  <c r="Y375" i="18"/>
  <c r="X375" i="18"/>
  <c r="AE375" i="18" s="1"/>
  <c r="W375" i="18"/>
  <c r="AH375" i="18" s="1"/>
  <c r="AC374" i="18"/>
  <c r="AB374" i="18"/>
  <c r="AI374" i="18" s="1"/>
  <c r="AA374" i="18"/>
  <c r="Z374" i="18"/>
  <c r="Y374" i="18"/>
  <c r="X374" i="18"/>
  <c r="AE374" i="18" s="1"/>
  <c r="W374" i="18"/>
  <c r="AH374" i="18" s="1"/>
  <c r="AC373" i="18"/>
  <c r="AB373" i="18"/>
  <c r="AI373" i="18" s="1"/>
  <c r="AA373" i="18"/>
  <c r="Z373" i="18"/>
  <c r="Y373" i="18"/>
  <c r="X373" i="18"/>
  <c r="AE373" i="18" s="1"/>
  <c r="W373" i="18"/>
  <c r="AH373" i="18" s="1"/>
  <c r="AC372" i="18"/>
  <c r="AB372" i="18"/>
  <c r="AI372" i="18" s="1"/>
  <c r="AA372" i="18"/>
  <c r="Z372" i="18"/>
  <c r="Y372" i="18"/>
  <c r="X372" i="18"/>
  <c r="AE372" i="18" s="1"/>
  <c r="W372" i="18"/>
  <c r="AH372" i="18" s="1"/>
  <c r="AC371" i="18"/>
  <c r="AB371" i="18"/>
  <c r="AI371" i="18" s="1"/>
  <c r="AA371" i="18"/>
  <c r="Z371" i="18"/>
  <c r="Y371" i="18"/>
  <c r="X371" i="18"/>
  <c r="AE371" i="18" s="1"/>
  <c r="W371" i="18"/>
  <c r="AH371" i="18" s="1"/>
  <c r="AC370" i="18"/>
  <c r="AB370" i="18"/>
  <c r="AI370" i="18" s="1"/>
  <c r="AA370" i="18"/>
  <c r="Z370" i="18"/>
  <c r="Y370" i="18"/>
  <c r="X370" i="18"/>
  <c r="AE370" i="18" s="1"/>
  <c r="W370" i="18"/>
  <c r="AH370" i="18" s="1"/>
  <c r="AC369" i="18"/>
  <c r="AB369" i="18"/>
  <c r="AI369" i="18" s="1"/>
  <c r="AA369" i="18"/>
  <c r="Z369" i="18"/>
  <c r="Y369" i="18"/>
  <c r="X369" i="18"/>
  <c r="AD369" i="18" s="1"/>
  <c r="W369" i="18"/>
  <c r="AH369" i="18" s="1"/>
  <c r="AC368" i="18"/>
  <c r="AB368" i="18"/>
  <c r="AI368" i="18" s="1"/>
  <c r="AA368" i="18"/>
  <c r="Z368" i="18"/>
  <c r="Y368" i="18"/>
  <c r="X368" i="18"/>
  <c r="AE368" i="18" s="1"/>
  <c r="W368" i="18"/>
  <c r="AH368" i="18" s="1"/>
  <c r="AC367" i="18"/>
  <c r="AB367" i="18"/>
  <c r="AI367" i="18" s="1"/>
  <c r="AA367" i="18"/>
  <c r="Z367" i="18"/>
  <c r="Y367" i="18"/>
  <c r="X367" i="18"/>
  <c r="AD367" i="18" s="1"/>
  <c r="W367" i="18"/>
  <c r="AH367" i="18" s="1"/>
  <c r="AC366" i="18"/>
  <c r="AB366" i="18"/>
  <c r="AI366" i="18" s="1"/>
  <c r="AA366" i="18"/>
  <c r="Z366" i="18"/>
  <c r="Y366" i="18"/>
  <c r="X366" i="18"/>
  <c r="AE366" i="18" s="1"/>
  <c r="W366" i="18"/>
  <c r="AH366" i="18" s="1"/>
  <c r="AC365" i="18"/>
  <c r="AB365" i="18"/>
  <c r="AI365" i="18" s="1"/>
  <c r="AA365" i="18"/>
  <c r="Z365" i="18"/>
  <c r="Y365" i="18"/>
  <c r="X365" i="18"/>
  <c r="AE365" i="18" s="1"/>
  <c r="W365" i="18"/>
  <c r="AH365" i="18" s="1"/>
  <c r="AC364" i="18"/>
  <c r="AB364" i="18"/>
  <c r="AI364" i="18" s="1"/>
  <c r="AA364" i="18"/>
  <c r="Z364" i="18"/>
  <c r="Y364" i="18"/>
  <c r="X364" i="18"/>
  <c r="AE364" i="18" s="1"/>
  <c r="W364" i="18"/>
  <c r="AH364" i="18" s="1"/>
  <c r="AC363" i="18"/>
  <c r="AB363" i="18"/>
  <c r="AI363" i="18" s="1"/>
  <c r="AA363" i="18"/>
  <c r="Z363" i="18"/>
  <c r="Y363" i="18"/>
  <c r="X363" i="18"/>
  <c r="AE363" i="18" s="1"/>
  <c r="W363" i="18"/>
  <c r="AH363" i="18" s="1"/>
  <c r="AC362" i="18"/>
  <c r="AB362" i="18"/>
  <c r="AI362" i="18" s="1"/>
  <c r="AA362" i="18"/>
  <c r="Z362" i="18"/>
  <c r="Y362" i="18"/>
  <c r="X362" i="18"/>
  <c r="AE362" i="18" s="1"/>
  <c r="W362" i="18"/>
  <c r="AH362" i="18" s="1"/>
  <c r="AC361" i="18"/>
  <c r="AB361" i="18"/>
  <c r="AI361" i="18" s="1"/>
  <c r="AA361" i="18"/>
  <c r="Z361" i="18"/>
  <c r="Y361" i="18"/>
  <c r="X361" i="18"/>
  <c r="AE361" i="18" s="1"/>
  <c r="W361" i="18"/>
  <c r="AH361" i="18" s="1"/>
  <c r="AC360" i="18"/>
  <c r="AB360" i="18"/>
  <c r="AI360" i="18" s="1"/>
  <c r="AA360" i="18"/>
  <c r="Z360" i="18"/>
  <c r="Y360" i="18"/>
  <c r="X360" i="18"/>
  <c r="AE360" i="18" s="1"/>
  <c r="W360" i="18"/>
  <c r="AH360" i="18" s="1"/>
  <c r="AC359" i="18"/>
  <c r="AB359" i="18"/>
  <c r="AI359" i="18" s="1"/>
  <c r="AA359" i="18"/>
  <c r="Z359" i="18"/>
  <c r="Y359" i="18"/>
  <c r="X359" i="18"/>
  <c r="AE359" i="18" s="1"/>
  <c r="W359" i="18"/>
  <c r="AH359" i="18" s="1"/>
  <c r="AC358" i="18"/>
  <c r="AB358" i="18"/>
  <c r="AI358" i="18" s="1"/>
  <c r="AA358" i="18"/>
  <c r="Z358" i="18"/>
  <c r="Y358" i="18"/>
  <c r="X358" i="18"/>
  <c r="AE358" i="18" s="1"/>
  <c r="W358" i="18"/>
  <c r="AH358" i="18" s="1"/>
  <c r="AC357" i="18"/>
  <c r="AB357" i="18"/>
  <c r="AI357" i="18" s="1"/>
  <c r="AA357" i="18"/>
  <c r="Z357" i="18"/>
  <c r="Y357" i="18"/>
  <c r="X357" i="18"/>
  <c r="AD357" i="18" s="1"/>
  <c r="W357" i="18"/>
  <c r="AH357" i="18" s="1"/>
  <c r="AC356" i="18"/>
  <c r="AB356" i="18"/>
  <c r="AI356" i="18" s="1"/>
  <c r="AA356" i="18"/>
  <c r="Z356" i="18"/>
  <c r="Y356" i="18"/>
  <c r="X356" i="18"/>
  <c r="AE356" i="18" s="1"/>
  <c r="W356" i="18"/>
  <c r="AH356" i="18" s="1"/>
  <c r="AC355" i="18"/>
  <c r="AB355" i="18"/>
  <c r="AI355" i="18" s="1"/>
  <c r="AA355" i="18"/>
  <c r="Z355" i="18"/>
  <c r="Y355" i="18"/>
  <c r="X355" i="18"/>
  <c r="AD355" i="18" s="1"/>
  <c r="W355" i="18"/>
  <c r="AH355" i="18" s="1"/>
  <c r="AC354" i="18"/>
  <c r="AB354" i="18"/>
  <c r="AI354" i="18" s="1"/>
  <c r="AA354" i="18"/>
  <c r="Z354" i="18"/>
  <c r="Y354" i="18"/>
  <c r="X354" i="18"/>
  <c r="AE354" i="18" s="1"/>
  <c r="W354" i="18"/>
  <c r="AH354" i="18" s="1"/>
  <c r="AC353" i="18"/>
  <c r="AB353" i="18"/>
  <c r="AI353" i="18" s="1"/>
  <c r="AA353" i="18"/>
  <c r="Z353" i="18"/>
  <c r="Y353" i="18"/>
  <c r="X353" i="18"/>
  <c r="AE353" i="18" s="1"/>
  <c r="W353" i="18"/>
  <c r="AH353" i="18" s="1"/>
  <c r="AC352" i="18"/>
  <c r="AB352" i="18"/>
  <c r="AI352" i="18" s="1"/>
  <c r="AA352" i="18"/>
  <c r="Z352" i="18"/>
  <c r="Y352" i="18"/>
  <c r="X352" i="18"/>
  <c r="AE352" i="18" s="1"/>
  <c r="W352" i="18"/>
  <c r="AH352" i="18" s="1"/>
  <c r="AC351" i="18"/>
  <c r="AB351" i="18"/>
  <c r="AI351" i="18" s="1"/>
  <c r="AA351" i="18"/>
  <c r="Z351" i="18"/>
  <c r="Y351" i="18"/>
  <c r="X351" i="18"/>
  <c r="AE351" i="18" s="1"/>
  <c r="W351" i="18"/>
  <c r="AH351" i="18" s="1"/>
  <c r="AC350" i="18"/>
  <c r="AB350" i="18"/>
  <c r="AI350" i="18" s="1"/>
  <c r="AA350" i="18"/>
  <c r="Z350" i="18"/>
  <c r="Y350" i="18"/>
  <c r="X350" i="18"/>
  <c r="AE350" i="18" s="1"/>
  <c r="W350" i="18"/>
  <c r="AH350" i="18" s="1"/>
  <c r="AC349" i="18"/>
  <c r="AB349" i="18"/>
  <c r="AI349" i="18" s="1"/>
  <c r="AA349" i="18"/>
  <c r="Z349" i="18"/>
  <c r="Y349" i="18"/>
  <c r="X349" i="18"/>
  <c r="AE349" i="18" s="1"/>
  <c r="W349" i="18"/>
  <c r="AH349" i="18" s="1"/>
  <c r="AC348" i="18"/>
  <c r="AB348" i="18"/>
  <c r="AI348" i="18" s="1"/>
  <c r="AA348" i="18"/>
  <c r="Z348" i="18"/>
  <c r="Y348" i="18"/>
  <c r="X348" i="18"/>
  <c r="AE348" i="18" s="1"/>
  <c r="W348" i="18"/>
  <c r="AH348" i="18" s="1"/>
  <c r="AC347" i="18"/>
  <c r="AB347" i="18"/>
  <c r="AI347" i="18" s="1"/>
  <c r="AA347" i="18"/>
  <c r="Z347" i="18"/>
  <c r="Y347" i="18"/>
  <c r="X347" i="18"/>
  <c r="AE347" i="18" s="1"/>
  <c r="W347" i="18"/>
  <c r="AH347" i="18" s="1"/>
  <c r="AC346" i="18"/>
  <c r="AB346" i="18"/>
  <c r="AI346" i="18" s="1"/>
  <c r="AA346" i="18"/>
  <c r="Z346" i="18"/>
  <c r="Y346" i="18"/>
  <c r="X346" i="18"/>
  <c r="AE346" i="18" s="1"/>
  <c r="W346" i="18"/>
  <c r="AH346" i="18" s="1"/>
  <c r="AC345" i="18"/>
  <c r="AB345" i="18"/>
  <c r="AI345" i="18" s="1"/>
  <c r="AA345" i="18"/>
  <c r="Z345" i="18"/>
  <c r="Y345" i="18"/>
  <c r="X345" i="18"/>
  <c r="AD345" i="18" s="1"/>
  <c r="W345" i="18"/>
  <c r="AH345" i="18" s="1"/>
  <c r="AC344" i="18"/>
  <c r="AB344" i="18"/>
  <c r="AI344" i="18" s="1"/>
  <c r="AA344" i="18"/>
  <c r="Z344" i="18"/>
  <c r="Y344" i="18"/>
  <c r="X344" i="18"/>
  <c r="AE344" i="18" s="1"/>
  <c r="W344" i="18"/>
  <c r="AH344" i="18" s="1"/>
  <c r="AC343" i="18"/>
  <c r="AB343" i="18"/>
  <c r="AI343" i="18" s="1"/>
  <c r="AA343" i="18"/>
  <c r="Z343" i="18"/>
  <c r="Y343" i="18"/>
  <c r="X343" i="18"/>
  <c r="AD343" i="18" s="1"/>
  <c r="W343" i="18"/>
  <c r="AH343" i="18" s="1"/>
  <c r="AC342" i="18"/>
  <c r="AB342" i="18"/>
  <c r="AI342" i="18" s="1"/>
  <c r="AA342" i="18"/>
  <c r="Z342" i="18"/>
  <c r="Y342" i="18"/>
  <c r="X342" i="18"/>
  <c r="AE342" i="18" s="1"/>
  <c r="W342" i="18"/>
  <c r="AH342" i="18" s="1"/>
  <c r="AC341" i="18"/>
  <c r="AB341" i="18"/>
  <c r="AI341" i="18" s="1"/>
  <c r="AA341" i="18"/>
  <c r="Z341" i="18"/>
  <c r="Y341" i="18"/>
  <c r="X341" i="18"/>
  <c r="AE341" i="18" s="1"/>
  <c r="W341" i="18"/>
  <c r="AH341" i="18" s="1"/>
  <c r="AC340" i="18"/>
  <c r="AB340" i="18"/>
  <c r="AI340" i="18" s="1"/>
  <c r="AA340" i="18"/>
  <c r="Z340" i="18"/>
  <c r="Y340" i="18"/>
  <c r="X340" i="18"/>
  <c r="AE340" i="18" s="1"/>
  <c r="W340" i="18"/>
  <c r="AH340" i="18" s="1"/>
  <c r="AC339" i="18"/>
  <c r="AB339" i="18"/>
  <c r="AI339" i="18" s="1"/>
  <c r="AA339" i="18"/>
  <c r="Z339" i="18"/>
  <c r="Y339" i="18"/>
  <c r="X339" i="18"/>
  <c r="AE339" i="18" s="1"/>
  <c r="W339" i="18"/>
  <c r="AH339" i="18" s="1"/>
  <c r="AC338" i="18"/>
  <c r="AB338" i="18"/>
  <c r="AI338" i="18" s="1"/>
  <c r="AA338" i="18"/>
  <c r="Z338" i="18"/>
  <c r="Y338" i="18"/>
  <c r="X338" i="18"/>
  <c r="AE338" i="18" s="1"/>
  <c r="W338" i="18"/>
  <c r="AH338" i="18" s="1"/>
  <c r="AC337" i="18"/>
  <c r="AB337" i="18"/>
  <c r="AI337" i="18" s="1"/>
  <c r="AA337" i="18"/>
  <c r="Z337" i="18"/>
  <c r="Y337" i="18"/>
  <c r="X337" i="18"/>
  <c r="AE337" i="18" s="1"/>
  <c r="W337" i="18"/>
  <c r="AH337" i="18" s="1"/>
  <c r="AC336" i="18"/>
  <c r="AB336" i="18"/>
  <c r="AI336" i="18" s="1"/>
  <c r="AA336" i="18"/>
  <c r="Z336" i="18"/>
  <c r="Y336" i="18"/>
  <c r="X336" i="18"/>
  <c r="AE336" i="18" s="1"/>
  <c r="W336" i="18"/>
  <c r="AH336" i="18" s="1"/>
  <c r="AC335" i="18"/>
  <c r="AB335" i="18"/>
  <c r="AI335" i="18" s="1"/>
  <c r="AA335" i="18"/>
  <c r="Z335" i="18"/>
  <c r="Y335" i="18"/>
  <c r="X335" i="18"/>
  <c r="AE335" i="18" s="1"/>
  <c r="W335" i="18"/>
  <c r="AH335" i="18" s="1"/>
  <c r="AC334" i="18"/>
  <c r="AB334" i="18"/>
  <c r="AI334" i="18" s="1"/>
  <c r="AA334" i="18"/>
  <c r="Z334" i="18"/>
  <c r="Y334" i="18"/>
  <c r="X334" i="18"/>
  <c r="AE334" i="18" s="1"/>
  <c r="W334" i="18"/>
  <c r="AH334" i="18" s="1"/>
  <c r="AC333" i="18"/>
  <c r="AB333" i="18"/>
  <c r="AI333" i="18" s="1"/>
  <c r="AA333" i="18"/>
  <c r="Z333" i="18"/>
  <c r="Y333" i="18"/>
  <c r="X333" i="18"/>
  <c r="AD333" i="18" s="1"/>
  <c r="W333" i="18"/>
  <c r="AH333" i="18" s="1"/>
  <c r="AC332" i="18"/>
  <c r="AB332" i="18"/>
  <c r="AI332" i="18" s="1"/>
  <c r="AA332" i="18"/>
  <c r="Z332" i="18"/>
  <c r="Y332" i="18"/>
  <c r="X332" i="18"/>
  <c r="AE332" i="18" s="1"/>
  <c r="W332" i="18"/>
  <c r="AH332" i="18" s="1"/>
  <c r="AC331" i="18"/>
  <c r="AB331" i="18"/>
  <c r="AI331" i="18" s="1"/>
  <c r="AA331" i="18"/>
  <c r="Z331" i="18"/>
  <c r="Y331" i="18"/>
  <c r="X331" i="18"/>
  <c r="AD331" i="18" s="1"/>
  <c r="W331" i="18"/>
  <c r="AH331" i="18" s="1"/>
  <c r="AC330" i="18"/>
  <c r="AB330" i="18"/>
  <c r="AI330" i="18" s="1"/>
  <c r="AA330" i="18"/>
  <c r="Z330" i="18"/>
  <c r="Y330" i="18"/>
  <c r="X330" i="18"/>
  <c r="AE330" i="18" s="1"/>
  <c r="W330" i="18"/>
  <c r="AH330" i="18" s="1"/>
  <c r="AC329" i="18"/>
  <c r="AB329" i="18"/>
  <c r="AI329" i="18" s="1"/>
  <c r="AA329" i="18"/>
  <c r="Z329" i="18"/>
  <c r="Y329" i="18"/>
  <c r="X329" i="18"/>
  <c r="AE329" i="18" s="1"/>
  <c r="W329" i="18"/>
  <c r="AH329" i="18" s="1"/>
  <c r="AC328" i="18"/>
  <c r="AB328" i="18"/>
  <c r="AI328" i="18" s="1"/>
  <c r="AA328" i="18"/>
  <c r="Z328" i="18"/>
  <c r="Y328" i="18"/>
  <c r="X328" i="18"/>
  <c r="AE328" i="18" s="1"/>
  <c r="W328" i="18"/>
  <c r="AH328" i="18" s="1"/>
  <c r="AC327" i="18"/>
  <c r="AB327" i="18"/>
  <c r="AI327" i="18" s="1"/>
  <c r="AA327" i="18"/>
  <c r="Z327" i="18"/>
  <c r="Y327" i="18"/>
  <c r="X327" i="18"/>
  <c r="AE327" i="18" s="1"/>
  <c r="W327" i="18"/>
  <c r="AH327" i="18" s="1"/>
  <c r="AC326" i="18"/>
  <c r="AB326" i="18"/>
  <c r="AI326" i="18" s="1"/>
  <c r="AA326" i="18"/>
  <c r="Z326" i="18"/>
  <c r="Y326" i="18"/>
  <c r="X326" i="18"/>
  <c r="AE326" i="18" s="1"/>
  <c r="W326" i="18"/>
  <c r="AH326" i="18" s="1"/>
  <c r="AC325" i="18"/>
  <c r="AB325" i="18"/>
  <c r="AI325" i="18" s="1"/>
  <c r="AA325" i="18"/>
  <c r="Z325" i="18"/>
  <c r="Y325" i="18"/>
  <c r="X325" i="18"/>
  <c r="AE325" i="18" s="1"/>
  <c r="W325" i="18"/>
  <c r="AH325" i="18" s="1"/>
  <c r="AC324" i="18"/>
  <c r="AB324" i="18"/>
  <c r="AI324" i="18" s="1"/>
  <c r="AA324" i="18"/>
  <c r="Z324" i="18"/>
  <c r="Y324" i="18"/>
  <c r="X324" i="18"/>
  <c r="AE324" i="18" s="1"/>
  <c r="W324" i="18"/>
  <c r="AH324" i="18" s="1"/>
  <c r="AC323" i="18"/>
  <c r="AB323" i="18"/>
  <c r="AI323" i="18" s="1"/>
  <c r="AA323" i="18"/>
  <c r="Z323" i="18"/>
  <c r="Y323" i="18"/>
  <c r="X323" i="18"/>
  <c r="AE323" i="18" s="1"/>
  <c r="W323" i="18"/>
  <c r="AH323" i="18" s="1"/>
  <c r="AC322" i="18"/>
  <c r="AB322" i="18"/>
  <c r="AI322" i="18" s="1"/>
  <c r="AA322" i="18"/>
  <c r="Z322" i="18"/>
  <c r="Y322" i="18"/>
  <c r="X322" i="18"/>
  <c r="AE322" i="18" s="1"/>
  <c r="W322" i="18"/>
  <c r="AH322" i="18" s="1"/>
  <c r="AC321" i="18"/>
  <c r="AB321" i="18"/>
  <c r="AI321" i="18" s="1"/>
  <c r="AA321" i="18"/>
  <c r="Z321" i="18"/>
  <c r="Y321" i="18"/>
  <c r="X321" i="18"/>
  <c r="AE321" i="18" s="1"/>
  <c r="W321" i="18"/>
  <c r="AH321" i="18" s="1"/>
  <c r="AC320" i="18"/>
  <c r="AB320" i="18"/>
  <c r="AI320" i="18" s="1"/>
  <c r="AA320" i="18"/>
  <c r="Z320" i="18"/>
  <c r="Y320" i="18"/>
  <c r="X320" i="18"/>
  <c r="AE320" i="18" s="1"/>
  <c r="W320" i="18"/>
  <c r="AH320" i="18" s="1"/>
  <c r="AC319" i="18"/>
  <c r="AB319" i="18"/>
  <c r="AI319" i="18" s="1"/>
  <c r="AA319" i="18"/>
  <c r="Z319" i="18"/>
  <c r="Y319" i="18"/>
  <c r="X319" i="18"/>
  <c r="AD319" i="18" s="1"/>
  <c r="W319" i="18"/>
  <c r="AH319" i="18" s="1"/>
  <c r="AH318" i="18"/>
  <c r="AC318" i="18"/>
  <c r="AB318" i="18"/>
  <c r="AI318" i="18" s="1"/>
  <c r="AA318" i="18"/>
  <c r="Z318" i="18"/>
  <c r="Y318" i="18"/>
  <c r="X318" i="18"/>
  <c r="AE318" i="18" s="1"/>
  <c r="W318" i="18"/>
  <c r="AC317" i="18"/>
  <c r="AB317" i="18"/>
  <c r="AI317" i="18" s="1"/>
  <c r="AA317" i="18"/>
  <c r="Z317" i="18"/>
  <c r="Y317" i="18"/>
  <c r="X317" i="18"/>
  <c r="AE317" i="18" s="1"/>
  <c r="W317" i="18"/>
  <c r="AH317" i="18" s="1"/>
  <c r="AC316" i="18"/>
  <c r="AB316" i="18"/>
  <c r="AI316" i="18" s="1"/>
  <c r="AA316" i="18"/>
  <c r="Z316" i="18"/>
  <c r="Y316" i="18"/>
  <c r="X316" i="18"/>
  <c r="AE316" i="18" s="1"/>
  <c r="W316" i="18"/>
  <c r="AH316" i="18" s="1"/>
  <c r="AC315" i="18"/>
  <c r="AB315" i="18"/>
  <c r="AI315" i="18" s="1"/>
  <c r="AA315" i="18"/>
  <c r="Z315" i="18"/>
  <c r="Y315" i="18"/>
  <c r="X315" i="18"/>
  <c r="AE315" i="18" s="1"/>
  <c r="W315" i="18"/>
  <c r="AH315" i="18" s="1"/>
  <c r="AC314" i="18"/>
  <c r="AB314" i="18"/>
  <c r="AI314" i="18" s="1"/>
  <c r="AA314" i="18"/>
  <c r="Z314" i="18"/>
  <c r="Y314" i="18"/>
  <c r="X314" i="18"/>
  <c r="AE314" i="18" s="1"/>
  <c r="W314" i="18"/>
  <c r="AH314" i="18" s="1"/>
  <c r="AC313" i="18"/>
  <c r="AB313" i="18"/>
  <c r="AI313" i="18" s="1"/>
  <c r="AA313" i="18"/>
  <c r="Z313" i="18"/>
  <c r="Y313" i="18"/>
  <c r="X313" i="18"/>
  <c r="AE313" i="18" s="1"/>
  <c r="W313" i="18"/>
  <c r="AH313" i="18" s="1"/>
  <c r="AC312" i="18"/>
  <c r="AB312" i="18"/>
  <c r="AI312" i="18" s="1"/>
  <c r="AA312" i="18"/>
  <c r="Z312" i="18"/>
  <c r="Y312" i="18"/>
  <c r="X312" i="18"/>
  <c r="AE312" i="18" s="1"/>
  <c r="W312" i="18"/>
  <c r="AH312" i="18" s="1"/>
  <c r="AC311" i="18"/>
  <c r="AB311" i="18"/>
  <c r="AI311" i="18" s="1"/>
  <c r="AA311" i="18"/>
  <c r="Z311" i="18"/>
  <c r="Y311" i="18"/>
  <c r="X311" i="18"/>
  <c r="AE311" i="18" s="1"/>
  <c r="W311" i="18"/>
  <c r="AH311" i="18" s="1"/>
  <c r="AC310" i="18"/>
  <c r="AB310" i="18"/>
  <c r="AI310" i="18" s="1"/>
  <c r="AA310" i="18"/>
  <c r="Z310" i="18"/>
  <c r="Y310" i="18"/>
  <c r="X310" i="18"/>
  <c r="AE310" i="18" s="1"/>
  <c r="W310" i="18"/>
  <c r="AH310" i="18" s="1"/>
  <c r="AC309" i="18"/>
  <c r="AB309" i="18"/>
  <c r="AI309" i="18" s="1"/>
  <c r="AA309" i="18"/>
  <c r="Z309" i="18"/>
  <c r="Y309" i="18"/>
  <c r="X309" i="18"/>
  <c r="AE309" i="18" s="1"/>
  <c r="W309" i="18"/>
  <c r="AH309" i="18" s="1"/>
  <c r="AC308" i="18"/>
  <c r="AB308" i="18"/>
  <c r="AI308" i="18" s="1"/>
  <c r="AA308" i="18"/>
  <c r="Z308" i="18"/>
  <c r="Y308" i="18"/>
  <c r="X308" i="18"/>
  <c r="AE308" i="18" s="1"/>
  <c r="W308" i="18"/>
  <c r="AH308" i="18" s="1"/>
  <c r="AC307" i="18"/>
  <c r="AB307" i="18"/>
  <c r="AI307" i="18" s="1"/>
  <c r="AA307" i="18"/>
  <c r="Z307" i="18"/>
  <c r="Y307" i="18"/>
  <c r="X307" i="18"/>
  <c r="AD307" i="18" s="1"/>
  <c r="W307" i="18"/>
  <c r="AH307" i="18" s="1"/>
  <c r="AH306" i="18"/>
  <c r="AC306" i="18"/>
  <c r="AB306" i="18"/>
  <c r="AI306" i="18" s="1"/>
  <c r="AA306" i="18"/>
  <c r="Z306" i="18"/>
  <c r="Y306" i="18"/>
  <c r="X306" i="18"/>
  <c r="AE306" i="18" s="1"/>
  <c r="W306" i="18"/>
  <c r="AC305" i="18"/>
  <c r="AB305" i="18"/>
  <c r="AI305" i="18" s="1"/>
  <c r="AA305" i="18"/>
  <c r="Z305" i="18"/>
  <c r="Y305" i="18"/>
  <c r="X305" i="18"/>
  <c r="AE305" i="18" s="1"/>
  <c r="W305" i="18"/>
  <c r="AH305" i="18" s="1"/>
  <c r="AC304" i="18"/>
  <c r="AB304" i="18"/>
  <c r="AI304" i="18" s="1"/>
  <c r="AA304" i="18"/>
  <c r="Z304" i="18"/>
  <c r="Y304" i="18"/>
  <c r="X304" i="18"/>
  <c r="AE304" i="18" s="1"/>
  <c r="W304" i="18"/>
  <c r="AH304" i="18" s="1"/>
  <c r="AC303" i="18"/>
  <c r="AB303" i="18"/>
  <c r="AI303" i="18" s="1"/>
  <c r="AA303" i="18"/>
  <c r="Z303" i="18"/>
  <c r="Y303" i="18"/>
  <c r="X303" i="18"/>
  <c r="AE303" i="18" s="1"/>
  <c r="W303" i="18"/>
  <c r="AC302" i="18"/>
  <c r="AB302" i="18"/>
  <c r="AI302" i="18" s="1"/>
  <c r="AA302" i="18"/>
  <c r="Z302" i="18"/>
  <c r="Y302" i="18"/>
  <c r="X302" i="18"/>
  <c r="AE302" i="18" s="1"/>
  <c r="W302" i="18"/>
  <c r="AH302" i="18" s="1"/>
  <c r="AC301" i="18"/>
  <c r="AB301" i="18"/>
  <c r="AI301" i="18" s="1"/>
  <c r="AA301" i="18"/>
  <c r="Z301" i="18"/>
  <c r="Y301" i="18"/>
  <c r="X301" i="18"/>
  <c r="AE301" i="18" s="1"/>
  <c r="W301" i="18"/>
  <c r="AH301" i="18" s="1"/>
  <c r="AC300" i="18"/>
  <c r="AB300" i="18"/>
  <c r="AI300" i="18" s="1"/>
  <c r="AA300" i="18"/>
  <c r="Z300" i="18"/>
  <c r="Y300" i="18"/>
  <c r="X300" i="18"/>
  <c r="AE300" i="18" s="1"/>
  <c r="W300" i="18"/>
  <c r="AH300" i="18" s="1"/>
  <c r="AC299" i="18"/>
  <c r="AB299" i="18"/>
  <c r="AI299" i="18" s="1"/>
  <c r="AA299" i="18"/>
  <c r="Z299" i="18"/>
  <c r="Y299" i="18"/>
  <c r="X299" i="18"/>
  <c r="AE299" i="18" s="1"/>
  <c r="W299" i="18"/>
  <c r="AH299" i="18" s="1"/>
  <c r="AC298" i="18"/>
  <c r="AB298" i="18"/>
  <c r="AI298" i="18" s="1"/>
  <c r="AA298" i="18"/>
  <c r="Z298" i="18"/>
  <c r="Y298" i="18"/>
  <c r="X298" i="18"/>
  <c r="AE298" i="18" s="1"/>
  <c r="W298" i="18"/>
  <c r="AH298" i="18" s="1"/>
  <c r="AC297" i="18"/>
  <c r="AB297" i="18"/>
  <c r="AI297" i="18" s="1"/>
  <c r="AA297" i="18"/>
  <c r="Z297" i="18"/>
  <c r="Y297" i="18"/>
  <c r="X297" i="18"/>
  <c r="AD297" i="18" s="1"/>
  <c r="W297" i="18"/>
  <c r="AH297" i="18" s="1"/>
  <c r="AC296" i="18"/>
  <c r="AB296" i="18"/>
  <c r="AI296" i="18" s="1"/>
  <c r="AA296" i="18"/>
  <c r="Z296" i="18"/>
  <c r="Y296" i="18"/>
  <c r="X296" i="18"/>
  <c r="AE296" i="18" s="1"/>
  <c r="W296" i="18"/>
  <c r="AH296" i="18" s="1"/>
  <c r="AC295" i="18"/>
  <c r="AB295" i="18"/>
  <c r="AI295" i="18" s="1"/>
  <c r="AA295" i="18"/>
  <c r="Z295" i="18"/>
  <c r="Y295" i="18"/>
  <c r="X295" i="18"/>
  <c r="AD295" i="18" s="1"/>
  <c r="W295" i="18"/>
  <c r="AH295" i="18" s="1"/>
  <c r="AC294" i="18"/>
  <c r="AB294" i="18"/>
  <c r="AI294" i="18" s="1"/>
  <c r="AA294" i="18"/>
  <c r="Z294" i="18"/>
  <c r="Y294" i="18"/>
  <c r="X294" i="18"/>
  <c r="AE294" i="18" s="1"/>
  <c r="W294" i="18"/>
  <c r="AH294" i="18" s="1"/>
  <c r="AC293" i="18"/>
  <c r="AB293" i="18"/>
  <c r="AI293" i="18" s="1"/>
  <c r="AA293" i="18"/>
  <c r="Z293" i="18"/>
  <c r="Y293" i="18"/>
  <c r="X293" i="18"/>
  <c r="AE293" i="18" s="1"/>
  <c r="W293" i="18"/>
  <c r="AH293" i="18" s="1"/>
  <c r="AC292" i="18"/>
  <c r="AB292" i="18"/>
  <c r="AI292" i="18" s="1"/>
  <c r="AA292" i="18"/>
  <c r="Z292" i="18"/>
  <c r="Y292" i="18"/>
  <c r="X292" i="18"/>
  <c r="AE292" i="18" s="1"/>
  <c r="W292" i="18"/>
  <c r="AH292" i="18" s="1"/>
  <c r="AH291" i="18"/>
  <c r="AC291" i="18"/>
  <c r="AB291" i="18"/>
  <c r="AI291" i="18" s="1"/>
  <c r="AA291" i="18"/>
  <c r="Z291" i="18"/>
  <c r="Y291" i="18"/>
  <c r="X291" i="18"/>
  <c r="AE291" i="18" s="1"/>
  <c r="W291" i="18"/>
  <c r="AC290" i="18"/>
  <c r="AB290" i="18"/>
  <c r="AI290" i="18" s="1"/>
  <c r="AA290" i="18"/>
  <c r="Z290" i="18"/>
  <c r="Y290" i="18"/>
  <c r="X290" i="18"/>
  <c r="AE290" i="18" s="1"/>
  <c r="W290" i="18"/>
  <c r="AH290" i="18" s="1"/>
  <c r="AC289" i="18"/>
  <c r="AB289" i="18"/>
  <c r="AI289" i="18" s="1"/>
  <c r="AA289" i="18"/>
  <c r="Z289" i="18"/>
  <c r="Y289" i="18"/>
  <c r="X289" i="18"/>
  <c r="AE289" i="18" s="1"/>
  <c r="W289" i="18"/>
  <c r="AH289" i="18" s="1"/>
  <c r="AC288" i="18"/>
  <c r="AB288" i="18"/>
  <c r="AI288" i="18" s="1"/>
  <c r="AA288" i="18"/>
  <c r="Z288" i="18"/>
  <c r="Y288" i="18"/>
  <c r="X288" i="18"/>
  <c r="AE288" i="18" s="1"/>
  <c r="W288" i="18"/>
  <c r="AH288" i="18" s="1"/>
  <c r="AC287" i="18"/>
  <c r="AB287" i="18"/>
  <c r="AI287" i="18" s="1"/>
  <c r="AA287" i="18"/>
  <c r="Z287" i="18"/>
  <c r="Y287" i="18"/>
  <c r="X287" i="18"/>
  <c r="AE287" i="18" s="1"/>
  <c r="W287" i="18"/>
  <c r="AH287" i="18" s="1"/>
  <c r="AC286" i="18"/>
  <c r="AB286" i="18"/>
  <c r="AI286" i="18" s="1"/>
  <c r="AA286" i="18"/>
  <c r="Z286" i="18"/>
  <c r="Y286" i="18"/>
  <c r="X286" i="18"/>
  <c r="AE286" i="18" s="1"/>
  <c r="W286" i="18"/>
  <c r="AH286" i="18" s="1"/>
  <c r="AC285" i="18"/>
  <c r="AB285" i="18"/>
  <c r="AI285" i="18" s="1"/>
  <c r="AA285" i="18"/>
  <c r="Z285" i="18"/>
  <c r="Y285" i="18"/>
  <c r="X285" i="18"/>
  <c r="AD285" i="18" s="1"/>
  <c r="W285" i="18"/>
  <c r="AH285" i="18" s="1"/>
  <c r="AC284" i="18"/>
  <c r="AB284" i="18"/>
  <c r="AI284" i="18" s="1"/>
  <c r="AA284" i="18"/>
  <c r="Z284" i="18"/>
  <c r="Y284" i="18"/>
  <c r="X284" i="18"/>
  <c r="AE284" i="18" s="1"/>
  <c r="W284" i="18"/>
  <c r="AC283" i="18"/>
  <c r="AB283" i="18"/>
  <c r="AI283" i="18" s="1"/>
  <c r="AA283" i="18"/>
  <c r="Z283" i="18"/>
  <c r="Y283" i="18"/>
  <c r="X283" i="18"/>
  <c r="AD283" i="18" s="1"/>
  <c r="W283" i="18"/>
  <c r="AH283" i="18" s="1"/>
  <c r="AC282" i="18"/>
  <c r="AB282" i="18"/>
  <c r="AI282" i="18" s="1"/>
  <c r="AA282" i="18"/>
  <c r="Z282" i="18"/>
  <c r="Y282" i="18"/>
  <c r="X282" i="18"/>
  <c r="AE282" i="18" s="1"/>
  <c r="W282" i="18"/>
  <c r="AH282" i="18" s="1"/>
  <c r="AC281" i="18"/>
  <c r="AB281" i="18"/>
  <c r="AI281" i="18" s="1"/>
  <c r="AA281" i="18"/>
  <c r="Z281" i="18"/>
  <c r="Y281" i="18"/>
  <c r="X281" i="18"/>
  <c r="AE281" i="18" s="1"/>
  <c r="W281" i="18"/>
  <c r="AH281" i="18" s="1"/>
  <c r="AC280" i="18"/>
  <c r="AB280" i="18"/>
  <c r="AI280" i="18" s="1"/>
  <c r="AA280" i="18"/>
  <c r="Z280" i="18"/>
  <c r="Y280" i="18"/>
  <c r="X280" i="18"/>
  <c r="AE280" i="18" s="1"/>
  <c r="W280" i="18"/>
  <c r="AH280" i="18" s="1"/>
  <c r="AC279" i="18"/>
  <c r="AB279" i="18"/>
  <c r="AI279" i="18" s="1"/>
  <c r="AA279" i="18"/>
  <c r="Z279" i="18"/>
  <c r="Y279" i="18"/>
  <c r="X279" i="18"/>
  <c r="AE279" i="18" s="1"/>
  <c r="W279" i="18"/>
  <c r="AC278" i="18"/>
  <c r="AB278" i="18"/>
  <c r="AI278" i="18" s="1"/>
  <c r="AA278" i="18"/>
  <c r="Z278" i="18"/>
  <c r="Y278" i="18"/>
  <c r="X278" i="18"/>
  <c r="AE278" i="18" s="1"/>
  <c r="W278" i="18"/>
  <c r="AH278" i="18" s="1"/>
  <c r="AC277" i="18"/>
  <c r="AB277" i="18"/>
  <c r="AI277" i="18" s="1"/>
  <c r="AA277" i="18"/>
  <c r="Z277" i="18"/>
  <c r="Y277" i="18"/>
  <c r="X277" i="18"/>
  <c r="AE277" i="18" s="1"/>
  <c r="W277" i="18"/>
  <c r="AH277" i="18" s="1"/>
  <c r="AC276" i="18"/>
  <c r="AB276" i="18"/>
  <c r="AI276" i="18" s="1"/>
  <c r="AA276" i="18"/>
  <c r="Z276" i="18"/>
  <c r="Y276" i="18"/>
  <c r="X276" i="18"/>
  <c r="AE276" i="18" s="1"/>
  <c r="W276" i="18"/>
  <c r="AH276" i="18" s="1"/>
  <c r="AC275" i="18"/>
  <c r="AB275" i="18"/>
  <c r="AI275" i="18" s="1"/>
  <c r="AA275" i="18"/>
  <c r="Z275" i="18"/>
  <c r="Y275" i="18"/>
  <c r="X275" i="18"/>
  <c r="AE275" i="18" s="1"/>
  <c r="W275" i="18"/>
  <c r="AH275" i="18" s="1"/>
  <c r="AC274" i="18"/>
  <c r="AB274" i="18"/>
  <c r="AI274" i="18" s="1"/>
  <c r="AA274" i="18"/>
  <c r="Z274" i="18"/>
  <c r="Y274" i="18"/>
  <c r="X274" i="18"/>
  <c r="AE274" i="18" s="1"/>
  <c r="W274" i="18"/>
  <c r="AH274" i="18" s="1"/>
  <c r="AC273" i="18"/>
  <c r="AB273" i="18"/>
  <c r="AI273" i="18" s="1"/>
  <c r="AA273" i="18"/>
  <c r="Z273" i="18"/>
  <c r="Y273" i="18"/>
  <c r="X273" i="18"/>
  <c r="AD273" i="18" s="1"/>
  <c r="W273" i="18"/>
  <c r="AH273" i="18" s="1"/>
  <c r="AC272" i="18"/>
  <c r="AB272" i="18"/>
  <c r="AI272" i="18" s="1"/>
  <c r="AA272" i="18"/>
  <c r="Z272" i="18"/>
  <c r="Y272" i="18"/>
  <c r="X272" i="18"/>
  <c r="AE272" i="18" s="1"/>
  <c r="W272" i="18"/>
  <c r="AH272" i="18" s="1"/>
  <c r="AC271" i="18"/>
  <c r="AB271" i="18"/>
  <c r="AI271" i="18" s="1"/>
  <c r="AA271" i="18"/>
  <c r="Z271" i="18"/>
  <c r="Y271" i="18"/>
  <c r="X271" i="18"/>
  <c r="AD271" i="18" s="1"/>
  <c r="W271" i="18"/>
  <c r="AH271" i="18" s="1"/>
  <c r="AC270" i="18"/>
  <c r="AB270" i="18"/>
  <c r="AI270" i="18" s="1"/>
  <c r="AA270" i="18"/>
  <c r="Z270" i="18"/>
  <c r="Y270" i="18"/>
  <c r="X270" i="18"/>
  <c r="AE270" i="18" s="1"/>
  <c r="W270" i="18"/>
  <c r="AH270" i="18" s="1"/>
  <c r="AC269" i="18"/>
  <c r="AB269" i="18"/>
  <c r="AI269" i="18" s="1"/>
  <c r="AA269" i="18"/>
  <c r="Z269" i="18"/>
  <c r="Y269" i="18"/>
  <c r="X269" i="18"/>
  <c r="AE269" i="18" s="1"/>
  <c r="W269" i="18"/>
  <c r="AH269" i="18" s="1"/>
  <c r="AC268" i="18"/>
  <c r="AB268" i="18"/>
  <c r="AI268" i="18" s="1"/>
  <c r="AA268" i="18"/>
  <c r="Z268" i="18"/>
  <c r="Y268" i="18"/>
  <c r="X268" i="18"/>
  <c r="AE268" i="18" s="1"/>
  <c r="W268" i="18"/>
  <c r="AH268" i="18" s="1"/>
  <c r="AC267" i="18"/>
  <c r="AB267" i="18"/>
  <c r="AI267" i="18" s="1"/>
  <c r="AA267" i="18"/>
  <c r="Z267" i="18"/>
  <c r="Y267" i="18"/>
  <c r="X267" i="18"/>
  <c r="AE267" i="18" s="1"/>
  <c r="W267" i="18"/>
  <c r="AH267" i="18" s="1"/>
  <c r="AC266" i="18"/>
  <c r="AB266" i="18"/>
  <c r="AI266" i="18" s="1"/>
  <c r="AA266" i="18"/>
  <c r="Z266" i="18"/>
  <c r="Y266" i="18"/>
  <c r="X266" i="18"/>
  <c r="AE266" i="18" s="1"/>
  <c r="W266" i="18"/>
  <c r="AH266" i="18" s="1"/>
  <c r="AC265" i="18"/>
  <c r="AB265" i="18"/>
  <c r="AI265" i="18" s="1"/>
  <c r="AA265" i="18"/>
  <c r="Z265" i="18"/>
  <c r="Y265" i="18"/>
  <c r="X265" i="18"/>
  <c r="AE265" i="18" s="1"/>
  <c r="W265" i="18"/>
  <c r="AH265" i="18" s="1"/>
  <c r="AC264" i="18"/>
  <c r="AB264" i="18"/>
  <c r="AI264" i="18" s="1"/>
  <c r="AA264" i="18"/>
  <c r="Z264" i="18"/>
  <c r="Y264" i="18"/>
  <c r="X264" i="18"/>
  <c r="AE264" i="18" s="1"/>
  <c r="W264" i="18"/>
  <c r="AH264" i="18" s="1"/>
  <c r="AC263" i="18"/>
  <c r="AB263" i="18"/>
  <c r="AI263" i="18" s="1"/>
  <c r="AA263" i="18"/>
  <c r="Z263" i="18"/>
  <c r="Y263" i="18"/>
  <c r="X263" i="18"/>
  <c r="AE263" i="18" s="1"/>
  <c r="W263" i="18"/>
  <c r="AH263" i="18" s="1"/>
  <c r="AC262" i="18"/>
  <c r="AB262" i="18"/>
  <c r="AI262" i="18" s="1"/>
  <c r="AA262" i="18"/>
  <c r="Z262" i="18"/>
  <c r="Y262" i="18"/>
  <c r="X262" i="18"/>
  <c r="AE262" i="18" s="1"/>
  <c r="W262" i="18"/>
  <c r="AH262" i="18" s="1"/>
  <c r="AC261" i="18"/>
  <c r="AB261" i="18"/>
  <c r="AI261" i="18" s="1"/>
  <c r="AA261" i="18"/>
  <c r="Z261" i="18"/>
  <c r="Y261" i="18"/>
  <c r="X261" i="18"/>
  <c r="AD261" i="18" s="1"/>
  <c r="W261" i="18"/>
  <c r="AH261" i="18" s="1"/>
  <c r="AC260" i="18"/>
  <c r="AB260" i="18"/>
  <c r="AI260" i="18" s="1"/>
  <c r="AA260" i="18"/>
  <c r="Z260" i="18"/>
  <c r="Y260" i="18"/>
  <c r="X260" i="18"/>
  <c r="AE260" i="18" s="1"/>
  <c r="W260" i="18"/>
  <c r="AH260" i="18" s="1"/>
  <c r="AC259" i="18"/>
  <c r="AB259" i="18"/>
  <c r="AI259" i="18" s="1"/>
  <c r="AA259" i="18"/>
  <c r="Z259" i="18"/>
  <c r="Y259" i="18"/>
  <c r="X259" i="18"/>
  <c r="AD259" i="18" s="1"/>
  <c r="W259" i="18"/>
  <c r="AH259" i="18" s="1"/>
  <c r="AC258" i="18"/>
  <c r="AB258" i="18"/>
  <c r="AI258" i="18" s="1"/>
  <c r="AA258" i="18"/>
  <c r="Z258" i="18"/>
  <c r="Y258" i="18"/>
  <c r="X258" i="18"/>
  <c r="AE258" i="18" s="1"/>
  <c r="W258" i="18"/>
  <c r="AH258" i="18" s="1"/>
  <c r="AC257" i="18"/>
  <c r="AB257" i="18"/>
  <c r="AI257" i="18" s="1"/>
  <c r="AA257" i="18"/>
  <c r="Z257" i="18"/>
  <c r="Y257" i="18"/>
  <c r="X257" i="18"/>
  <c r="AE257" i="18" s="1"/>
  <c r="W257" i="18"/>
  <c r="AH257" i="18" s="1"/>
  <c r="AC256" i="18"/>
  <c r="AB256" i="18"/>
  <c r="AI256" i="18" s="1"/>
  <c r="AA256" i="18"/>
  <c r="Z256" i="18"/>
  <c r="Y256" i="18"/>
  <c r="X256" i="18"/>
  <c r="AE256" i="18" s="1"/>
  <c r="W256" i="18"/>
  <c r="AH256" i="18" s="1"/>
  <c r="AC255" i="18"/>
  <c r="AB255" i="18"/>
  <c r="AI255" i="18" s="1"/>
  <c r="AA255" i="18"/>
  <c r="Z255" i="18"/>
  <c r="Y255" i="18"/>
  <c r="X255" i="18"/>
  <c r="AE255" i="18" s="1"/>
  <c r="W255" i="18"/>
  <c r="AH255" i="18" s="1"/>
  <c r="AC254" i="18"/>
  <c r="AB254" i="18"/>
  <c r="AI254" i="18" s="1"/>
  <c r="AA254" i="18"/>
  <c r="Z254" i="18"/>
  <c r="Y254" i="18"/>
  <c r="X254" i="18"/>
  <c r="AE254" i="18" s="1"/>
  <c r="W254" i="18"/>
  <c r="AH254" i="18" s="1"/>
  <c r="AC253" i="18"/>
  <c r="AB253" i="18"/>
  <c r="AI253" i="18" s="1"/>
  <c r="AA253" i="18"/>
  <c r="Z253" i="18"/>
  <c r="Y253" i="18"/>
  <c r="X253" i="18"/>
  <c r="AE253" i="18" s="1"/>
  <c r="W253" i="18"/>
  <c r="AH253" i="18" s="1"/>
  <c r="AC252" i="18"/>
  <c r="AB252" i="18"/>
  <c r="AI252" i="18" s="1"/>
  <c r="AA252" i="18"/>
  <c r="Z252" i="18"/>
  <c r="Y252" i="18"/>
  <c r="X252" i="18"/>
  <c r="AE252" i="18" s="1"/>
  <c r="W252" i="18"/>
  <c r="AH252" i="18" s="1"/>
  <c r="AC251" i="18"/>
  <c r="AB251" i="18"/>
  <c r="AI251" i="18" s="1"/>
  <c r="AA251" i="18"/>
  <c r="Z251" i="18"/>
  <c r="Y251" i="18"/>
  <c r="X251" i="18"/>
  <c r="AE251" i="18" s="1"/>
  <c r="W251" i="18"/>
  <c r="AH251" i="18" s="1"/>
  <c r="AC250" i="18"/>
  <c r="AB250" i="18"/>
  <c r="AI250" i="18" s="1"/>
  <c r="AA250" i="18"/>
  <c r="Z250" i="18"/>
  <c r="Y250" i="18"/>
  <c r="X250" i="18"/>
  <c r="AE250" i="18" s="1"/>
  <c r="W250" i="18"/>
  <c r="AH250" i="18" s="1"/>
  <c r="AC249" i="18"/>
  <c r="AB249" i="18"/>
  <c r="AI249" i="18" s="1"/>
  <c r="AA249" i="18"/>
  <c r="Z249" i="18"/>
  <c r="Y249" i="18"/>
  <c r="X249" i="18"/>
  <c r="AE249" i="18" s="1"/>
  <c r="W249" i="18"/>
  <c r="AH249" i="18" s="1"/>
  <c r="AC248" i="18"/>
  <c r="AB248" i="18"/>
  <c r="AI248" i="18" s="1"/>
  <c r="AA248" i="18"/>
  <c r="Z248" i="18"/>
  <c r="Y248" i="18"/>
  <c r="X248" i="18"/>
  <c r="AE248" i="18" s="1"/>
  <c r="W248" i="18"/>
  <c r="AH248" i="18" s="1"/>
  <c r="AH247" i="18"/>
  <c r="AC247" i="18"/>
  <c r="AB247" i="18"/>
  <c r="AI247" i="18" s="1"/>
  <c r="AA247" i="18"/>
  <c r="Z247" i="18"/>
  <c r="Y247" i="18"/>
  <c r="X247" i="18"/>
  <c r="AD247" i="18" s="1"/>
  <c r="W247" i="18"/>
  <c r="AC246" i="18"/>
  <c r="AB246" i="18"/>
  <c r="AI246" i="18" s="1"/>
  <c r="AA246" i="18"/>
  <c r="Z246" i="18"/>
  <c r="Y246" i="18"/>
  <c r="X246" i="18"/>
  <c r="AE246" i="18" s="1"/>
  <c r="W246" i="18"/>
  <c r="AH246" i="18" s="1"/>
  <c r="AC245" i="18"/>
  <c r="AB245" i="18"/>
  <c r="AI245" i="18" s="1"/>
  <c r="AA245" i="18"/>
  <c r="Z245" i="18"/>
  <c r="Y245" i="18"/>
  <c r="X245" i="18"/>
  <c r="AE245" i="18" s="1"/>
  <c r="W245" i="18"/>
  <c r="AH245" i="18" s="1"/>
  <c r="AC244" i="18"/>
  <c r="AB244" i="18"/>
  <c r="AI244" i="18" s="1"/>
  <c r="AA244" i="18"/>
  <c r="Z244" i="18"/>
  <c r="Y244" i="18"/>
  <c r="X244" i="18"/>
  <c r="AE244" i="18" s="1"/>
  <c r="W244" i="18"/>
  <c r="AH244" i="18" s="1"/>
  <c r="AC243" i="18"/>
  <c r="AB243" i="18"/>
  <c r="AI243" i="18" s="1"/>
  <c r="AA243" i="18"/>
  <c r="Z243" i="18"/>
  <c r="Y243" i="18"/>
  <c r="X243" i="18"/>
  <c r="AE243" i="18" s="1"/>
  <c r="W243" i="18"/>
  <c r="AH243" i="18" s="1"/>
  <c r="AC242" i="18"/>
  <c r="AB242" i="18"/>
  <c r="AI242" i="18" s="1"/>
  <c r="AA242" i="18"/>
  <c r="Z242" i="18"/>
  <c r="Y242" i="18"/>
  <c r="X242" i="18"/>
  <c r="AE242" i="18" s="1"/>
  <c r="W242" i="18"/>
  <c r="AH242" i="18" s="1"/>
  <c r="AC241" i="18"/>
  <c r="AB241" i="18"/>
  <c r="AI241" i="18" s="1"/>
  <c r="AA241" i="18"/>
  <c r="Z241" i="18"/>
  <c r="Y241" i="18"/>
  <c r="X241" i="18"/>
  <c r="AE241" i="18" s="1"/>
  <c r="W241" i="18"/>
  <c r="AH241" i="18" s="1"/>
  <c r="AC240" i="18"/>
  <c r="AB240" i="18"/>
  <c r="AI240" i="18" s="1"/>
  <c r="AA240" i="18"/>
  <c r="Z240" i="18"/>
  <c r="Y240" i="18"/>
  <c r="X240" i="18"/>
  <c r="AE240" i="18" s="1"/>
  <c r="W240" i="18"/>
  <c r="AH240" i="18" s="1"/>
  <c r="AC239" i="18"/>
  <c r="AB239" i="18"/>
  <c r="AI239" i="18" s="1"/>
  <c r="AA239" i="18"/>
  <c r="Z239" i="18"/>
  <c r="Y239" i="18"/>
  <c r="X239" i="18"/>
  <c r="AE239" i="18" s="1"/>
  <c r="W239" i="18"/>
  <c r="AH239" i="18" s="1"/>
  <c r="AC238" i="18"/>
  <c r="AB238" i="18"/>
  <c r="AI238" i="18" s="1"/>
  <c r="AA238" i="18"/>
  <c r="Z238" i="18"/>
  <c r="Y238" i="18"/>
  <c r="X238" i="18"/>
  <c r="AE238" i="18" s="1"/>
  <c r="W238" i="18"/>
  <c r="AH238" i="18" s="1"/>
  <c r="AC237" i="18"/>
  <c r="AB237" i="18"/>
  <c r="AI237" i="18" s="1"/>
  <c r="AA237" i="18"/>
  <c r="Z237" i="18"/>
  <c r="Y237" i="18"/>
  <c r="X237" i="18"/>
  <c r="AE237" i="18" s="1"/>
  <c r="W237" i="18"/>
  <c r="AH237" i="18" s="1"/>
  <c r="AC236" i="18"/>
  <c r="AB236" i="18"/>
  <c r="AI236" i="18" s="1"/>
  <c r="AA236" i="18"/>
  <c r="Z236" i="18"/>
  <c r="Y236" i="18"/>
  <c r="X236" i="18"/>
  <c r="AE236" i="18" s="1"/>
  <c r="W236" i="18"/>
  <c r="AH236" i="18" s="1"/>
  <c r="AC235" i="18"/>
  <c r="AB235" i="18"/>
  <c r="AI235" i="18" s="1"/>
  <c r="AA235" i="18"/>
  <c r="Z235" i="18"/>
  <c r="Y235" i="18"/>
  <c r="X235" i="18"/>
  <c r="AD235" i="18" s="1"/>
  <c r="W235" i="18"/>
  <c r="AH235" i="18" s="1"/>
  <c r="AC234" i="18"/>
  <c r="AB234" i="18"/>
  <c r="AI234" i="18" s="1"/>
  <c r="AA234" i="18"/>
  <c r="Z234" i="18"/>
  <c r="Y234" i="18"/>
  <c r="X234" i="18"/>
  <c r="AE234" i="18" s="1"/>
  <c r="W234" i="18"/>
  <c r="AH234" i="18" s="1"/>
  <c r="AC233" i="18"/>
  <c r="AB233" i="18"/>
  <c r="AI233" i="18" s="1"/>
  <c r="AA233" i="18"/>
  <c r="Z233" i="18"/>
  <c r="Y233" i="18"/>
  <c r="X233" i="18"/>
  <c r="AE233" i="18" s="1"/>
  <c r="W233" i="18"/>
  <c r="AH233" i="18" s="1"/>
  <c r="AC232" i="18"/>
  <c r="AB232" i="18"/>
  <c r="AI232" i="18" s="1"/>
  <c r="AA232" i="18"/>
  <c r="Z232" i="18"/>
  <c r="Y232" i="18"/>
  <c r="X232" i="18"/>
  <c r="AE232" i="18" s="1"/>
  <c r="W232" i="18"/>
  <c r="AH232" i="18" s="1"/>
  <c r="AC231" i="18"/>
  <c r="AB231" i="18"/>
  <c r="AI231" i="18" s="1"/>
  <c r="AA231" i="18"/>
  <c r="Z231" i="18"/>
  <c r="Y231" i="18"/>
  <c r="X231" i="18"/>
  <c r="AE231" i="18" s="1"/>
  <c r="W231" i="18"/>
  <c r="AH231" i="18" s="1"/>
  <c r="AC230" i="18"/>
  <c r="AB230" i="18"/>
  <c r="AI230" i="18" s="1"/>
  <c r="AA230" i="18"/>
  <c r="Z230" i="18"/>
  <c r="Y230" i="18"/>
  <c r="X230" i="18"/>
  <c r="AE230" i="18" s="1"/>
  <c r="W230" i="18"/>
  <c r="AH230" i="18" s="1"/>
  <c r="AC229" i="18"/>
  <c r="AB229" i="18"/>
  <c r="AI229" i="18" s="1"/>
  <c r="AA229" i="18"/>
  <c r="Z229" i="18"/>
  <c r="Y229" i="18"/>
  <c r="X229" i="18"/>
  <c r="AE229" i="18" s="1"/>
  <c r="W229" i="18"/>
  <c r="AH229" i="18" s="1"/>
  <c r="AC228" i="18"/>
  <c r="AB228" i="18"/>
  <c r="AI228" i="18" s="1"/>
  <c r="AA228" i="18"/>
  <c r="Z228" i="18"/>
  <c r="Y228" i="18"/>
  <c r="X228" i="18"/>
  <c r="AE228" i="18" s="1"/>
  <c r="W228" i="18"/>
  <c r="AH228" i="18" s="1"/>
  <c r="AC227" i="18"/>
  <c r="AB227" i="18"/>
  <c r="AI227" i="18" s="1"/>
  <c r="AA227" i="18"/>
  <c r="Z227" i="18"/>
  <c r="Y227" i="18"/>
  <c r="X227" i="18"/>
  <c r="AE227" i="18" s="1"/>
  <c r="W227" i="18"/>
  <c r="AH227" i="18" s="1"/>
  <c r="AC226" i="18"/>
  <c r="AB226" i="18"/>
  <c r="AI226" i="18" s="1"/>
  <c r="AA226" i="18"/>
  <c r="Z226" i="18"/>
  <c r="Y226" i="18"/>
  <c r="X226" i="18"/>
  <c r="AE226" i="18" s="1"/>
  <c r="W226" i="18"/>
  <c r="AH226" i="18" s="1"/>
  <c r="AC225" i="18"/>
  <c r="AB225" i="18"/>
  <c r="AI225" i="18" s="1"/>
  <c r="AA225" i="18"/>
  <c r="Z225" i="18"/>
  <c r="Y225" i="18"/>
  <c r="X225" i="18"/>
  <c r="AD225" i="18" s="1"/>
  <c r="W225" i="18"/>
  <c r="AH225" i="18" s="1"/>
  <c r="AC224" i="18"/>
  <c r="AB224" i="18"/>
  <c r="AI224" i="18" s="1"/>
  <c r="AA224" i="18"/>
  <c r="Z224" i="18"/>
  <c r="Y224" i="18"/>
  <c r="X224" i="18"/>
  <c r="AE224" i="18" s="1"/>
  <c r="W224" i="18"/>
  <c r="AH224" i="18" s="1"/>
  <c r="AC223" i="18"/>
  <c r="AB223" i="18"/>
  <c r="AI223" i="18" s="1"/>
  <c r="AA223" i="18"/>
  <c r="Z223" i="18"/>
  <c r="Y223" i="18"/>
  <c r="X223" i="18"/>
  <c r="AD223" i="18" s="1"/>
  <c r="W223" i="18"/>
  <c r="AC222" i="18"/>
  <c r="AB222" i="18"/>
  <c r="AI222" i="18" s="1"/>
  <c r="AA222" i="18"/>
  <c r="Z222" i="18"/>
  <c r="Y222" i="18"/>
  <c r="X222" i="18"/>
  <c r="AE222" i="18" s="1"/>
  <c r="W222" i="18"/>
  <c r="AH222" i="18" s="1"/>
  <c r="AC221" i="18"/>
  <c r="AB221" i="18"/>
  <c r="AI221" i="18" s="1"/>
  <c r="AA221" i="18"/>
  <c r="Z221" i="18"/>
  <c r="Y221" i="18"/>
  <c r="X221" i="18"/>
  <c r="AE221" i="18" s="1"/>
  <c r="W221" i="18"/>
  <c r="AH221" i="18" s="1"/>
  <c r="AC220" i="18"/>
  <c r="AB220" i="18"/>
  <c r="AI220" i="18" s="1"/>
  <c r="AA220" i="18"/>
  <c r="Z220" i="18"/>
  <c r="Y220" i="18"/>
  <c r="X220" i="18"/>
  <c r="AE220" i="18" s="1"/>
  <c r="W220" i="18"/>
  <c r="AH220" i="18" s="1"/>
  <c r="AC219" i="18"/>
  <c r="AB219" i="18"/>
  <c r="AI219" i="18" s="1"/>
  <c r="AA219" i="18"/>
  <c r="Z219" i="18"/>
  <c r="Y219" i="18"/>
  <c r="X219" i="18"/>
  <c r="AE219" i="18" s="1"/>
  <c r="W219" i="18"/>
  <c r="AH219" i="18" s="1"/>
  <c r="AC218" i="18"/>
  <c r="AB218" i="18"/>
  <c r="AI218" i="18" s="1"/>
  <c r="AA218" i="18"/>
  <c r="Z218" i="18"/>
  <c r="Y218" i="18"/>
  <c r="X218" i="18"/>
  <c r="AE218" i="18" s="1"/>
  <c r="W218" i="18"/>
  <c r="AH218" i="18" s="1"/>
  <c r="AC217" i="18"/>
  <c r="AB217" i="18"/>
  <c r="AI217" i="18" s="1"/>
  <c r="AA217" i="18"/>
  <c r="Z217" i="18"/>
  <c r="Y217" i="18"/>
  <c r="X217" i="18"/>
  <c r="AE217" i="18" s="1"/>
  <c r="W217" i="18"/>
  <c r="AH217" i="18" s="1"/>
  <c r="AC216" i="18"/>
  <c r="AB216" i="18"/>
  <c r="AI216" i="18" s="1"/>
  <c r="AA216" i="18"/>
  <c r="Z216" i="18"/>
  <c r="Y216" i="18"/>
  <c r="X216" i="18"/>
  <c r="AE216" i="18" s="1"/>
  <c r="W216" i="18"/>
  <c r="AH216" i="18" s="1"/>
  <c r="AC215" i="18"/>
  <c r="AB215" i="18"/>
  <c r="AI215" i="18" s="1"/>
  <c r="AA215" i="18"/>
  <c r="Z215" i="18"/>
  <c r="Y215" i="18"/>
  <c r="X215" i="18"/>
  <c r="AE215" i="18" s="1"/>
  <c r="W215" i="18"/>
  <c r="AH215" i="18" s="1"/>
  <c r="AC214" i="18"/>
  <c r="AB214" i="18"/>
  <c r="AI214" i="18" s="1"/>
  <c r="AA214" i="18"/>
  <c r="Z214" i="18"/>
  <c r="Y214" i="18"/>
  <c r="X214" i="18"/>
  <c r="AE214" i="18" s="1"/>
  <c r="W214" i="18"/>
  <c r="AH214" i="18" s="1"/>
  <c r="AC213" i="18"/>
  <c r="AB213" i="18"/>
  <c r="AI213" i="18" s="1"/>
  <c r="AA213" i="18"/>
  <c r="Z213" i="18"/>
  <c r="Y213" i="18"/>
  <c r="X213" i="18"/>
  <c r="AD213" i="18" s="1"/>
  <c r="W213" i="18"/>
  <c r="AH213" i="18" s="1"/>
  <c r="AC212" i="18"/>
  <c r="AB212" i="18"/>
  <c r="AI212" i="18" s="1"/>
  <c r="AA212" i="18"/>
  <c r="Z212" i="18"/>
  <c r="Y212" i="18"/>
  <c r="X212" i="18"/>
  <c r="AE212" i="18" s="1"/>
  <c r="W212" i="18"/>
  <c r="AH212" i="18" s="1"/>
  <c r="AC211" i="18"/>
  <c r="AB211" i="18"/>
  <c r="AI211" i="18" s="1"/>
  <c r="AA211" i="18"/>
  <c r="Z211" i="18"/>
  <c r="Y211" i="18"/>
  <c r="X211" i="18"/>
  <c r="AD211" i="18" s="1"/>
  <c r="W211" i="18"/>
  <c r="AH211" i="18" s="1"/>
  <c r="AC210" i="18"/>
  <c r="AB210" i="18"/>
  <c r="AI210" i="18" s="1"/>
  <c r="AA210" i="18"/>
  <c r="Z210" i="18"/>
  <c r="Y210" i="18"/>
  <c r="X210" i="18"/>
  <c r="AE210" i="18" s="1"/>
  <c r="W210" i="18"/>
  <c r="AH210" i="18" s="1"/>
  <c r="AC209" i="18"/>
  <c r="AB209" i="18"/>
  <c r="AI209" i="18" s="1"/>
  <c r="AA209" i="18"/>
  <c r="Z209" i="18"/>
  <c r="Y209" i="18"/>
  <c r="X209" i="18"/>
  <c r="AE209" i="18" s="1"/>
  <c r="W209" i="18"/>
  <c r="AH209" i="18" s="1"/>
  <c r="AC208" i="18"/>
  <c r="AB208" i="18"/>
  <c r="AI208" i="18" s="1"/>
  <c r="AA208" i="18"/>
  <c r="Z208" i="18"/>
  <c r="Y208" i="18"/>
  <c r="X208" i="18"/>
  <c r="AE208" i="18" s="1"/>
  <c r="W208" i="18"/>
  <c r="AH208" i="18" s="1"/>
  <c r="AC207" i="18"/>
  <c r="AB207" i="18"/>
  <c r="AI207" i="18" s="1"/>
  <c r="AA207" i="18"/>
  <c r="Z207" i="18"/>
  <c r="Y207" i="18"/>
  <c r="X207" i="18"/>
  <c r="AE207" i="18" s="1"/>
  <c r="W207" i="18"/>
  <c r="AH207" i="18" s="1"/>
  <c r="AC206" i="18"/>
  <c r="AB206" i="18"/>
  <c r="AI206" i="18" s="1"/>
  <c r="AA206" i="18"/>
  <c r="Z206" i="18"/>
  <c r="Y206" i="18"/>
  <c r="X206" i="18"/>
  <c r="AE206" i="18" s="1"/>
  <c r="W206" i="18"/>
  <c r="AH206" i="18" s="1"/>
  <c r="AC205" i="18"/>
  <c r="AB205" i="18"/>
  <c r="AI205" i="18" s="1"/>
  <c r="AA205" i="18"/>
  <c r="Z205" i="18"/>
  <c r="Y205" i="18"/>
  <c r="X205" i="18"/>
  <c r="AE205" i="18" s="1"/>
  <c r="W205" i="18"/>
  <c r="AH205" i="18" s="1"/>
  <c r="AH204" i="18"/>
  <c r="AC204" i="18"/>
  <c r="AB204" i="18"/>
  <c r="AI204" i="18" s="1"/>
  <c r="AA204" i="18"/>
  <c r="Z204" i="18"/>
  <c r="Y204" i="18"/>
  <c r="X204" i="18"/>
  <c r="AE204" i="18" s="1"/>
  <c r="W204" i="18"/>
  <c r="AC203" i="18"/>
  <c r="AB203" i="18"/>
  <c r="AI203" i="18" s="1"/>
  <c r="AA203" i="18"/>
  <c r="Z203" i="18"/>
  <c r="Y203" i="18"/>
  <c r="X203" i="18"/>
  <c r="AE203" i="18" s="1"/>
  <c r="W203" i="18"/>
  <c r="AH203" i="18" s="1"/>
  <c r="AC202" i="18"/>
  <c r="AB202" i="18"/>
  <c r="AI202" i="18" s="1"/>
  <c r="AA202" i="18"/>
  <c r="Z202" i="18"/>
  <c r="Y202" i="18"/>
  <c r="X202" i="18"/>
  <c r="AE202" i="18" s="1"/>
  <c r="W202" i="18"/>
  <c r="AH202" i="18" s="1"/>
  <c r="AC201" i="18"/>
  <c r="AB201" i="18"/>
  <c r="AI201" i="18" s="1"/>
  <c r="AA201" i="18"/>
  <c r="Z201" i="18"/>
  <c r="Y201" i="18"/>
  <c r="X201" i="18"/>
  <c r="AD201" i="18" s="1"/>
  <c r="W201" i="18"/>
  <c r="AH201" i="18" s="1"/>
  <c r="AC200" i="18"/>
  <c r="AB200" i="18"/>
  <c r="AI200" i="18" s="1"/>
  <c r="AA200" i="18"/>
  <c r="Z200" i="18"/>
  <c r="Y200" i="18"/>
  <c r="X200" i="18"/>
  <c r="AE200" i="18" s="1"/>
  <c r="W200" i="18"/>
  <c r="AH200" i="18" s="1"/>
  <c r="AH199" i="18"/>
  <c r="AC199" i="18"/>
  <c r="AB199" i="18"/>
  <c r="AI199" i="18" s="1"/>
  <c r="AA199" i="18"/>
  <c r="Z199" i="18"/>
  <c r="Y199" i="18"/>
  <c r="X199" i="18"/>
  <c r="AD199" i="18" s="1"/>
  <c r="W199" i="18"/>
  <c r="AC198" i="18"/>
  <c r="AB198" i="18"/>
  <c r="AI198" i="18" s="1"/>
  <c r="AA198" i="18"/>
  <c r="Z198" i="18"/>
  <c r="Y198" i="18"/>
  <c r="X198" i="18"/>
  <c r="AE198" i="18" s="1"/>
  <c r="W198" i="18"/>
  <c r="AH198" i="18" s="1"/>
  <c r="AC197" i="18"/>
  <c r="AB197" i="18"/>
  <c r="AI197" i="18" s="1"/>
  <c r="AA197" i="18"/>
  <c r="Z197" i="18"/>
  <c r="Y197" i="18"/>
  <c r="X197" i="18"/>
  <c r="AE197" i="18" s="1"/>
  <c r="W197" i="18"/>
  <c r="AH197" i="18" s="1"/>
  <c r="AC196" i="18"/>
  <c r="AB196" i="18"/>
  <c r="AI196" i="18" s="1"/>
  <c r="AA196" i="18"/>
  <c r="Z196" i="18"/>
  <c r="Y196" i="18"/>
  <c r="X196" i="18"/>
  <c r="AE196" i="18" s="1"/>
  <c r="W196" i="18"/>
  <c r="AH196" i="18" s="1"/>
  <c r="AC195" i="18"/>
  <c r="AB195" i="18"/>
  <c r="AI195" i="18" s="1"/>
  <c r="AA195" i="18"/>
  <c r="Z195" i="18"/>
  <c r="Y195" i="18"/>
  <c r="X195" i="18"/>
  <c r="AE195" i="18" s="1"/>
  <c r="W195" i="18"/>
  <c r="AH195" i="18" s="1"/>
  <c r="AC194" i="18"/>
  <c r="AB194" i="18"/>
  <c r="AI194" i="18" s="1"/>
  <c r="AA194" i="18"/>
  <c r="Z194" i="18"/>
  <c r="Y194" i="18"/>
  <c r="X194" i="18"/>
  <c r="AE194" i="18" s="1"/>
  <c r="W194" i="18"/>
  <c r="AH194" i="18" s="1"/>
  <c r="AC193" i="18"/>
  <c r="AB193" i="18"/>
  <c r="AI193" i="18" s="1"/>
  <c r="AA193" i="18"/>
  <c r="Z193" i="18"/>
  <c r="Y193" i="18"/>
  <c r="X193" i="18"/>
  <c r="AE193" i="18" s="1"/>
  <c r="W193" i="18"/>
  <c r="AH193" i="18" s="1"/>
  <c r="AC192" i="18"/>
  <c r="AB192" i="18"/>
  <c r="AI192" i="18" s="1"/>
  <c r="AA192" i="18"/>
  <c r="Z192" i="18"/>
  <c r="Y192" i="18"/>
  <c r="X192" i="18"/>
  <c r="AE192" i="18" s="1"/>
  <c r="W192" i="18"/>
  <c r="AH192" i="18" s="1"/>
  <c r="AC191" i="18"/>
  <c r="AB191" i="18"/>
  <c r="AI191" i="18" s="1"/>
  <c r="AA191" i="18"/>
  <c r="Z191" i="18"/>
  <c r="Y191" i="18"/>
  <c r="X191" i="18"/>
  <c r="AE191" i="18" s="1"/>
  <c r="W191" i="18"/>
  <c r="AH191" i="18" s="1"/>
  <c r="AC190" i="18"/>
  <c r="AB190" i="18"/>
  <c r="AI190" i="18" s="1"/>
  <c r="AA190" i="18"/>
  <c r="Z190" i="18"/>
  <c r="Y190" i="18"/>
  <c r="X190" i="18"/>
  <c r="AE190" i="18" s="1"/>
  <c r="W190" i="18"/>
  <c r="AH190" i="18" s="1"/>
  <c r="AC189" i="18"/>
  <c r="AB189" i="18"/>
  <c r="AI189" i="18" s="1"/>
  <c r="AA189" i="18"/>
  <c r="Z189" i="18"/>
  <c r="Y189" i="18"/>
  <c r="X189" i="18"/>
  <c r="AD189" i="18" s="1"/>
  <c r="W189" i="18"/>
  <c r="AH189" i="18" s="1"/>
  <c r="AC188" i="18"/>
  <c r="AB188" i="18"/>
  <c r="AI188" i="18" s="1"/>
  <c r="AA188" i="18"/>
  <c r="Z188" i="18"/>
  <c r="Y188" i="18"/>
  <c r="X188" i="18"/>
  <c r="AE188" i="18" s="1"/>
  <c r="W188" i="18"/>
  <c r="AH188" i="18" s="1"/>
  <c r="AC187" i="18"/>
  <c r="AB187" i="18"/>
  <c r="AI187" i="18" s="1"/>
  <c r="AA187" i="18"/>
  <c r="Z187" i="18"/>
  <c r="Y187" i="18"/>
  <c r="X187" i="18"/>
  <c r="AD187" i="18" s="1"/>
  <c r="W187" i="18"/>
  <c r="AC186" i="18"/>
  <c r="AB186" i="18"/>
  <c r="AI186" i="18" s="1"/>
  <c r="AA186" i="18"/>
  <c r="Z186" i="18"/>
  <c r="Y186" i="18"/>
  <c r="X186" i="18"/>
  <c r="AE186" i="18" s="1"/>
  <c r="W186" i="18"/>
  <c r="AH186" i="18" s="1"/>
  <c r="AC185" i="18"/>
  <c r="AB185" i="18"/>
  <c r="AI185" i="18" s="1"/>
  <c r="AA185" i="18"/>
  <c r="Z185" i="18"/>
  <c r="Y185" i="18"/>
  <c r="X185" i="18"/>
  <c r="AE185" i="18" s="1"/>
  <c r="W185" i="18"/>
  <c r="AH185" i="18" s="1"/>
  <c r="AC184" i="18"/>
  <c r="AB184" i="18"/>
  <c r="AI184" i="18" s="1"/>
  <c r="AA184" i="18"/>
  <c r="Z184" i="18"/>
  <c r="Y184" i="18"/>
  <c r="X184" i="18"/>
  <c r="AE184" i="18" s="1"/>
  <c r="W184" i="18"/>
  <c r="AH184" i="18" s="1"/>
  <c r="AC183" i="18"/>
  <c r="AB183" i="18"/>
  <c r="AI183" i="18" s="1"/>
  <c r="AA183" i="18"/>
  <c r="Z183" i="18"/>
  <c r="Y183" i="18"/>
  <c r="X183" i="18"/>
  <c r="AE183" i="18" s="1"/>
  <c r="W183" i="18"/>
  <c r="AH183" i="18" s="1"/>
  <c r="AC182" i="18"/>
  <c r="AB182" i="18"/>
  <c r="AI182" i="18" s="1"/>
  <c r="AA182" i="18"/>
  <c r="Z182" i="18"/>
  <c r="Y182" i="18"/>
  <c r="X182" i="18"/>
  <c r="AE182" i="18" s="1"/>
  <c r="W182" i="18"/>
  <c r="AH182" i="18" s="1"/>
  <c r="AC181" i="18"/>
  <c r="AB181" i="18"/>
  <c r="AI181" i="18" s="1"/>
  <c r="AA181" i="18"/>
  <c r="Z181" i="18"/>
  <c r="Y181" i="18"/>
  <c r="X181" i="18"/>
  <c r="AE181" i="18" s="1"/>
  <c r="W181" i="18"/>
  <c r="AC180" i="18"/>
  <c r="AB180" i="18"/>
  <c r="AI180" i="18" s="1"/>
  <c r="AA180" i="18"/>
  <c r="Z180" i="18"/>
  <c r="Y180" i="18"/>
  <c r="X180" i="18"/>
  <c r="AE180" i="18" s="1"/>
  <c r="W180" i="18"/>
  <c r="AH180" i="18" s="1"/>
  <c r="AC179" i="18"/>
  <c r="AB179" i="18"/>
  <c r="AI179" i="18" s="1"/>
  <c r="AA179" i="18"/>
  <c r="Z179" i="18"/>
  <c r="Y179" i="18"/>
  <c r="X179" i="18"/>
  <c r="AE179" i="18" s="1"/>
  <c r="W179" i="18"/>
  <c r="AH179" i="18" s="1"/>
  <c r="AC178" i="18"/>
  <c r="AB178" i="18"/>
  <c r="AI178" i="18" s="1"/>
  <c r="AA178" i="18"/>
  <c r="Z178" i="18"/>
  <c r="Y178" i="18"/>
  <c r="X178" i="18"/>
  <c r="AE178" i="18" s="1"/>
  <c r="W178" i="18"/>
  <c r="AH178" i="18" s="1"/>
  <c r="AC177" i="18"/>
  <c r="AB177" i="18"/>
  <c r="AI177" i="18" s="1"/>
  <c r="AA177" i="18"/>
  <c r="Z177" i="18"/>
  <c r="Y177" i="18"/>
  <c r="X177" i="18"/>
  <c r="AE177" i="18" s="1"/>
  <c r="W177" i="18"/>
  <c r="AH177" i="18" s="1"/>
  <c r="AC176" i="18"/>
  <c r="AB176" i="18"/>
  <c r="AI176" i="18" s="1"/>
  <c r="AA176" i="18"/>
  <c r="Z176" i="18"/>
  <c r="Y176" i="18"/>
  <c r="X176" i="18"/>
  <c r="AE176" i="18" s="1"/>
  <c r="W176" i="18"/>
  <c r="AH176" i="18" s="1"/>
  <c r="AC175" i="18"/>
  <c r="AB175" i="18"/>
  <c r="AI175" i="18" s="1"/>
  <c r="AA175" i="18"/>
  <c r="Z175" i="18"/>
  <c r="Y175" i="18"/>
  <c r="X175" i="18"/>
  <c r="AE175" i="18" s="1"/>
  <c r="W175" i="18"/>
  <c r="AC174" i="18"/>
  <c r="AB174" i="18"/>
  <c r="AI174" i="18" s="1"/>
  <c r="AA174" i="18"/>
  <c r="Z174" i="18"/>
  <c r="Y174" i="18"/>
  <c r="X174" i="18"/>
  <c r="AE174" i="18" s="1"/>
  <c r="W174" i="18"/>
  <c r="AH174" i="18" s="1"/>
  <c r="AC173" i="18"/>
  <c r="AB173" i="18"/>
  <c r="AI173" i="18" s="1"/>
  <c r="AA173" i="18"/>
  <c r="Z173" i="18"/>
  <c r="Y173" i="18"/>
  <c r="X173" i="18"/>
  <c r="AE173" i="18" s="1"/>
  <c r="W173" i="18"/>
  <c r="AH173" i="18" s="1"/>
  <c r="AC172" i="18"/>
  <c r="AB172" i="18"/>
  <c r="AI172" i="18" s="1"/>
  <c r="AA172" i="18"/>
  <c r="Z172" i="18"/>
  <c r="Y172" i="18"/>
  <c r="X172" i="18"/>
  <c r="AE172" i="18" s="1"/>
  <c r="W172" i="18"/>
  <c r="AH172" i="18" s="1"/>
  <c r="AC171" i="18"/>
  <c r="AB171" i="18"/>
  <c r="AI171" i="18" s="1"/>
  <c r="AA171" i="18"/>
  <c r="Z171" i="18"/>
  <c r="Y171" i="18"/>
  <c r="X171" i="18"/>
  <c r="AE171" i="18" s="1"/>
  <c r="W171" i="18"/>
  <c r="AH171" i="18" s="1"/>
  <c r="AC170" i="18"/>
  <c r="AB170" i="18"/>
  <c r="AI170" i="18" s="1"/>
  <c r="AA170" i="18"/>
  <c r="Z170" i="18"/>
  <c r="Y170" i="18"/>
  <c r="X170" i="18"/>
  <c r="AE170" i="18" s="1"/>
  <c r="W170" i="18"/>
  <c r="AH170" i="18" s="1"/>
  <c r="AH169" i="18"/>
  <c r="AC169" i="18"/>
  <c r="AB169" i="18"/>
  <c r="AI169" i="18" s="1"/>
  <c r="AA169" i="18"/>
  <c r="Z169" i="18"/>
  <c r="Y169" i="18"/>
  <c r="X169" i="18"/>
  <c r="AE169" i="18" s="1"/>
  <c r="W169" i="18"/>
  <c r="AC168" i="18"/>
  <c r="AB168" i="18"/>
  <c r="AI168" i="18" s="1"/>
  <c r="AA168" i="18"/>
  <c r="Z168" i="18"/>
  <c r="Y168" i="18"/>
  <c r="X168" i="18"/>
  <c r="AE168" i="18" s="1"/>
  <c r="W168" i="18"/>
  <c r="AH168" i="18" s="1"/>
  <c r="AC167" i="18"/>
  <c r="AB167" i="18"/>
  <c r="AI167" i="18" s="1"/>
  <c r="AA167" i="18"/>
  <c r="Z167" i="18"/>
  <c r="Y167" i="18"/>
  <c r="X167" i="18"/>
  <c r="AE167" i="18" s="1"/>
  <c r="W167" i="18"/>
  <c r="AH167" i="18" s="1"/>
  <c r="AC166" i="18"/>
  <c r="AB166" i="18"/>
  <c r="AI166" i="18" s="1"/>
  <c r="AA166" i="18"/>
  <c r="Z166" i="18"/>
  <c r="Y166" i="18"/>
  <c r="X166" i="18"/>
  <c r="AE166" i="18" s="1"/>
  <c r="W166" i="18"/>
  <c r="AH166" i="18" s="1"/>
  <c r="AC165" i="18"/>
  <c r="AB165" i="18"/>
  <c r="AI165" i="18" s="1"/>
  <c r="AA165" i="18"/>
  <c r="Z165" i="18"/>
  <c r="Y165" i="18"/>
  <c r="X165" i="18"/>
  <c r="AE165" i="18" s="1"/>
  <c r="W165" i="18"/>
  <c r="AH165" i="18" s="1"/>
  <c r="AC164" i="18"/>
  <c r="AB164" i="18"/>
  <c r="AI164" i="18" s="1"/>
  <c r="AA164" i="18"/>
  <c r="Z164" i="18"/>
  <c r="Y164" i="18"/>
  <c r="X164" i="18"/>
  <c r="AE164" i="18" s="1"/>
  <c r="W164" i="18"/>
  <c r="AH164" i="18" s="1"/>
  <c r="AC163" i="18"/>
  <c r="AB163" i="18"/>
  <c r="AI163" i="18" s="1"/>
  <c r="AA163" i="18"/>
  <c r="Z163" i="18"/>
  <c r="Y163" i="18"/>
  <c r="X163" i="18"/>
  <c r="AE163" i="18" s="1"/>
  <c r="W163" i="18"/>
  <c r="AH163" i="18" s="1"/>
  <c r="AC162" i="18"/>
  <c r="AB162" i="18"/>
  <c r="AI162" i="18" s="1"/>
  <c r="AA162" i="18"/>
  <c r="Z162" i="18"/>
  <c r="Y162" i="18"/>
  <c r="X162" i="18"/>
  <c r="AE162" i="18" s="1"/>
  <c r="W162" i="18"/>
  <c r="AH162" i="18" s="1"/>
  <c r="AC161" i="18"/>
  <c r="AB161" i="18"/>
  <c r="AI161" i="18" s="1"/>
  <c r="AA161" i="18"/>
  <c r="Z161" i="18"/>
  <c r="Y161" i="18"/>
  <c r="X161" i="18"/>
  <c r="AE161" i="18" s="1"/>
  <c r="W161" i="18"/>
  <c r="AH161" i="18" s="1"/>
  <c r="AC160" i="18"/>
  <c r="AB160" i="18"/>
  <c r="AI160" i="18" s="1"/>
  <c r="AA160" i="18"/>
  <c r="Z160" i="18"/>
  <c r="Y160" i="18"/>
  <c r="X160" i="18"/>
  <c r="AE160" i="18" s="1"/>
  <c r="W160" i="18"/>
  <c r="AH160" i="18" s="1"/>
  <c r="AC159" i="18"/>
  <c r="AB159" i="18"/>
  <c r="AI159" i="18" s="1"/>
  <c r="AA159" i="18"/>
  <c r="Z159" i="18"/>
  <c r="Y159" i="18"/>
  <c r="X159" i="18"/>
  <c r="AE159" i="18" s="1"/>
  <c r="W159" i="18"/>
  <c r="AH159" i="18" s="1"/>
  <c r="AC158" i="18"/>
  <c r="AB158" i="18"/>
  <c r="AI158" i="18" s="1"/>
  <c r="AA158" i="18"/>
  <c r="Z158" i="18"/>
  <c r="Y158" i="18"/>
  <c r="X158" i="18"/>
  <c r="AE158" i="18" s="1"/>
  <c r="W158" i="18"/>
  <c r="AH158" i="18" s="1"/>
  <c r="AC157" i="18"/>
  <c r="AB157" i="18"/>
  <c r="AI157" i="18" s="1"/>
  <c r="AA157" i="18"/>
  <c r="Z157" i="18"/>
  <c r="Y157" i="18"/>
  <c r="X157" i="18"/>
  <c r="AE157" i="18" s="1"/>
  <c r="W157" i="18"/>
  <c r="AH157" i="18" s="1"/>
  <c r="AC156" i="18"/>
  <c r="AB156" i="18"/>
  <c r="AI156" i="18" s="1"/>
  <c r="AA156" i="18"/>
  <c r="Z156" i="18"/>
  <c r="Y156" i="18"/>
  <c r="X156" i="18"/>
  <c r="AE156" i="18" s="1"/>
  <c r="W156" i="18"/>
  <c r="AH156" i="18" s="1"/>
  <c r="AC155" i="18"/>
  <c r="AB155" i="18"/>
  <c r="AI155" i="18" s="1"/>
  <c r="AA155" i="18"/>
  <c r="Z155" i="18"/>
  <c r="Y155" i="18"/>
  <c r="X155" i="18"/>
  <c r="AE155" i="18" s="1"/>
  <c r="W155" i="18"/>
  <c r="AH155" i="18" s="1"/>
  <c r="AC154" i="18"/>
  <c r="AB154" i="18"/>
  <c r="AI154" i="18" s="1"/>
  <c r="AA154" i="18"/>
  <c r="Z154" i="18"/>
  <c r="Y154" i="18"/>
  <c r="X154" i="18"/>
  <c r="AE154" i="18" s="1"/>
  <c r="W154" i="18"/>
  <c r="AH154" i="18" s="1"/>
  <c r="AC153" i="18"/>
  <c r="AB153" i="18"/>
  <c r="AI153" i="18" s="1"/>
  <c r="AA153" i="18"/>
  <c r="Z153" i="18"/>
  <c r="Y153" i="18"/>
  <c r="X153" i="18"/>
  <c r="AE153" i="18" s="1"/>
  <c r="W153" i="18"/>
  <c r="AH153" i="18" s="1"/>
  <c r="AC152" i="18"/>
  <c r="AB152" i="18"/>
  <c r="AI152" i="18" s="1"/>
  <c r="AA152" i="18"/>
  <c r="Z152" i="18"/>
  <c r="Y152" i="18"/>
  <c r="X152" i="18"/>
  <c r="AE152" i="18" s="1"/>
  <c r="W152" i="18"/>
  <c r="AH152" i="18" s="1"/>
  <c r="AC151" i="18"/>
  <c r="AB151" i="18"/>
  <c r="AI151" i="18" s="1"/>
  <c r="AA151" i="18"/>
  <c r="Z151" i="18"/>
  <c r="Y151" i="18"/>
  <c r="X151" i="18"/>
  <c r="AE151" i="18" s="1"/>
  <c r="W151" i="18"/>
  <c r="AH151" i="18" s="1"/>
  <c r="AC150" i="18"/>
  <c r="AB150" i="18"/>
  <c r="AI150" i="18" s="1"/>
  <c r="AA150" i="18"/>
  <c r="Z150" i="18"/>
  <c r="Y150" i="18"/>
  <c r="X150" i="18"/>
  <c r="AE150" i="18" s="1"/>
  <c r="W150" i="18"/>
  <c r="AH150" i="18" s="1"/>
  <c r="AC149" i="18"/>
  <c r="AB149" i="18"/>
  <c r="AI149" i="18" s="1"/>
  <c r="AA149" i="18"/>
  <c r="Z149" i="18"/>
  <c r="Y149" i="18"/>
  <c r="X149" i="18"/>
  <c r="AE149" i="18" s="1"/>
  <c r="W149" i="18"/>
  <c r="AH149" i="18" s="1"/>
  <c r="AC148" i="18"/>
  <c r="AB148" i="18"/>
  <c r="AI148" i="18" s="1"/>
  <c r="AA148" i="18"/>
  <c r="Z148" i="18"/>
  <c r="Y148" i="18"/>
  <c r="X148" i="18"/>
  <c r="AE148" i="18" s="1"/>
  <c r="W148" i="18"/>
  <c r="AH148" i="18" s="1"/>
  <c r="AC147" i="18"/>
  <c r="AB147" i="18"/>
  <c r="AI147" i="18" s="1"/>
  <c r="AA147" i="18"/>
  <c r="Z147" i="18"/>
  <c r="Y147" i="18"/>
  <c r="X147" i="18"/>
  <c r="AE147" i="18" s="1"/>
  <c r="W147" i="18"/>
  <c r="AC146" i="18"/>
  <c r="AB146" i="18"/>
  <c r="AI146" i="18" s="1"/>
  <c r="AA146" i="18"/>
  <c r="Z146" i="18"/>
  <c r="Y146" i="18"/>
  <c r="X146" i="18"/>
  <c r="AE146" i="18" s="1"/>
  <c r="W146" i="18"/>
  <c r="AH146" i="18" s="1"/>
  <c r="AC145" i="18"/>
  <c r="AB145" i="18"/>
  <c r="AI145" i="18" s="1"/>
  <c r="AA145" i="18"/>
  <c r="Z145" i="18"/>
  <c r="Y145" i="18"/>
  <c r="X145" i="18"/>
  <c r="AE145" i="18" s="1"/>
  <c r="W145" i="18"/>
  <c r="AH145" i="18" s="1"/>
  <c r="AC144" i="18"/>
  <c r="AB144" i="18"/>
  <c r="AI144" i="18" s="1"/>
  <c r="AA144" i="18"/>
  <c r="Z144" i="18"/>
  <c r="Y144" i="18"/>
  <c r="X144" i="18"/>
  <c r="AE144" i="18" s="1"/>
  <c r="W144" i="18"/>
  <c r="AH144" i="18" s="1"/>
  <c r="AC143" i="18"/>
  <c r="AB143" i="18"/>
  <c r="AI143" i="18" s="1"/>
  <c r="AA143" i="18"/>
  <c r="Z143" i="18"/>
  <c r="Y143" i="18"/>
  <c r="X143" i="18"/>
  <c r="AE143" i="18" s="1"/>
  <c r="W143" i="18"/>
  <c r="AH143" i="18" s="1"/>
  <c r="AC142" i="18"/>
  <c r="AB142" i="18"/>
  <c r="AI142" i="18" s="1"/>
  <c r="AA142" i="18"/>
  <c r="Z142" i="18"/>
  <c r="Y142" i="18"/>
  <c r="X142" i="18"/>
  <c r="AE142" i="18" s="1"/>
  <c r="W142" i="18"/>
  <c r="AH142" i="18" s="1"/>
  <c r="AC141" i="18"/>
  <c r="AB141" i="18"/>
  <c r="AI141" i="18" s="1"/>
  <c r="AA141" i="18"/>
  <c r="Z141" i="18"/>
  <c r="Y141" i="18"/>
  <c r="X141" i="18"/>
  <c r="AD141" i="18" s="1"/>
  <c r="W141" i="18"/>
  <c r="AC140" i="18"/>
  <c r="AB140" i="18"/>
  <c r="AI140" i="18" s="1"/>
  <c r="AA140" i="18"/>
  <c r="Z140" i="18"/>
  <c r="Y140" i="18"/>
  <c r="X140" i="18"/>
  <c r="AE140" i="18" s="1"/>
  <c r="W140" i="18"/>
  <c r="AH140" i="18" s="1"/>
  <c r="AC139" i="18"/>
  <c r="AB139" i="18"/>
  <c r="AI139" i="18" s="1"/>
  <c r="AA139" i="18"/>
  <c r="Z139" i="18"/>
  <c r="Y139" i="18"/>
  <c r="X139" i="18"/>
  <c r="AE139" i="18" s="1"/>
  <c r="W139" i="18"/>
  <c r="AC138" i="18"/>
  <c r="AB138" i="18"/>
  <c r="AI138" i="18" s="1"/>
  <c r="AA138" i="18"/>
  <c r="Z138" i="18"/>
  <c r="Y138" i="18"/>
  <c r="X138" i="18"/>
  <c r="AE138" i="18" s="1"/>
  <c r="W138" i="18"/>
  <c r="AH138" i="18" s="1"/>
  <c r="AC137" i="18"/>
  <c r="AB137" i="18"/>
  <c r="AI137" i="18" s="1"/>
  <c r="AA137" i="18"/>
  <c r="Z137" i="18"/>
  <c r="Y137" i="18"/>
  <c r="X137" i="18"/>
  <c r="AE137" i="18" s="1"/>
  <c r="W137" i="18"/>
  <c r="AH137" i="18" s="1"/>
  <c r="AC136" i="18"/>
  <c r="AB136" i="18"/>
  <c r="AI136" i="18" s="1"/>
  <c r="AA136" i="18"/>
  <c r="Z136" i="18"/>
  <c r="Y136" i="18"/>
  <c r="X136" i="18"/>
  <c r="AE136" i="18" s="1"/>
  <c r="W136" i="18"/>
  <c r="AH136" i="18" s="1"/>
  <c r="AC135" i="18"/>
  <c r="AB135" i="18"/>
  <c r="AI135" i="18" s="1"/>
  <c r="AA135" i="18"/>
  <c r="Z135" i="18"/>
  <c r="Y135" i="18"/>
  <c r="X135" i="18"/>
  <c r="AE135" i="18" s="1"/>
  <c r="W135" i="18"/>
  <c r="AC134" i="18"/>
  <c r="AB134" i="18"/>
  <c r="AI134" i="18" s="1"/>
  <c r="AA134" i="18"/>
  <c r="Z134" i="18"/>
  <c r="Y134" i="18"/>
  <c r="X134" i="18"/>
  <c r="AE134" i="18" s="1"/>
  <c r="W134" i="18"/>
  <c r="AH134" i="18" s="1"/>
  <c r="AH133" i="18"/>
  <c r="AC133" i="18"/>
  <c r="AB133" i="18"/>
  <c r="AI133" i="18" s="1"/>
  <c r="AA133" i="18"/>
  <c r="Z133" i="18"/>
  <c r="Y133" i="18"/>
  <c r="X133" i="18"/>
  <c r="AE133" i="18" s="1"/>
  <c r="W133" i="18"/>
  <c r="AC132" i="18"/>
  <c r="AB132" i="18"/>
  <c r="AI132" i="18" s="1"/>
  <c r="AA132" i="18"/>
  <c r="Z132" i="18"/>
  <c r="Y132" i="18"/>
  <c r="X132" i="18"/>
  <c r="AE132" i="18" s="1"/>
  <c r="W132" i="18"/>
  <c r="AH132" i="18" s="1"/>
  <c r="AC131" i="18"/>
  <c r="AB131" i="18"/>
  <c r="AI131" i="18" s="1"/>
  <c r="AA131" i="18"/>
  <c r="Z131" i="18"/>
  <c r="Y131" i="18"/>
  <c r="X131" i="18"/>
  <c r="AE131" i="18" s="1"/>
  <c r="W131" i="18"/>
  <c r="AH131" i="18" s="1"/>
  <c r="AC130" i="18"/>
  <c r="AB130" i="18"/>
  <c r="AI130" i="18" s="1"/>
  <c r="AA130" i="18"/>
  <c r="Z130" i="18"/>
  <c r="Y130" i="18"/>
  <c r="X130" i="18"/>
  <c r="AE130" i="18" s="1"/>
  <c r="W130" i="18"/>
  <c r="AH130" i="18" s="1"/>
  <c r="AC129" i="18"/>
  <c r="AB129" i="18"/>
  <c r="AI129" i="18" s="1"/>
  <c r="AA129" i="18"/>
  <c r="Z129" i="18"/>
  <c r="Y129" i="18"/>
  <c r="X129" i="18"/>
  <c r="AD129" i="18" s="1"/>
  <c r="W129" i="18"/>
  <c r="AC128" i="18"/>
  <c r="AB128" i="18"/>
  <c r="AI128" i="18" s="1"/>
  <c r="AA128" i="18"/>
  <c r="Z128" i="18"/>
  <c r="Y128" i="18"/>
  <c r="X128" i="18"/>
  <c r="AE128" i="18" s="1"/>
  <c r="W128" i="18"/>
  <c r="AH128" i="18" s="1"/>
  <c r="AC127" i="18"/>
  <c r="AB127" i="18"/>
  <c r="AI127" i="18" s="1"/>
  <c r="AA127" i="18"/>
  <c r="Z127" i="18"/>
  <c r="Y127" i="18"/>
  <c r="X127" i="18"/>
  <c r="AE127" i="18" s="1"/>
  <c r="W127" i="18"/>
  <c r="AH127" i="18" s="1"/>
  <c r="AC126" i="18"/>
  <c r="AB126" i="18"/>
  <c r="AI126" i="18" s="1"/>
  <c r="AA126" i="18"/>
  <c r="Z126" i="18"/>
  <c r="Y126" i="18"/>
  <c r="X126" i="18"/>
  <c r="AE126" i="18" s="1"/>
  <c r="W126" i="18"/>
  <c r="AH126" i="18" s="1"/>
  <c r="AC125" i="18"/>
  <c r="AB125" i="18"/>
  <c r="AI125" i="18" s="1"/>
  <c r="AA125" i="18"/>
  <c r="Z125" i="18"/>
  <c r="Y125" i="18"/>
  <c r="X125" i="18"/>
  <c r="AE125" i="18" s="1"/>
  <c r="W125" i="18"/>
  <c r="AH125" i="18" s="1"/>
  <c r="AC124" i="18"/>
  <c r="AB124" i="18"/>
  <c r="AI124" i="18" s="1"/>
  <c r="AA124" i="18"/>
  <c r="Z124" i="18"/>
  <c r="Y124" i="18"/>
  <c r="X124" i="18"/>
  <c r="AE124" i="18" s="1"/>
  <c r="W124" i="18"/>
  <c r="AH124" i="18" s="1"/>
  <c r="AC123" i="18"/>
  <c r="AB123" i="18"/>
  <c r="AI123" i="18" s="1"/>
  <c r="AA123" i="18"/>
  <c r="Z123" i="18"/>
  <c r="Y123" i="18"/>
  <c r="X123" i="18"/>
  <c r="AE123" i="18" s="1"/>
  <c r="W123" i="18"/>
  <c r="AC122" i="18"/>
  <c r="AB122" i="18"/>
  <c r="AI122" i="18" s="1"/>
  <c r="AA122" i="18"/>
  <c r="Z122" i="18"/>
  <c r="Y122" i="18"/>
  <c r="X122" i="18"/>
  <c r="AE122" i="18" s="1"/>
  <c r="W122" i="18"/>
  <c r="AH122" i="18" s="1"/>
  <c r="AC121" i="18"/>
  <c r="AB121" i="18"/>
  <c r="AI121" i="18" s="1"/>
  <c r="AA121" i="18"/>
  <c r="Z121" i="18"/>
  <c r="Y121" i="18"/>
  <c r="X121" i="18"/>
  <c r="AE121" i="18" s="1"/>
  <c r="W121" i="18"/>
  <c r="AH121" i="18" s="1"/>
  <c r="AC120" i="18"/>
  <c r="AB120" i="18"/>
  <c r="AI120" i="18" s="1"/>
  <c r="AA120" i="18"/>
  <c r="Z120" i="18"/>
  <c r="Y120" i="18"/>
  <c r="X120" i="18"/>
  <c r="AE120" i="18" s="1"/>
  <c r="W120" i="18"/>
  <c r="AH120" i="18" s="1"/>
  <c r="AC119" i="18"/>
  <c r="AB119" i="18"/>
  <c r="AI119" i="18" s="1"/>
  <c r="AA119" i="18"/>
  <c r="Z119" i="18"/>
  <c r="Y119" i="18"/>
  <c r="X119" i="18"/>
  <c r="AE119" i="18" s="1"/>
  <c r="W119" i="18"/>
  <c r="AH119" i="18" s="1"/>
  <c r="AC118" i="18"/>
  <c r="AB118" i="18"/>
  <c r="AI118" i="18" s="1"/>
  <c r="AA118" i="18"/>
  <c r="Z118" i="18"/>
  <c r="Y118" i="18"/>
  <c r="X118" i="18"/>
  <c r="AE118" i="18" s="1"/>
  <c r="W118" i="18"/>
  <c r="AH118" i="18" s="1"/>
  <c r="AC117" i="18"/>
  <c r="AB117" i="18"/>
  <c r="AI117" i="18" s="1"/>
  <c r="AA117" i="18"/>
  <c r="Z117" i="18"/>
  <c r="Y117" i="18"/>
  <c r="X117" i="18"/>
  <c r="AD117" i="18" s="1"/>
  <c r="W117" i="18"/>
  <c r="AH117" i="18" s="1"/>
  <c r="AC116" i="18"/>
  <c r="AB116" i="18"/>
  <c r="AI116" i="18" s="1"/>
  <c r="AA116" i="18"/>
  <c r="Z116" i="18"/>
  <c r="Y116" i="18"/>
  <c r="X116" i="18"/>
  <c r="AE116" i="18" s="1"/>
  <c r="W116" i="18"/>
  <c r="AH116" i="18" s="1"/>
  <c r="AC115" i="18"/>
  <c r="AB115" i="18"/>
  <c r="AI115" i="18" s="1"/>
  <c r="AA115" i="18"/>
  <c r="Z115" i="18"/>
  <c r="Y115" i="18"/>
  <c r="X115" i="18"/>
  <c r="AE115" i="18" s="1"/>
  <c r="W115" i="18"/>
  <c r="AH115" i="18" s="1"/>
  <c r="AC114" i="18"/>
  <c r="AB114" i="18"/>
  <c r="AI114" i="18" s="1"/>
  <c r="AA114" i="18"/>
  <c r="Z114" i="18"/>
  <c r="Y114" i="18"/>
  <c r="X114" i="18"/>
  <c r="AE114" i="18" s="1"/>
  <c r="W114" i="18"/>
  <c r="AH114" i="18" s="1"/>
  <c r="AC113" i="18"/>
  <c r="AB113" i="18"/>
  <c r="AI113" i="18" s="1"/>
  <c r="AA113" i="18"/>
  <c r="Z113" i="18"/>
  <c r="Y113" i="18"/>
  <c r="X113" i="18"/>
  <c r="AE113" i="18" s="1"/>
  <c r="W113" i="18"/>
  <c r="AH113" i="18" s="1"/>
  <c r="AC112" i="18"/>
  <c r="AB112" i="18"/>
  <c r="AI112" i="18" s="1"/>
  <c r="AA112" i="18"/>
  <c r="Z112" i="18"/>
  <c r="Y112" i="18"/>
  <c r="X112" i="18"/>
  <c r="AE112" i="18" s="1"/>
  <c r="W112" i="18"/>
  <c r="AH112" i="18" s="1"/>
  <c r="AC111" i="18"/>
  <c r="AB111" i="18"/>
  <c r="AI111" i="18" s="1"/>
  <c r="AA111" i="18"/>
  <c r="Z111" i="18"/>
  <c r="Y111" i="18"/>
  <c r="X111" i="18"/>
  <c r="AE111" i="18" s="1"/>
  <c r="W111" i="18"/>
  <c r="AH111" i="18" s="1"/>
  <c r="AC110" i="18"/>
  <c r="AB110" i="18"/>
  <c r="AI110" i="18" s="1"/>
  <c r="AA110" i="18"/>
  <c r="Z110" i="18"/>
  <c r="Y110" i="18"/>
  <c r="X110" i="18"/>
  <c r="AE110" i="18" s="1"/>
  <c r="W110" i="18"/>
  <c r="AH110" i="18" s="1"/>
  <c r="AC109" i="18"/>
  <c r="AB109" i="18"/>
  <c r="AI109" i="18" s="1"/>
  <c r="AA109" i="18"/>
  <c r="Z109" i="18"/>
  <c r="Y109" i="18"/>
  <c r="X109" i="18"/>
  <c r="AE109" i="18" s="1"/>
  <c r="W109" i="18"/>
  <c r="AC108" i="18"/>
  <c r="AB108" i="18"/>
  <c r="AI108" i="18" s="1"/>
  <c r="AA108" i="18"/>
  <c r="Z108" i="18"/>
  <c r="Y108" i="18"/>
  <c r="X108" i="18"/>
  <c r="AE108" i="18" s="1"/>
  <c r="W108" i="18"/>
  <c r="AH108" i="18" s="1"/>
  <c r="AC107" i="18"/>
  <c r="AB107" i="18"/>
  <c r="AI107" i="18" s="1"/>
  <c r="AA107" i="18"/>
  <c r="Z107" i="18"/>
  <c r="Y107" i="18"/>
  <c r="X107" i="18"/>
  <c r="AE107" i="18" s="1"/>
  <c r="W107" i="18"/>
  <c r="AH107" i="18" s="1"/>
  <c r="AC106" i="18"/>
  <c r="AB106" i="18"/>
  <c r="AI106" i="18" s="1"/>
  <c r="AA106" i="18"/>
  <c r="Z106" i="18"/>
  <c r="Y106" i="18"/>
  <c r="X106" i="18"/>
  <c r="AE106" i="18" s="1"/>
  <c r="W106" i="18"/>
  <c r="AH106" i="18" s="1"/>
  <c r="AC105" i="18"/>
  <c r="AB105" i="18"/>
  <c r="AI105" i="18" s="1"/>
  <c r="AA105" i="18"/>
  <c r="Z105" i="18"/>
  <c r="Y105" i="18"/>
  <c r="X105" i="18"/>
  <c r="AD105" i="18" s="1"/>
  <c r="W105" i="18"/>
  <c r="AH105" i="18" s="1"/>
  <c r="AC104" i="18"/>
  <c r="AB104" i="18"/>
  <c r="AI104" i="18" s="1"/>
  <c r="AA104" i="18"/>
  <c r="Z104" i="18"/>
  <c r="Y104" i="18"/>
  <c r="X104" i="18"/>
  <c r="AE104" i="18" s="1"/>
  <c r="W104" i="18"/>
  <c r="AH104" i="18" s="1"/>
  <c r="AC103" i="18"/>
  <c r="AB103" i="18"/>
  <c r="AI103" i="18" s="1"/>
  <c r="AA103" i="18"/>
  <c r="Z103" i="18"/>
  <c r="Y103" i="18"/>
  <c r="X103" i="18"/>
  <c r="AE103" i="18" s="1"/>
  <c r="W103" i="18"/>
  <c r="AH103" i="18" s="1"/>
  <c r="AC102" i="18"/>
  <c r="AB102" i="18"/>
  <c r="AI102" i="18" s="1"/>
  <c r="AA102" i="18"/>
  <c r="Z102" i="18"/>
  <c r="Y102" i="18"/>
  <c r="X102" i="18"/>
  <c r="AE102" i="18" s="1"/>
  <c r="W102" i="18"/>
  <c r="AH102" i="18" s="1"/>
  <c r="AC101" i="18"/>
  <c r="AB101" i="18"/>
  <c r="AI101" i="18" s="1"/>
  <c r="AA101" i="18"/>
  <c r="Z101" i="18"/>
  <c r="Y101" i="18"/>
  <c r="X101" i="18"/>
  <c r="AE101" i="18" s="1"/>
  <c r="W101" i="18"/>
  <c r="AH101" i="18" s="1"/>
  <c r="AC100" i="18"/>
  <c r="AB100" i="18"/>
  <c r="AI100" i="18" s="1"/>
  <c r="AA100" i="18"/>
  <c r="Z100" i="18"/>
  <c r="Y100" i="18"/>
  <c r="X100" i="18"/>
  <c r="AE100" i="18" s="1"/>
  <c r="W100" i="18"/>
  <c r="AH100" i="18" s="1"/>
  <c r="AC99" i="18"/>
  <c r="AB99" i="18"/>
  <c r="AI99" i="18" s="1"/>
  <c r="AA99" i="18"/>
  <c r="Z99" i="18"/>
  <c r="Y99" i="18"/>
  <c r="X99" i="18"/>
  <c r="AE99" i="18" s="1"/>
  <c r="W99" i="18"/>
  <c r="AH99" i="18" s="1"/>
  <c r="AC98" i="18"/>
  <c r="AB98" i="18"/>
  <c r="AI98" i="18" s="1"/>
  <c r="AA98" i="18"/>
  <c r="Z98" i="18"/>
  <c r="Y98" i="18"/>
  <c r="X98" i="18"/>
  <c r="AE98" i="18" s="1"/>
  <c r="W98" i="18"/>
  <c r="AH98" i="18" s="1"/>
  <c r="AC97" i="18"/>
  <c r="AB97" i="18"/>
  <c r="AI97" i="18" s="1"/>
  <c r="AA97" i="18"/>
  <c r="Z97" i="18"/>
  <c r="Y97" i="18"/>
  <c r="X97" i="18"/>
  <c r="AE97" i="18" s="1"/>
  <c r="W97" i="18"/>
  <c r="AH97" i="18" s="1"/>
  <c r="AC96" i="18"/>
  <c r="AB96" i="18"/>
  <c r="AI96" i="18" s="1"/>
  <c r="AA96" i="18"/>
  <c r="Z96" i="18"/>
  <c r="Y96" i="18"/>
  <c r="X96" i="18"/>
  <c r="AE96" i="18" s="1"/>
  <c r="W96" i="18"/>
  <c r="AH96" i="18" s="1"/>
  <c r="AC95" i="18"/>
  <c r="AB95" i="18"/>
  <c r="AI95" i="18" s="1"/>
  <c r="AA95" i="18"/>
  <c r="Z95" i="18"/>
  <c r="Y95" i="18"/>
  <c r="X95" i="18"/>
  <c r="AE95" i="18" s="1"/>
  <c r="W95" i="18"/>
  <c r="AH95" i="18" s="1"/>
  <c r="AC94" i="18"/>
  <c r="AB94" i="18"/>
  <c r="AI94" i="18" s="1"/>
  <c r="AA94" i="18"/>
  <c r="Z94" i="18"/>
  <c r="Y94" i="18"/>
  <c r="X94" i="18"/>
  <c r="AE94" i="18" s="1"/>
  <c r="W94" i="18"/>
  <c r="AH94" i="18" s="1"/>
  <c r="AC93" i="18"/>
  <c r="AB93" i="18"/>
  <c r="AI93" i="18" s="1"/>
  <c r="AA93" i="18"/>
  <c r="Z93" i="18"/>
  <c r="Y93" i="18"/>
  <c r="X93" i="18"/>
  <c r="AD93" i="18" s="1"/>
  <c r="W93" i="18"/>
  <c r="AH93" i="18" s="1"/>
  <c r="AC92" i="18"/>
  <c r="AB92" i="18"/>
  <c r="AI92" i="18" s="1"/>
  <c r="AA92" i="18"/>
  <c r="Z92" i="18"/>
  <c r="Y92" i="18"/>
  <c r="X92" i="18"/>
  <c r="AE92" i="18" s="1"/>
  <c r="W92" i="18"/>
  <c r="AC91" i="18"/>
  <c r="AB91" i="18"/>
  <c r="AI91" i="18" s="1"/>
  <c r="AA91" i="18"/>
  <c r="Z91" i="18"/>
  <c r="Y91" i="18"/>
  <c r="X91" i="18"/>
  <c r="AE91" i="18" s="1"/>
  <c r="W91" i="18"/>
  <c r="AH91" i="18" s="1"/>
  <c r="AC90" i="18"/>
  <c r="AB90" i="18"/>
  <c r="AI90" i="18" s="1"/>
  <c r="AA90" i="18"/>
  <c r="Z90" i="18"/>
  <c r="Y90" i="18"/>
  <c r="X90" i="18"/>
  <c r="AE90" i="18" s="1"/>
  <c r="W90" i="18"/>
  <c r="AH90" i="18" s="1"/>
  <c r="AC89" i="18"/>
  <c r="AB89" i="18"/>
  <c r="AI89" i="18" s="1"/>
  <c r="AA89" i="18"/>
  <c r="Z89" i="18"/>
  <c r="Y89" i="18"/>
  <c r="X89" i="18"/>
  <c r="AE89" i="18" s="1"/>
  <c r="W89" i="18"/>
  <c r="AH89" i="18" s="1"/>
  <c r="AC88" i="18"/>
  <c r="AB88" i="18"/>
  <c r="AI88" i="18" s="1"/>
  <c r="AA88" i="18"/>
  <c r="Z88" i="18"/>
  <c r="Y88" i="18"/>
  <c r="X88" i="18"/>
  <c r="AE88" i="18" s="1"/>
  <c r="W88" i="18"/>
  <c r="AH88" i="18" s="1"/>
  <c r="AC87" i="18"/>
  <c r="AB87" i="18"/>
  <c r="AI87" i="18" s="1"/>
  <c r="AA87" i="18"/>
  <c r="Z87" i="18"/>
  <c r="Y87" i="18"/>
  <c r="X87" i="18"/>
  <c r="AE87" i="18" s="1"/>
  <c r="W87" i="18"/>
  <c r="AH87" i="18" s="1"/>
  <c r="AC86" i="18"/>
  <c r="AB86" i="18"/>
  <c r="AI86" i="18" s="1"/>
  <c r="AA86" i="18"/>
  <c r="Z86" i="18"/>
  <c r="Y86" i="18"/>
  <c r="X86" i="18"/>
  <c r="AE86" i="18" s="1"/>
  <c r="W86" i="18"/>
  <c r="AC85" i="18"/>
  <c r="AB85" i="18"/>
  <c r="AI85" i="18" s="1"/>
  <c r="AA85" i="18"/>
  <c r="Z85" i="18"/>
  <c r="Y85" i="18"/>
  <c r="X85" i="18"/>
  <c r="AE85" i="18" s="1"/>
  <c r="W85" i="18"/>
  <c r="AH85" i="18" s="1"/>
  <c r="AC84" i="18"/>
  <c r="AB84" i="18"/>
  <c r="AI84" i="18" s="1"/>
  <c r="AA84" i="18"/>
  <c r="Z84" i="18"/>
  <c r="Y84" i="18"/>
  <c r="X84" i="18"/>
  <c r="AE84" i="18" s="1"/>
  <c r="W84" i="18"/>
  <c r="AH84" i="18" s="1"/>
  <c r="AC83" i="18"/>
  <c r="AB83" i="18"/>
  <c r="AI83" i="18" s="1"/>
  <c r="AA83" i="18"/>
  <c r="Z83" i="18"/>
  <c r="Y83" i="18"/>
  <c r="X83" i="18"/>
  <c r="AE83" i="18" s="1"/>
  <c r="W83" i="18"/>
  <c r="AH83" i="18" s="1"/>
  <c r="AC82" i="18"/>
  <c r="AB82" i="18"/>
  <c r="AI82" i="18" s="1"/>
  <c r="AA82" i="18"/>
  <c r="Z82" i="18"/>
  <c r="Y82" i="18"/>
  <c r="X82" i="18"/>
  <c r="AE82" i="18" s="1"/>
  <c r="W82" i="18"/>
  <c r="AH82" i="18" s="1"/>
  <c r="AC81" i="18"/>
  <c r="AB81" i="18"/>
  <c r="AI81" i="18" s="1"/>
  <c r="AA81" i="18"/>
  <c r="Z81" i="18"/>
  <c r="Y81" i="18"/>
  <c r="X81" i="18"/>
  <c r="AD81" i="18" s="1"/>
  <c r="W81" i="18"/>
  <c r="AH81" i="18" s="1"/>
  <c r="AC80" i="18"/>
  <c r="AB80" i="18"/>
  <c r="AI80" i="18" s="1"/>
  <c r="AA80" i="18"/>
  <c r="Z80" i="18"/>
  <c r="Y80" i="18"/>
  <c r="X80" i="18"/>
  <c r="AE80" i="18" s="1"/>
  <c r="W80" i="18"/>
  <c r="AC79" i="18"/>
  <c r="AB79" i="18"/>
  <c r="AI79" i="18" s="1"/>
  <c r="AA79" i="18"/>
  <c r="Z79" i="18"/>
  <c r="Y79" i="18"/>
  <c r="X79" i="18"/>
  <c r="AE79" i="18" s="1"/>
  <c r="W79" i="18"/>
  <c r="AH79" i="18" s="1"/>
  <c r="AC78" i="18"/>
  <c r="AB78" i="18"/>
  <c r="AI78" i="18" s="1"/>
  <c r="AA78" i="18"/>
  <c r="Z78" i="18"/>
  <c r="Y78" i="18"/>
  <c r="X78" i="18"/>
  <c r="AE78" i="18" s="1"/>
  <c r="W78" i="18"/>
  <c r="AH78" i="18" s="1"/>
  <c r="AC77" i="18"/>
  <c r="AB77" i="18"/>
  <c r="AI77" i="18" s="1"/>
  <c r="AA77" i="18"/>
  <c r="Z77" i="18"/>
  <c r="Y77" i="18"/>
  <c r="X77" i="18"/>
  <c r="AE77" i="18" s="1"/>
  <c r="W77" i="18"/>
  <c r="AH77" i="18" s="1"/>
  <c r="AC76" i="18"/>
  <c r="AB76" i="18"/>
  <c r="AI76" i="18" s="1"/>
  <c r="AA76" i="18"/>
  <c r="Z76" i="18"/>
  <c r="Y76" i="18"/>
  <c r="X76" i="18"/>
  <c r="AE76" i="18" s="1"/>
  <c r="W76" i="18"/>
  <c r="AH76" i="18" s="1"/>
  <c r="AC75" i="18"/>
  <c r="AB75" i="18"/>
  <c r="AI75" i="18" s="1"/>
  <c r="AA75" i="18"/>
  <c r="Z75" i="18"/>
  <c r="Y75" i="18"/>
  <c r="X75" i="18"/>
  <c r="AE75" i="18" s="1"/>
  <c r="W75" i="18"/>
  <c r="AH75" i="18" s="1"/>
  <c r="AC74" i="18"/>
  <c r="AB74" i="18"/>
  <c r="AI74" i="18" s="1"/>
  <c r="AA74" i="18"/>
  <c r="Z74" i="18"/>
  <c r="Y74" i="18"/>
  <c r="X74" i="18"/>
  <c r="AE74" i="18" s="1"/>
  <c r="W74" i="18"/>
  <c r="AC73" i="18"/>
  <c r="AB73" i="18"/>
  <c r="AI73" i="18" s="1"/>
  <c r="AA73" i="18"/>
  <c r="Z73" i="18"/>
  <c r="Y73" i="18"/>
  <c r="X73" i="18"/>
  <c r="AE73" i="18" s="1"/>
  <c r="W73" i="18"/>
  <c r="AH73" i="18" s="1"/>
  <c r="AC72" i="18"/>
  <c r="AB72" i="18"/>
  <c r="AI72" i="18" s="1"/>
  <c r="AA72" i="18"/>
  <c r="Z72" i="18"/>
  <c r="Y72" i="18"/>
  <c r="X72" i="18"/>
  <c r="AE72" i="18" s="1"/>
  <c r="W72" i="18"/>
  <c r="AH72" i="18" s="1"/>
  <c r="AC71" i="18"/>
  <c r="AB71" i="18"/>
  <c r="AI71" i="18" s="1"/>
  <c r="AA71" i="18"/>
  <c r="Z71" i="18"/>
  <c r="Y71" i="18"/>
  <c r="X71" i="18"/>
  <c r="AE71" i="18" s="1"/>
  <c r="W71" i="18"/>
  <c r="AH71" i="18" s="1"/>
  <c r="AH70" i="18"/>
  <c r="AC70" i="18"/>
  <c r="AB70" i="18"/>
  <c r="AI70" i="18" s="1"/>
  <c r="AA70" i="18"/>
  <c r="Z70" i="18"/>
  <c r="Y70" i="18"/>
  <c r="X70" i="18"/>
  <c r="AE70" i="18" s="1"/>
  <c r="W70" i="18"/>
  <c r="AC69" i="18"/>
  <c r="AB69" i="18"/>
  <c r="AI69" i="18" s="1"/>
  <c r="AA69" i="18"/>
  <c r="Z69" i="18"/>
  <c r="Y69" i="18"/>
  <c r="X69" i="18"/>
  <c r="AD69" i="18" s="1"/>
  <c r="W69" i="18"/>
  <c r="AH69" i="18" s="1"/>
  <c r="AC68" i="18"/>
  <c r="AB68" i="18"/>
  <c r="AI68" i="18" s="1"/>
  <c r="AA68" i="18"/>
  <c r="Z68" i="18"/>
  <c r="Y68" i="18"/>
  <c r="X68" i="18"/>
  <c r="AE68" i="18" s="1"/>
  <c r="W68" i="18"/>
  <c r="AC67" i="18"/>
  <c r="AB67" i="18"/>
  <c r="AI67" i="18" s="1"/>
  <c r="AA67" i="18"/>
  <c r="Z67" i="18"/>
  <c r="Y67" i="18"/>
  <c r="X67" i="18"/>
  <c r="AE67" i="18" s="1"/>
  <c r="W67" i="18"/>
  <c r="AH67" i="18" s="1"/>
  <c r="AC66" i="18"/>
  <c r="AB66" i="18"/>
  <c r="AI66" i="18" s="1"/>
  <c r="AA66" i="18"/>
  <c r="Z66" i="18"/>
  <c r="Y66" i="18"/>
  <c r="X66" i="18"/>
  <c r="AE66" i="18" s="1"/>
  <c r="W66" i="18"/>
  <c r="AH66" i="18" s="1"/>
  <c r="AC65" i="18"/>
  <c r="AB65" i="18"/>
  <c r="AI65" i="18" s="1"/>
  <c r="AA65" i="18"/>
  <c r="Z65" i="18"/>
  <c r="Y65" i="18"/>
  <c r="X65" i="18"/>
  <c r="AE65" i="18" s="1"/>
  <c r="W65" i="18"/>
  <c r="AH65" i="18" s="1"/>
  <c r="AC64" i="18"/>
  <c r="AB64" i="18"/>
  <c r="AI64" i="18" s="1"/>
  <c r="AA64" i="18"/>
  <c r="Z64" i="18"/>
  <c r="Y64" i="18"/>
  <c r="X64" i="18"/>
  <c r="AE64" i="18" s="1"/>
  <c r="W64" i="18"/>
  <c r="AH64" i="18" s="1"/>
  <c r="AC63" i="18"/>
  <c r="AB63" i="18"/>
  <c r="AI63" i="18" s="1"/>
  <c r="AA63" i="18"/>
  <c r="Z63" i="18"/>
  <c r="Y63" i="18"/>
  <c r="X63" i="18"/>
  <c r="AE63" i="18" s="1"/>
  <c r="W63" i="18"/>
  <c r="AH63" i="18" s="1"/>
  <c r="AC62" i="18"/>
  <c r="AB62" i="18"/>
  <c r="AI62" i="18" s="1"/>
  <c r="AA62" i="18"/>
  <c r="Z62" i="18"/>
  <c r="Y62" i="18"/>
  <c r="X62" i="18"/>
  <c r="AE62" i="18" s="1"/>
  <c r="W62" i="18"/>
  <c r="AC61" i="18"/>
  <c r="AB61" i="18"/>
  <c r="AI61" i="18" s="1"/>
  <c r="AA61" i="18"/>
  <c r="Z61" i="18"/>
  <c r="Y61" i="18"/>
  <c r="X61" i="18"/>
  <c r="AE61" i="18" s="1"/>
  <c r="W61" i="18"/>
  <c r="AH61" i="18" s="1"/>
  <c r="AH60" i="18"/>
  <c r="AC60" i="18"/>
  <c r="AB60" i="18"/>
  <c r="AI60" i="18" s="1"/>
  <c r="AA60" i="18"/>
  <c r="Z60" i="18"/>
  <c r="Y60" i="18"/>
  <c r="X60" i="18"/>
  <c r="AE60" i="18" s="1"/>
  <c r="W60" i="18"/>
  <c r="AC59" i="18"/>
  <c r="AB59" i="18"/>
  <c r="AI59" i="18" s="1"/>
  <c r="AA59" i="18"/>
  <c r="Z59" i="18"/>
  <c r="Y59" i="18"/>
  <c r="X59" i="18"/>
  <c r="AE59" i="18" s="1"/>
  <c r="W59" i="18"/>
  <c r="AH59" i="18" s="1"/>
  <c r="AC58" i="18"/>
  <c r="AB58" i="18"/>
  <c r="AI58" i="18" s="1"/>
  <c r="AA58" i="18"/>
  <c r="Z58" i="18"/>
  <c r="Y58" i="18"/>
  <c r="X58" i="18"/>
  <c r="AE58" i="18" s="1"/>
  <c r="W58" i="18"/>
  <c r="AH58" i="18" s="1"/>
  <c r="AC57" i="18"/>
  <c r="AB57" i="18"/>
  <c r="AI57" i="18" s="1"/>
  <c r="AA57" i="18"/>
  <c r="Z57" i="18"/>
  <c r="Y57" i="18"/>
  <c r="X57" i="18"/>
  <c r="AD57" i="18" s="1"/>
  <c r="W57" i="18"/>
  <c r="AH57" i="18" s="1"/>
  <c r="AC56" i="18"/>
  <c r="AB56" i="18"/>
  <c r="AI56" i="18" s="1"/>
  <c r="AA56" i="18"/>
  <c r="Z56" i="18"/>
  <c r="Y56" i="18"/>
  <c r="X56" i="18"/>
  <c r="AE56" i="18" s="1"/>
  <c r="W56" i="18"/>
  <c r="AC55" i="18"/>
  <c r="AB55" i="18"/>
  <c r="AI55" i="18" s="1"/>
  <c r="AA55" i="18"/>
  <c r="Z55" i="18"/>
  <c r="Y55" i="18"/>
  <c r="X55" i="18"/>
  <c r="AE55" i="18" s="1"/>
  <c r="W55" i="18"/>
  <c r="AH55" i="18" s="1"/>
  <c r="AC54" i="18"/>
  <c r="AB54" i="18"/>
  <c r="AI54" i="18" s="1"/>
  <c r="AA54" i="18"/>
  <c r="Z54" i="18"/>
  <c r="Y54" i="18"/>
  <c r="X54" i="18"/>
  <c r="AE54" i="18" s="1"/>
  <c r="W54" i="18"/>
  <c r="AH54" i="18" s="1"/>
  <c r="AC53" i="18"/>
  <c r="AB53" i="18"/>
  <c r="AI53" i="18" s="1"/>
  <c r="AA53" i="18"/>
  <c r="Z53" i="18"/>
  <c r="Y53" i="18"/>
  <c r="X53" i="18"/>
  <c r="AE53" i="18" s="1"/>
  <c r="W53" i="18"/>
  <c r="AH53" i="18" s="1"/>
  <c r="AC52" i="18"/>
  <c r="AB52" i="18"/>
  <c r="AI52" i="18" s="1"/>
  <c r="AA52" i="18"/>
  <c r="Z52" i="18"/>
  <c r="Y52" i="18"/>
  <c r="X52" i="18"/>
  <c r="AE52" i="18" s="1"/>
  <c r="W52" i="18"/>
  <c r="AH52" i="18" s="1"/>
  <c r="AC51" i="18"/>
  <c r="AB51" i="18"/>
  <c r="AI51" i="18" s="1"/>
  <c r="AA51" i="18"/>
  <c r="Z51" i="18"/>
  <c r="Y51" i="18"/>
  <c r="X51" i="18"/>
  <c r="AE51" i="18" s="1"/>
  <c r="W51" i="18"/>
  <c r="AH51" i="18" s="1"/>
  <c r="AC50" i="18"/>
  <c r="AB50" i="18"/>
  <c r="AI50" i="18" s="1"/>
  <c r="AA50" i="18"/>
  <c r="Z50" i="18"/>
  <c r="Y50" i="18"/>
  <c r="X50" i="18"/>
  <c r="AE50" i="18" s="1"/>
  <c r="W50" i="18"/>
  <c r="AC49" i="18"/>
  <c r="AB49" i="18"/>
  <c r="AI49" i="18" s="1"/>
  <c r="AA49" i="18"/>
  <c r="Z49" i="18"/>
  <c r="Y49" i="18"/>
  <c r="X49" i="18"/>
  <c r="AE49" i="18" s="1"/>
  <c r="W49" i="18"/>
  <c r="AH49" i="18" s="1"/>
  <c r="AC48" i="18"/>
  <c r="AB48" i="18"/>
  <c r="AI48" i="18" s="1"/>
  <c r="AA48" i="18"/>
  <c r="Z48" i="18"/>
  <c r="Y48" i="18"/>
  <c r="X48" i="18"/>
  <c r="AE48" i="18" s="1"/>
  <c r="W48" i="18"/>
  <c r="AH48" i="18" s="1"/>
  <c r="AC47" i="18"/>
  <c r="AB47" i="18"/>
  <c r="AI47" i="18" s="1"/>
  <c r="AA47" i="18"/>
  <c r="Z47" i="18"/>
  <c r="Y47" i="18"/>
  <c r="X47" i="18"/>
  <c r="AE47" i="18" s="1"/>
  <c r="W47" i="18"/>
  <c r="AH47" i="18" s="1"/>
  <c r="AC46" i="18"/>
  <c r="AB46" i="18"/>
  <c r="AI46" i="18" s="1"/>
  <c r="AA46" i="18"/>
  <c r="Z46" i="18"/>
  <c r="Y46" i="18"/>
  <c r="X46" i="18"/>
  <c r="AE46" i="18" s="1"/>
  <c r="W46" i="18"/>
  <c r="AH46" i="18" s="1"/>
  <c r="AC45" i="18"/>
  <c r="AB45" i="18"/>
  <c r="AI45" i="18" s="1"/>
  <c r="AA45" i="18"/>
  <c r="Z45" i="18"/>
  <c r="Y45" i="18"/>
  <c r="X45" i="18"/>
  <c r="AD45" i="18" s="1"/>
  <c r="W45" i="18"/>
  <c r="AH45" i="18" s="1"/>
  <c r="AC44" i="18"/>
  <c r="AB44" i="18"/>
  <c r="AI44" i="18" s="1"/>
  <c r="AA44" i="18"/>
  <c r="Z44" i="18"/>
  <c r="Y44" i="18"/>
  <c r="X44" i="18"/>
  <c r="AE44" i="18" s="1"/>
  <c r="W44" i="18"/>
  <c r="AH43" i="18"/>
  <c r="AC43" i="18"/>
  <c r="AB43" i="18"/>
  <c r="AI43" i="18" s="1"/>
  <c r="AA43" i="18"/>
  <c r="Z43" i="18"/>
  <c r="Y43" i="18"/>
  <c r="X43" i="18"/>
  <c r="AE43" i="18" s="1"/>
  <c r="W43" i="18"/>
  <c r="AC42" i="18"/>
  <c r="AB42" i="18"/>
  <c r="AI42" i="18" s="1"/>
  <c r="AA42" i="18"/>
  <c r="Z42" i="18"/>
  <c r="Y42" i="18"/>
  <c r="X42" i="18"/>
  <c r="AE42" i="18" s="1"/>
  <c r="W42" i="18"/>
  <c r="AH42" i="18" s="1"/>
  <c r="AC41" i="18"/>
  <c r="AB41" i="18"/>
  <c r="AI41" i="18" s="1"/>
  <c r="AA41" i="18"/>
  <c r="Z41" i="18"/>
  <c r="Y41" i="18"/>
  <c r="X41" i="18"/>
  <c r="AE41" i="18" s="1"/>
  <c r="W41" i="18"/>
  <c r="AH41" i="18" s="1"/>
  <c r="AC40" i="18"/>
  <c r="AB40" i="18"/>
  <c r="AI40" i="18" s="1"/>
  <c r="AA40" i="18"/>
  <c r="Z40" i="18"/>
  <c r="Y40" i="18"/>
  <c r="X40" i="18"/>
  <c r="AE40" i="18" s="1"/>
  <c r="W40" i="18"/>
  <c r="AH40" i="18" s="1"/>
  <c r="AC39" i="18"/>
  <c r="AB39" i="18"/>
  <c r="AI39" i="18" s="1"/>
  <c r="AA39" i="18"/>
  <c r="Z39" i="18"/>
  <c r="Y39" i="18"/>
  <c r="X39" i="18"/>
  <c r="AE39" i="18" s="1"/>
  <c r="W39" i="18"/>
  <c r="AH39" i="18" s="1"/>
  <c r="AC38" i="18"/>
  <c r="AB38" i="18"/>
  <c r="AI38" i="18" s="1"/>
  <c r="AA38" i="18"/>
  <c r="Z38" i="18"/>
  <c r="Y38" i="18"/>
  <c r="X38" i="18"/>
  <c r="AE38" i="18" s="1"/>
  <c r="W38" i="18"/>
  <c r="AC37" i="18"/>
  <c r="AB37" i="18"/>
  <c r="AI37" i="18" s="1"/>
  <c r="AA37" i="18"/>
  <c r="Z37" i="18"/>
  <c r="Y37" i="18"/>
  <c r="X37" i="18"/>
  <c r="AE37" i="18" s="1"/>
  <c r="W37" i="18"/>
  <c r="AH37" i="18" s="1"/>
  <c r="AC36" i="18"/>
  <c r="AB36" i="18"/>
  <c r="AI36" i="18" s="1"/>
  <c r="AA36" i="18"/>
  <c r="Z36" i="18"/>
  <c r="Y36" i="18"/>
  <c r="X36" i="18"/>
  <c r="AE36" i="18" s="1"/>
  <c r="W36" i="18"/>
  <c r="AH36" i="18" s="1"/>
  <c r="AC35" i="18"/>
  <c r="AB35" i="18"/>
  <c r="AI35" i="18" s="1"/>
  <c r="AA35" i="18"/>
  <c r="Z35" i="18"/>
  <c r="Y35" i="18"/>
  <c r="X35" i="18"/>
  <c r="AE35" i="18" s="1"/>
  <c r="W35" i="18"/>
  <c r="AH35" i="18" s="1"/>
  <c r="AC34" i="18"/>
  <c r="AB34" i="18"/>
  <c r="AI34" i="18" s="1"/>
  <c r="AA34" i="18"/>
  <c r="Z34" i="18"/>
  <c r="Y34" i="18"/>
  <c r="X34" i="18"/>
  <c r="AE34" i="18" s="1"/>
  <c r="W34" i="18"/>
  <c r="AH34" i="18" s="1"/>
  <c r="AC33" i="18"/>
  <c r="AB33" i="18"/>
  <c r="AI33" i="18" s="1"/>
  <c r="AA33" i="18"/>
  <c r="Z33" i="18"/>
  <c r="Y33" i="18"/>
  <c r="X33" i="18"/>
  <c r="AE33" i="18" s="1"/>
  <c r="W33" i="18"/>
  <c r="AH33" i="18" s="1"/>
  <c r="AC32" i="18"/>
  <c r="AB32" i="18"/>
  <c r="AI32" i="18" s="1"/>
  <c r="AA32" i="18"/>
  <c r="Z32" i="18"/>
  <c r="Y32" i="18"/>
  <c r="X32" i="18"/>
  <c r="AE32" i="18" s="1"/>
  <c r="W32" i="18"/>
  <c r="AC31" i="18"/>
  <c r="AB31" i="18"/>
  <c r="AI31" i="18" s="1"/>
  <c r="AA31" i="18"/>
  <c r="Z31" i="18"/>
  <c r="Y31" i="18"/>
  <c r="X31" i="18"/>
  <c r="AE31" i="18" s="1"/>
  <c r="W31" i="18"/>
  <c r="AH31" i="18" s="1"/>
  <c r="AC30" i="18"/>
  <c r="AB30" i="18"/>
  <c r="AI30" i="18" s="1"/>
  <c r="AA30" i="18"/>
  <c r="Z30" i="18"/>
  <c r="Y30" i="18"/>
  <c r="X30" i="18"/>
  <c r="AE30" i="18" s="1"/>
  <c r="W30" i="18"/>
  <c r="AH30" i="18" s="1"/>
  <c r="AC29" i="18"/>
  <c r="AB29" i="18"/>
  <c r="AI29" i="18" s="1"/>
  <c r="AA29" i="18"/>
  <c r="Z29" i="18"/>
  <c r="Y29" i="18"/>
  <c r="X29" i="18"/>
  <c r="AE29" i="18" s="1"/>
  <c r="W29" i="18"/>
  <c r="AH29" i="18" s="1"/>
  <c r="AC28" i="18"/>
  <c r="AB28" i="18"/>
  <c r="AI28" i="18" s="1"/>
  <c r="AA28" i="18"/>
  <c r="Z28" i="18"/>
  <c r="Y28" i="18"/>
  <c r="X28" i="18"/>
  <c r="AE28" i="18" s="1"/>
  <c r="W28" i="18"/>
  <c r="AH28" i="18" s="1"/>
  <c r="AC27" i="18"/>
  <c r="AB27" i="18"/>
  <c r="AI27" i="18" s="1"/>
  <c r="AA27" i="18"/>
  <c r="Z27" i="18"/>
  <c r="Y27" i="18"/>
  <c r="X27" i="18"/>
  <c r="AE27" i="18" s="1"/>
  <c r="W27" i="18"/>
  <c r="AH27" i="18" s="1"/>
  <c r="AC26" i="18"/>
  <c r="AB26" i="18"/>
  <c r="AI26" i="18" s="1"/>
  <c r="AA26" i="18"/>
  <c r="Z26" i="18"/>
  <c r="Y26" i="18"/>
  <c r="X26" i="18"/>
  <c r="AE26" i="18" s="1"/>
  <c r="W26" i="18"/>
  <c r="AH26" i="18" s="1"/>
  <c r="AC25" i="18"/>
  <c r="AB25" i="18"/>
  <c r="AI25" i="18" s="1"/>
  <c r="AA25" i="18"/>
  <c r="Z25" i="18"/>
  <c r="Y25" i="18"/>
  <c r="X25" i="18"/>
  <c r="AE25" i="18" s="1"/>
  <c r="W25" i="18"/>
  <c r="AH25" i="18" s="1"/>
  <c r="AC24" i="18"/>
  <c r="AB24" i="18"/>
  <c r="AI24" i="18" s="1"/>
  <c r="AA24" i="18"/>
  <c r="Z24" i="18"/>
  <c r="Y24" i="18"/>
  <c r="X24" i="18"/>
  <c r="AE24" i="18" s="1"/>
  <c r="W24" i="18"/>
  <c r="AH24" i="18" s="1"/>
  <c r="AC23" i="18"/>
  <c r="AB23" i="18"/>
  <c r="AI23" i="18" s="1"/>
  <c r="AA23" i="18"/>
  <c r="Z23" i="18"/>
  <c r="Y23" i="18"/>
  <c r="X23" i="18"/>
  <c r="AE23" i="18" s="1"/>
  <c r="W23" i="18"/>
  <c r="AH23" i="18" s="1"/>
  <c r="AC22" i="18"/>
  <c r="AB22" i="18"/>
  <c r="AI22" i="18" s="1"/>
  <c r="AA22" i="18"/>
  <c r="Z22" i="18"/>
  <c r="Y22" i="18"/>
  <c r="X22" i="18"/>
  <c r="AE22" i="18" s="1"/>
  <c r="W22" i="18"/>
  <c r="AH22" i="18" s="1"/>
  <c r="AC21" i="18"/>
  <c r="AB21" i="18"/>
  <c r="AI21" i="18" s="1"/>
  <c r="AA21" i="18"/>
  <c r="Z21" i="18"/>
  <c r="Y21" i="18"/>
  <c r="X21" i="18"/>
  <c r="AE21" i="18" s="1"/>
  <c r="W21" i="18"/>
  <c r="AH21" i="18" s="1"/>
  <c r="AC20" i="18"/>
  <c r="AB20" i="18"/>
  <c r="AI20" i="18" s="1"/>
  <c r="AA20" i="18"/>
  <c r="Z20" i="18"/>
  <c r="Y20" i="18"/>
  <c r="X20" i="18"/>
  <c r="AE20" i="18" s="1"/>
  <c r="W20" i="18"/>
  <c r="AH20" i="18" s="1"/>
  <c r="AC19" i="18"/>
  <c r="AB19" i="18"/>
  <c r="AI19" i="18" s="1"/>
  <c r="AA19" i="18"/>
  <c r="Z19" i="18"/>
  <c r="Y19" i="18"/>
  <c r="X19" i="18"/>
  <c r="AE19" i="18" s="1"/>
  <c r="W19" i="18"/>
  <c r="AH19" i="18" s="1"/>
  <c r="AC18" i="18"/>
  <c r="AB18" i="18"/>
  <c r="AI18" i="18" s="1"/>
  <c r="AA18" i="18"/>
  <c r="Z18" i="18"/>
  <c r="Y18" i="18"/>
  <c r="X18" i="18"/>
  <c r="AE18" i="18" s="1"/>
  <c r="W18" i="18"/>
  <c r="AH18" i="18" s="1"/>
  <c r="AC17" i="18"/>
  <c r="AB17" i="18"/>
  <c r="AI17" i="18" s="1"/>
  <c r="AA17" i="18"/>
  <c r="Z17" i="18"/>
  <c r="Y17" i="18"/>
  <c r="X17" i="18"/>
  <c r="AE17" i="18" s="1"/>
  <c r="W17" i="18"/>
  <c r="AH17" i="18" s="1"/>
  <c r="AC16" i="18"/>
  <c r="AB16" i="18"/>
  <c r="AI16" i="18" s="1"/>
  <c r="AA16" i="18"/>
  <c r="Z16" i="18"/>
  <c r="Y16" i="18"/>
  <c r="X16" i="18"/>
  <c r="AE16" i="18" s="1"/>
  <c r="W16" i="18"/>
  <c r="AH16" i="18" s="1"/>
  <c r="AC15" i="18"/>
  <c r="AB15" i="18"/>
  <c r="AI15" i="18" s="1"/>
  <c r="AA15" i="18"/>
  <c r="Z15" i="18"/>
  <c r="Y15" i="18"/>
  <c r="X15" i="18"/>
  <c r="AE15" i="18" s="1"/>
  <c r="W15" i="18"/>
  <c r="AH15" i="18" s="1"/>
  <c r="AC14" i="18"/>
  <c r="AB14" i="18"/>
  <c r="AI14" i="18" s="1"/>
  <c r="AA14" i="18"/>
  <c r="Z14" i="18"/>
  <c r="Y14" i="18"/>
  <c r="X14" i="18"/>
  <c r="AE14" i="18" s="1"/>
  <c r="W14" i="18"/>
  <c r="AH14" i="18" s="1"/>
  <c r="AC13" i="18"/>
  <c r="AB13" i="18"/>
  <c r="AI13" i="18" s="1"/>
  <c r="AA13" i="18"/>
  <c r="Z13" i="18"/>
  <c r="Y13" i="18"/>
  <c r="X13" i="18"/>
  <c r="AE13" i="18" s="1"/>
  <c r="W13" i="18"/>
  <c r="AH13" i="18" s="1"/>
  <c r="AC12" i="18"/>
  <c r="AB12" i="18"/>
  <c r="AI12" i="18" s="1"/>
  <c r="AA12" i="18"/>
  <c r="Z12" i="18"/>
  <c r="Y12" i="18"/>
  <c r="X12" i="18"/>
  <c r="AE12" i="18" s="1"/>
  <c r="W12" i="18"/>
  <c r="AH12" i="18" s="1"/>
  <c r="AC11" i="18"/>
  <c r="AB11" i="18"/>
  <c r="AI11" i="18" s="1"/>
  <c r="AA11" i="18"/>
  <c r="Z11" i="18"/>
  <c r="Y11" i="18"/>
  <c r="X11" i="18"/>
  <c r="W11" i="18"/>
  <c r="AH11" i="18" s="1"/>
  <c r="AC10" i="18"/>
  <c r="AB10" i="18"/>
  <c r="AI10" i="18" s="1"/>
  <c r="AA10" i="18"/>
  <c r="Z10" i="18"/>
  <c r="Y10" i="18"/>
  <c r="X10" i="18"/>
  <c r="AE10" i="18" s="1"/>
  <c r="W10" i="18"/>
  <c r="AH10" i="18" s="1"/>
  <c r="AC9" i="18"/>
  <c r="AB9" i="18"/>
  <c r="AI9" i="18" s="1"/>
  <c r="AA9" i="18"/>
  <c r="Z9" i="18"/>
  <c r="Y9" i="18"/>
  <c r="X9" i="18"/>
  <c r="AD9" i="18" s="1"/>
  <c r="W9" i="18"/>
  <c r="AH9" i="18" s="1"/>
  <c r="AC8" i="18"/>
  <c r="AB8" i="18"/>
  <c r="AI8" i="18" s="1"/>
  <c r="AA8" i="18"/>
  <c r="Z8" i="18"/>
  <c r="Y8" i="18"/>
  <c r="X8" i="18"/>
  <c r="AE8" i="18" s="1"/>
  <c r="W8" i="18"/>
  <c r="AH8" i="18" s="1"/>
  <c r="AC7" i="18"/>
  <c r="AB7" i="18"/>
  <c r="AI7" i="18" s="1"/>
  <c r="AA7" i="18"/>
  <c r="Z7" i="18"/>
  <c r="Y7" i="18"/>
  <c r="X7" i="18"/>
  <c r="AE7" i="18" s="1"/>
  <c r="W7" i="18"/>
  <c r="AH7" i="18" s="1"/>
  <c r="AC6" i="18"/>
  <c r="AB6" i="18"/>
  <c r="AI6" i="18" s="1"/>
  <c r="AA6" i="18"/>
  <c r="Z6" i="18"/>
  <c r="Y6" i="18"/>
  <c r="X6" i="18"/>
  <c r="AE6" i="18" s="1"/>
  <c r="W6" i="18"/>
  <c r="AH6" i="18" s="1"/>
  <c r="AC5" i="18"/>
  <c r="AB5" i="18"/>
  <c r="AI5" i="18" s="1"/>
  <c r="AA5" i="18"/>
  <c r="Z5" i="18"/>
  <c r="Y5" i="18"/>
  <c r="X5" i="18"/>
  <c r="W5" i="18"/>
  <c r="AH5" i="18" s="1"/>
  <c r="AC4" i="18"/>
  <c r="AB4" i="18"/>
  <c r="AI4" i="18" s="1"/>
  <c r="AA4" i="18"/>
  <c r="Z4" i="18"/>
  <c r="Y4" i="18"/>
  <c r="X4" i="18"/>
  <c r="AE4" i="18" s="1"/>
  <c r="W4" i="18"/>
  <c r="AH4" i="18" s="1"/>
  <c r="AC3" i="18"/>
  <c r="AB3" i="18"/>
  <c r="AI3" i="18" s="1"/>
  <c r="AA3" i="18"/>
  <c r="Z3" i="18"/>
  <c r="Y3" i="18"/>
  <c r="X3" i="18"/>
  <c r="W3" i="18"/>
  <c r="AH3" i="18" s="1"/>
  <c r="AC1" i="18"/>
  <c r="AB1" i="18"/>
  <c r="AI1" i="18" s="1"/>
  <c r="AA1" i="18"/>
  <c r="Z1" i="18"/>
  <c r="Y1" i="18"/>
  <c r="X1" i="18"/>
  <c r="W1" i="18"/>
  <c r="AH1" i="18" s="1"/>
  <c r="AF2" i="17"/>
  <c r="U376" i="17"/>
  <c r="AF376" i="17" s="1"/>
  <c r="V376" i="17"/>
  <c r="W376" i="17"/>
  <c r="X376" i="17"/>
  <c r="Y376" i="17"/>
  <c r="Z376" i="17"/>
  <c r="AA376" i="17"/>
  <c r="U377" i="17"/>
  <c r="AF377" i="17" s="1"/>
  <c r="V377" i="17"/>
  <c r="W377" i="17"/>
  <c r="X377" i="17"/>
  <c r="Y377" i="17"/>
  <c r="Z377" i="17"/>
  <c r="AA377" i="17"/>
  <c r="U378" i="17"/>
  <c r="AF378" i="17" s="1"/>
  <c r="V378" i="17"/>
  <c r="W378" i="17"/>
  <c r="X378" i="17"/>
  <c r="Y378" i="17"/>
  <c r="Z378" i="17"/>
  <c r="AA378" i="17"/>
  <c r="U379" i="17"/>
  <c r="AF379" i="17" s="1"/>
  <c r="V379" i="17"/>
  <c r="W379" i="17"/>
  <c r="X379" i="17"/>
  <c r="Y379" i="17"/>
  <c r="Z379" i="17"/>
  <c r="AA379" i="17"/>
  <c r="U380" i="17"/>
  <c r="AF380" i="17" s="1"/>
  <c r="V380" i="17"/>
  <c r="W380" i="17"/>
  <c r="X380" i="17"/>
  <c r="Y380" i="17"/>
  <c r="Z380" i="17"/>
  <c r="AA380" i="17"/>
  <c r="U381" i="17"/>
  <c r="AF381" i="17" s="1"/>
  <c r="V381" i="17"/>
  <c r="W381" i="17"/>
  <c r="X381" i="17"/>
  <c r="Y381" i="17"/>
  <c r="Z381" i="17"/>
  <c r="AA381" i="17"/>
  <c r="U382" i="17"/>
  <c r="AF382" i="17" s="1"/>
  <c r="V382" i="17"/>
  <c r="W382" i="17"/>
  <c r="X382" i="17"/>
  <c r="Y382" i="17"/>
  <c r="Z382" i="17"/>
  <c r="AA382" i="17"/>
  <c r="U383" i="17"/>
  <c r="AF383" i="17" s="1"/>
  <c r="V383" i="17"/>
  <c r="W383" i="17"/>
  <c r="X383" i="17"/>
  <c r="Y383" i="17"/>
  <c r="Z383" i="17"/>
  <c r="AA383" i="17"/>
  <c r="U384" i="17"/>
  <c r="AF384" i="17" s="1"/>
  <c r="V384" i="17"/>
  <c r="W384" i="17"/>
  <c r="X384" i="17"/>
  <c r="Y384" i="17"/>
  <c r="Z384" i="17"/>
  <c r="AA384" i="17"/>
  <c r="U385" i="17"/>
  <c r="AF385" i="17" s="1"/>
  <c r="V385" i="17"/>
  <c r="W385" i="17"/>
  <c r="X385" i="17"/>
  <c r="Y385" i="17"/>
  <c r="Z385" i="17"/>
  <c r="AA385" i="17"/>
  <c r="U386" i="17"/>
  <c r="AF386" i="17" s="1"/>
  <c r="V386" i="17"/>
  <c r="W386" i="17"/>
  <c r="X386" i="17"/>
  <c r="Y386" i="17"/>
  <c r="Z386" i="17"/>
  <c r="AA386" i="17"/>
  <c r="U387" i="17"/>
  <c r="AF387" i="17" s="1"/>
  <c r="V387" i="17"/>
  <c r="W387" i="17"/>
  <c r="X387" i="17"/>
  <c r="Y387" i="17"/>
  <c r="Z387" i="17"/>
  <c r="AA387" i="17"/>
  <c r="U388" i="17"/>
  <c r="AF388" i="17" s="1"/>
  <c r="V388" i="17"/>
  <c r="W388" i="17"/>
  <c r="X388" i="17"/>
  <c r="Y388" i="17"/>
  <c r="Z388" i="17"/>
  <c r="AA388" i="17"/>
  <c r="U389" i="17"/>
  <c r="AF389" i="17" s="1"/>
  <c r="V389" i="17"/>
  <c r="W389" i="17"/>
  <c r="X389" i="17"/>
  <c r="Y389" i="17"/>
  <c r="Z389" i="17"/>
  <c r="AA389" i="17"/>
  <c r="U390" i="17"/>
  <c r="AF390" i="17" s="1"/>
  <c r="V390" i="17"/>
  <c r="W390" i="17"/>
  <c r="X390" i="17"/>
  <c r="Y390" i="17"/>
  <c r="Z390" i="17"/>
  <c r="AA390" i="17"/>
  <c r="U391" i="17"/>
  <c r="AF391" i="17" s="1"/>
  <c r="V391" i="17"/>
  <c r="W391" i="17"/>
  <c r="X391" i="17"/>
  <c r="Y391" i="17"/>
  <c r="Z391" i="17"/>
  <c r="AA391" i="17"/>
  <c r="U392" i="17"/>
  <c r="AF392" i="17" s="1"/>
  <c r="V392" i="17"/>
  <c r="W392" i="17"/>
  <c r="X392" i="17"/>
  <c r="Y392" i="17"/>
  <c r="Z392" i="17"/>
  <c r="AA392" i="17"/>
  <c r="U393" i="17"/>
  <c r="AF393" i="17" s="1"/>
  <c r="V393" i="17"/>
  <c r="W393" i="17"/>
  <c r="X393" i="17"/>
  <c r="Y393" i="17"/>
  <c r="Z393" i="17"/>
  <c r="AA393" i="17"/>
  <c r="U394" i="17"/>
  <c r="AF394" i="17" s="1"/>
  <c r="V394" i="17"/>
  <c r="W394" i="17"/>
  <c r="X394" i="17"/>
  <c r="Y394" i="17"/>
  <c r="Z394" i="17"/>
  <c r="AA394" i="17"/>
  <c r="U395" i="17"/>
  <c r="AF395" i="17" s="1"/>
  <c r="V395" i="17"/>
  <c r="W395" i="17"/>
  <c r="X395" i="17"/>
  <c r="Y395" i="17"/>
  <c r="Z395" i="17"/>
  <c r="AA395" i="17"/>
  <c r="U396" i="17"/>
  <c r="AF396" i="17" s="1"/>
  <c r="V396" i="17"/>
  <c r="W396" i="17"/>
  <c r="X396" i="17"/>
  <c r="Y396" i="17"/>
  <c r="Z396" i="17"/>
  <c r="AA396" i="17"/>
  <c r="U397" i="17"/>
  <c r="AF397" i="17" s="1"/>
  <c r="V397" i="17"/>
  <c r="W397" i="17"/>
  <c r="X397" i="17"/>
  <c r="Y397" i="17"/>
  <c r="Z397" i="17"/>
  <c r="AA397" i="17"/>
  <c r="U398" i="17"/>
  <c r="AF398" i="17" s="1"/>
  <c r="V398" i="17"/>
  <c r="W398" i="17"/>
  <c r="X398" i="17"/>
  <c r="Y398" i="17"/>
  <c r="Z398" i="17"/>
  <c r="AA398" i="17"/>
  <c r="U399" i="17"/>
  <c r="AF399" i="17" s="1"/>
  <c r="V399" i="17"/>
  <c r="W399" i="17"/>
  <c r="X399" i="17"/>
  <c r="Y399" i="17"/>
  <c r="Z399" i="17"/>
  <c r="AA399" i="17"/>
  <c r="U400" i="17"/>
  <c r="AF400" i="17" s="1"/>
  <c r="V400" i="17"/>
  <c r="W400" i="17"/>
  <c r="X400" i="17"/>
  <c r="Y400" i="17"/>
  <c r="Z400" i="17"/>
  <c r="AA400" i="17"/>
  <c r="U401" i="17"/>
  <c r="AF401" i="17" s="1"/>
  <c r="V401" i="17"/>
  <c r="W401" i="17"/>
  <c r="X401" i="17"/>
  <c r="Y401" i="17"/>
  <c r="Z401" i="17"/>
  <c r="AA401" i="17"/>
  <c r="U402" i="17"/>
  <c r="AF402" i="17" s="1"/>
  <c r="V402" i="17"/>
  <c r="W402" i="17"/>
  <c r="X402" i="17"/>
  <c r="Y402" i="17"/>
  <c r="Z402" i="17"/>
  <c r="AA402" i="17"/>
  <c r="U403" i="17"/>
  <c r="AF403" i="17" s="1"/>
  <c r="V403" i="17"/>
  <c r="W403" i="17"/>
  <c r="X403" i="17"/>
  <c r="Y403" i="17"/>
  <c r="Z403" i="17"/>
  <c r="AA403" i="17"/>
  <c r="U404" i="17"/>
  <c r="AF404" i="17" s="1"/>
  <c r="V404" i="17"/>
  <c r="W404" i="17"/>
  <c r="X404" i="17"/>
  <c r="Y404" i="17"/>
  <c r="Z404" i="17"/>
  <c r="AA404" i="17"/>
  <c r="U405" i="17"/>
  <c r="AF405" i="17" s="1"/>
  <c r="V405" i="17"/>
  <c r="W405" i="17"/>
  <c r="X405" i="17"/>
  <c r="Y405" i="17"/>
  <c r="Z405" i="17"/>
  <c r="AA405" i="17"/>
  <c r="U406" i="17"/>
  <c r="AF406" i="17" s="1"/>
  <c r="V406" i="17"/>
  <c r="W406" i="17"/>
  <c r="X406" i="17"/>
  <c r="Y406" i="17"/>
  <c r="Z406" i="17"/>
  <c r="AA406" i="17"/>
  <c r="U407" i="17"/>
  <c r="AF407" i="17" s="1"/>
  <c r="V407" i="17"/>
  <c r="W407" i="17"/>
  <c r="X407" i="17"/>
  <c r="Y407" i="17"/>
  <c r="Z407" i="17"/>
  <c r="AA407" i="17"/>
  <c r="U408" i="17"/>
  <c r="AF408" i="17" s="1"/>
  <c r="V408" i="17"/>
  <c r="W408" i="17"/>
  <c r="X408" i="17"/>
  <c r="Y408" i="17"/>
  <c r="Z408" i="17"/>
  <c r="AA408" i="17"/>
  <c r="U409" i="17"/>
  <c r="AF409" i="17" s="1"/>
  <c r="V409" i="17"/>
  <c r="W409" i="17"/>
  <c r="X409" i="17"/>
  <c r="Y409" i="17"/>
  <c r="Z409" i="17"/>
  <c r="AA409" i="17"/>
  <c r="U410" i="17"/>
  <c r="AF410" i="17" s="1"/>
  <c r="V410" i="17"/>
  <c r="W410" i="17"/>
  <c r="X410" i="17"/>
  <c r="Y410" i="17"/>
  <c r="Z410" i="17"/>
  <c r="AA410" i="17"/>
  <c r="U411" i="17"/>
  <c r="AF411" i="17" s="1"/>
  <c r="V411" i="17"/>
  <c r="W411" i="17"/>
  <c r="X411" i="17"/>
  <c r="Y411" i="17"/>
  <c r="Z411" i="17"/>
  <c r="AA411" i="17"/>
  <c r="U412" i="17"/>
  <c r="AF412" i="17" s="1"/>
  <c r="V412" i="17"/>
  <c r="W412" i="17"/>
  <c r="X412" i="17"/>
  <c r="Y412" i="17"/>
  <c r="Z412" i="17"/>
  <c r="AA412" i="17"/>
  <c r="U413" i="17"/>
  <c r="AF413" i="17" s="1"/>
  <c r="V413" i="17"/>
  <c r="W413" i="17"/>
  <c r="X413" i="17"/>
  <c r="Y413" i="17"/>
  <c r="Z413" i="17"/>
  <c r="AA413" i="17"/>
  <c r="U414" i="17"/>
  <c r="AF414" i="17" s="1"/>
  <c r="V414" i="17"/>
  <c r="W414" i="17"/>
  <c r="X414" i="17"/>
  <c r="Y414" i="17"/>
  <c r="Z414" i="17"/>
  <c r="AA414" i="17"/>
  <c r="U415" i="17"/>
  <c r="AF415" i="17" s="1"/>
  <c r="V415" i="17"/>
  <c r="W415" i="17"/>
  <c r="X415" i="17"/>
  <c r="Y415" i="17"/>
  <c r="Z415" i="17"/>
  <c r="AA415" i="17"/>
  <c r="U416" i="17"/>
  <c r="AF416" i="17" s="1"/>
  <c r="V416" i="17"/>
  <c r="W416" i="17"/>
  <c r="X416" i="17"/>
  <c r="Y416" i="17"/>
  <c r="Z416" i="17"/>
  <c r="AA416" i="17"/>
  <c r="U417" i="17"/>
  <c r="AF417" i="17" s="1"/>
  <c r="V417" i="17"/>
  <c r="W417" i="17"/>
  <c r="X417" i="17"/>
  <c r="Y417" i="17"/>
  <c r="Z417" i="17"/>
  <c r="AA417" i="17"/>
  <c r="U418" i="17"/>
  <c r="AF418" i="17" s="1"/>
  <c r="V418" i="17"/>
  <c r="W418" i="17"/>
  <c r="X418" i="17"/>
  <c r="Y418" i="17"/>
  <c r="Z418" i="17"/>
  <c r="AA418" i="17"/>
  <c r="U419" i="17"/>
  <c r="AF419" i="17" s="1"/>
  <c r="V419" i="17"/>
  <c r="W419" i="17"/>
  <c r="X419" i="17"/>
  <c r="Y419" i="17"/>
  <c r="Z419" i="17"/>
  <c r="AA419" i="17"/>
  <c r="U420" i="17"/>
  <c r="AF420" i="17" s="1"/>
  <c r="V420" i="17"/>
  <c r="W420" i="17"/>
  <c r="X420" i="17"/>
  <c r="Y420" i="17"/>
  <c r="Z420" i="17"/>
  <c r="AA420" i="17"/>
  <c r="U421" i="17"/>
  <c r="AF421" i="17" s="1"/>
  <c r="V421" i="17"/>
  <c r="W421" i="17"/>
  <c r="X421" i="17"/>
  <c r="Y421" i="17"/>
  <c r="Z421" i="17"/>
  <c r="AA421" i="17"/>
  <c r="U422" i="17"/>
  <c r="AF422" i="17" s="1"/>
  <c r="V422" i="17"/>
  <c r="W422" i="17"/>
  <c r="X422" i="17"/>
  <c r="Y422" i="17"/>
  <c r="Z422" i="17"/>
  <c r="AA422" i="17"/>
  <c r="U423" i="17"/>
  <c r="AF423" i="17" s="1"/>
  <c r="V423" i="17"/>
  <c r="W423" i="17"/>
  <c r="X423" i="17"/>
  <c r="Y423" i="17"/>
  <c r="Z423" i="17"/>
  <c r="AA423" i="17"/>
  <c r="U424" i="17"/>
  <c r="AF424" i="17" s="1"/>
  <c r="V424" i="17"/>
  <c r="W424" i="17"/>
  <c r="X424" i="17"/>
  <c r="Y424" i="17"/>
  <c r="Z424" i="17"/>
  <c r="AA424" i="17"/>
  <c r="U425" i="17"/>
  <c r="AF425" i="17" s="1"/>
  <c r="V425" i="17"/>
  <c r="W425" i="17"/>
  <c r="X425" i="17"/>
  <c r="Y425" i="17"/>
  <c r="Z425" i="17"/>
  <c r="AA425" i="17"/>
  <c r="U426" i="17"/>
  <c r="AF426" i="17" s="1"/>
  <c r="V426" i="17"/>
  <c r="W426" i="17"/>
  <c r="X426" i="17"/>
  <c r="Y426" i="17"/>
  <c r="Z426" i="17"/>
  <c r="AA426" i="17"/>
  <c r="U427" i="17"/>
  <c r="AF427" i="17" s="1"/>
  <c r="V427" i="17"/>
  <c r="W427" i="17"/>
  <c r="X427" i="17"/>
  <c r="Y427" i="17"/>
  <c r="Z427" i="17"/>
  <c r="AA427" i="17"/>
  <c r="U428" i="17"/>
  <c r="AF428" i="17" s="1"/>
  <c r="V428" i="17"/>
  <c r="W428" i="17"/>
  <c r="X428" i="17"/>
  <c r="Y428" i="17"/>
  <c r="Z428" i="17"/>
  <c r="AA428" i="17"/>
  <c r="U429" i="17"/>
  <c r="AF429" i="17" s="1"/>
  <c r="V429" i="17"/>
  <c r="W429" i="17"/>
  <c r="X429" i="17"/>
  <c r="Y429" i="17"/>
  <c r="Z429" i="17"/>
  <c r="AA429" i="17"/>
  <c r="U430" i="17"/>
  <c r="AF430" i="17" s="1"/>
  <c r="V430" i="17"/>
  <c r="W430" i="17"/>
  <c r="X430" i="17"/>
  <c r="Y430" i="17"/>
  <c r="Z430" i="17"/>
  <c r="AA430" i="17"/>
  <c r="U431" i="17"/>
  <c r="AF431" i="17" s="1"/>
  <c r="V431" i="17"/>
  <c r="W431" i="17"/>
  <c r="X431" i="17"/>
  <c r="Y431" i="17"/>
  <c r="Z431" i="17"/>
  <c r="AA431" i="17"/>
  <c r="U432" i="17"/>
  <c r="AF432" i="17" s="1"/>
  <c r="V432" i="17"/>
  <c r="W432" i="17"/>
  <c r="X432" i="17"/>
  <c r="Y432" i="17"/>
  <c r="Z432" i="17"/>
  <c r="AA432" i="17"/>
  <c r="U433" i="17"/>
  <c r="AF433" i="17" s="1"/>
  <c r="V433" i="17"/>
  <c r="W433" i="17"/>
  <c r="X433" i="17"/>
  <c r="Y433" i="17"/>
  <c r="Z433" i="17"/>
  <c r="AA433" i="17"/>
  <c r="U434" i="17"/>
  <c r="AF434" i="17" s="1"/>
  <c r="V434" i="17"/>
  <c r="W434" i="17"/>
  <c r="X434" i="17"/>
  <c r="Y434" i="17"/>
  <c r="Z434" i="17"/>
  <c r="AA434" i="17"/>
  <c r="U435" i="17"/>
  <c r="AF435" i="17" s="1"/>
  <c r="V435" i="17"/>
  <c r="W435" i="17"/>
  <c r="X435" i="17"/>
  <c r="Y435" i="17"/>
  <c r="Z435" i="17"/>
  <c r="AA435" i="17"/>
  <c r="U436" i="17"/>
  <c r="AF436" i="17" s="1"/>
  <c r="V436" i="17"/>
  <c r="W436" i="17"/>
  <c r="X436" i="17"/>
  <c r="Y436" i="17"/>
  <c r="Z436" i="17"/>
  <c r="AA436" i="17"/>
  <c r="U437" i="17"/>
  <c r="AF437" i="17" s="1"/>
  <c r="V437" i="17"/>
  <c r="W437" i="17"/>
  <c r="X437" i="17"/>
  <c r="Y437" i="17"/>
  <c r="Z437" i="17"/>
  <c r="AA437" i="17"/>
  <c r="U438" i="17"/>
  <c r="AF438" i="17" s="1"/>
  <c r="V438" i="17"/>
  <c r="W438" i="17"/>
  <c r="X438" i="17"/>
  <c r="Y438" i="17"/>
  <c r="Z438" i="17"/>
  <c r="AA438" i="17"/>
  <c r="U439" i="17"/>
  <c r="AF439" i="17" s="1"/>
  <c r="V439" i="17"/>
  <c r="W439" i="17"/>
  <c r="X439" i="17"/>
  <c r="Y439" i="17"/>
  <c r="Z439" i="17"/>
  <c r="AA439" i="17"/>
  <c r="U440" i="17"/>
  <c r="AF440" i="17" s="1"/>
  <c r="V440" i="17"/>
  <c r="W440" i="17"/>
  <c r="X440" i="17"/>
  <c r="Y440" i="17"/>
  <c r="Z440" i="17"/>
  <c r="AA440" i="17"/>
  <c r="U441" i="17"/>
  <c r="AF441" i="17" s="1"/>
  <c r="V441" i="17"/>
  <c r="W441" i="17"/>
  <c r="X441" i="17"/>
  <c r="Y441" i="17"/>
  <c r="Z441" i="17"/>
  <c r="AA441" i="17"/>
  <c r="U442" i="17"/>
  <c r="AF442" i="17" s="1"/>
  <c r="V442" i="17"/>
  <c r="W442" i="17"/>
  <c r="X442" i="17"/>
  <c r="Y442" i="17"/>
  <c r="Z442" i="17"/>
  <c r="AA442" i="17"/>
  <c r="U443" i="17"/>
  <c r="AF443" i="17" s="1"/>
  <c r="V443" i="17"/>
  <c r="W443" i="17"/>
  <c r="X443" i="17"/>
  <c r="Y443" i="17"/>
  <c r="Z443" i="17"/>
  <c r="AA443" i="17"/>
  <c r="U444" i="17"/>
  <c r="AF444" i="17" s="1"/>
  <c r="V444" i="17"/>
  <c r="W444" i="17"/>
  <c r="X444" i="17"/>
  <c r="Y444" i="17"/>
  <c r="Z444" i="17"/>
  <c r="AA444" i="17"/>
  <c r="U445" i="17"/>
  <c r="AF445" i="17" s="1"/>
  <c r="V445" i="17"/>
  <c r="W445" i="17"/>
  <c r="X445" i="17"/>
  <c r="Y445" i="17"/>
  <c r="Z445" i="17"/>
  <c r="AA445" i="17"/>
  <c r="U446" i="17"/>
  <c r="AF446" i="17" s="1"/>
  <c r="V446" i="17"/>
  <c r="W446" i="17"/>
  <c r="X446" i="17"/>
  <c r="Y446" i="17"/>
  <c r="Z446" i="17"/>
  <c r="AA446" i="17"/>
  <c r="U447" i="17"/>
  <c r="AF447" i="17" s="1"/>
  <c r="V447" i="17"/>
  <c r="W447" i="17"/>
  <c r="X447" i="17"/>
  <c r="Y447" i="17"/>
  <c r="Z447" i="17"/>
  <c r="AA447" i="17"/>
  <c r="U448" i="17"/>
  <c r="AF448" i="17" s="1"/>
  <c r="V448" i="17"/>
  <c r="W448" i="17"/>
  <c r="X448" i="17"/>
  <c r="Y448" i="17"/>
  <c r="Z448" i="17"/>
  <c r="AA448" i="17"/>
  <c r="U449" i="17"/>
  <c r="AF449" i="17" s="1"/>
  <c r="V449" i="17"/>
  <c r="W449" i="17"/>
  <c r="X449" i="17"/>
  <c r="Y449" i="17"/>
  <c r="Z449" i="17"/>
  <c r="AA449" i="17"/>
  <c r="U450" i="17"/>
  <c r="AF450" i="17" s="1"/>
  <c r="V450" i="17"/>
  <c r="W450" i="17"/>
  <c r="X450" i="17"/>
  <c r="Y450" i="17"/>
  <c r="Z450" i="17"/>
  <c r="AA450" i="17"/>
  <c r="U451" i="17"/>
  <c r="AF451" i="17" s="1"/>
  <c r="V451" i="17"/>
  <c r="W451" i="17"/>
  <c r="X451" i="17"/>
  <c r="Y451" i="17"/>
  <c r="Z451" i="17"/>
  <c r="AA451" i="17"/>
  <c r="U452" i="17"/>
  <c r="AF452" i="17" s="1"/>
  <c r="V452" i="17"/>
  <c r="W452" i="17"/>
  <c r="X452" i="17"/>
  <c r="Y452" i="17"/>
  <c r="Z452" i="17"/>
  <c r="AA452" i="17"/>
  <c r="U453" i="17"/>
  <c r="AF453" i="17" s="1"/>
  <c r="V453" i="17"/>
  <c r="W453" i="17"/>
  <c r="X453" i="17"/>
  <c r="Y453" i="17"/>
  <c r="Z453" i="17"/>
  <c r="AA453" i="17"/>
  <c r="U454" i="17"/>
  <c r="AF454" i="17" s="1"/>
  <c r="V454" i="17"/>
  <c r="W454" i="17"/>
  <c r="X454" i="17"/>
  <c r="Y454" i="17"/>
  <c r="Z454" i="17"/>
  <c r="AA454" i="17"/>
  <c r="U455" i="17"/>
  <c r="AF455" i="17" s="1"/>
  <c r="V455" i="17"/>
  <c r="W455" i="17"/>
  <c r="X455" i="17"/>
  <c r="Y455" i="17"/>
  <c r="Z455" i="17"/>
  <c r="AA455" i="17"/>
  <c r="U456" i="17"/>
  <c r="AF456" i="17" s="1"/>
  <c r="V456" i="17"/>
  <c r="W456" i="17"/>
  <c r="X456" i="17"/>
  <c r="Y456" i="17"/>
  <c r="Z456" i="17"/>
  <c r="AA456" i="17"/>
  <c r="U457" i="17"/>
  <c r="AF457" i="17" s="1"/>
  <c r="V457" i="17"/>
  <c r="W457" i="17"/>
  <c r="X457" i="17"/>
  <c r="Y457" i="17"/>
  <c r="Z457" i="17"/>
  <c r="AA457" i="17"/>
  <c r="U458" i="17"/>
  <c r="AF458" i="17" s="1"/>
  <c r="V458" i="17"/>
  <c r="W458" i="17"/>
  <c r="X458" i="17"/>
  <c r="Y458" i="17"/>
  <c r="Z458" i="17"/>
  <c r="AA458" i="17"/>
  <c r="U459" i="17"/>
  <c r="AF459" i="17" s="1"/>
  <c r="V459" i="17"/>
  <c r="W459" i="17"/>
  <c r="X459" i="17"/>
  <c r="Y459" i="17"/>
  <c r="Z459" i="17"/>
  <c r="AA459" i="17"/>
  <c r="U460" i="17"/>
  <c r="AF460" i="17" s="1"/>
  <c r="V460" i="17"/>
  <c r="W460" i="17"/>
  <c r="X460" i="17"/>
  <c r="Y460" i="17"/>
  <c r="Z460" i="17"/>
  <c r="AA460" i="17"/>
  <c r="U461" i="17"/>
  <c r="AF461" i="17" s="1"/>
  <c r="V461" i="17"/>
  <c r="W461" i="17"/>
  <c r="X461" i="17"/>
  <c r="Y461" i="17"/>
  <c r="Z461" i="17"/>
  <c r="AA461" i="17"/>
  <c r="U462" i="17"/>
  <c r="AF462" i="17" s="1"/>
  <c r="V462" i="17"/>
  <c r="W462" i="17"/>
  <c r="X462" i="17"/>
  <c r="Y462" i="17"/>
  <c r="Z462" i="17"/>
  <c r="AA462" i="17"/>
  <c r="U463" i="17"/>
  <c r="AF463" i="17" s="1"/>
  <c r="V463" i="17"/>
  <c r="W463" i="17"/>
  <c r="X463" i="17"/>
  <c r="Y463" i="17"/>
  <c r="Z463" i="17"/>
  <c r="AA463" i="17"/>
  <c r="U464" i="17"/>
  <c r="AF464" i="17" s="1"/>
  <c r="V464" i="17"/>
  <c r="W464" i="17"/>
  <c r="X464" i="17"/>
  <c r="Y464" i="17"/>
  <c r="Z464" i="17"/>
  <c r="AA464" i="17"/>
  <c r="U465" i="17"/>
  <c r="AF465" i="17" s="1"/>
  <c r="V465" i="17"/>
  <c r="W465" i="17"/>
  <c r="X465" i="17"/>
  <c r="Y465" i="17"/>
  <c r="Z465" i="17"/>
  <c r="AA465" i="17"/>
  <c r="U466" i="17"/>
  <c r="AF466" i="17" s="1"/>
  <c r="V466" i="17"/>
  <c r="W466" i="17"/>
  <c r="X466" i="17"/>
  <c r="Y466" i="17"/>
  <c r="Z466" i="17"/>
  <c r="AA466" i="17"/>
  <c r="U467" i="17"/>
  <c r="AF467" i="17" s="1"/>
  <c r="V467" i="17"/>
  <c r="W467" i="17"/>
  <c r="X467" i="17"/>
  <c r="Y467" i="17"/>
  <c r="Z467" i="17"/>
  <c r="AA467" i="17"/>
  <c r="U468" i="17"/>
  <c r="AF468" i="17" s="1"/>
  <c r="V468" i="17"/>
  <c r="W468" i="17"/>
  <c r="X468" i="17"/>
  <c r="Y468" i="17"/>
  <c r="Z468" i="17"/>
  <c r="AA468" i="17"/>
  <c r="U469" i="17"/>
  <c r="AF469" i="17" s="1"/>
  <c r="V469" i="17"/>
  <c r="W469" i="17"/>
  <c r="X469" i="17"/>
  <c r="Y469" i="17"/>
  <c r="Z469" i="17"/>
  <c r="AA469" i="17"/>
  <c r="U470" i="17"/>
  <c r="AF470" i="17" s="1"/>
  <c r="V470" i="17"/>
  <c r="W470" i="17"/>
  <c r="X470" i="17"/>
  <c r="Y470" i="17"/>
  <c r="Z470" i="17"/>
  <c r="AA470" i="17"/>
  <c r="U471" i="17"/>
  <c r="AF471" i="17" s="1"/>
  <c r="V471" i="17"/>
  <c r="W471" i="17"/>
  <c r="X471" i="17"/>
  <c r="Y471" i="17"/>
  <c r="Z471" i="17"/>
  <c r="AA471" i="17"/>
  <c r="U472" i="17"/>
  <c r="AF472" i="17" s="1"/>
  <c r="V472" i="17"/>
  <c r="W472" i="17"/>
  <c r="X472" i="17"/>
  <c r="Y472" i="17"/>
  <c r="Z472" i="17"/>
  <c r="AA472" i="17"/>
  <c r="U473" i="17"/>
  <c r="AF473" i="17" s="1"/>
  <c r="V473" i="17"/>
  <c r="W473" i="17"/>
  <c r="X473" i="17"/>
  <c r="Y473" i="17"/>
  <c r="Z473" i="17"/>
  <c r="AA473" i="17"/>
  <c r="U474" i="17"/>
  <c r="AF474" i="17" s="1"/>
  <c r="V474" i="17"/>
  <c r="W474" i="17"/>
  <c r="X474" i="17"/>
  <c r="Y474" i="17"/>
  <c r="Z474" i="17"/>
  <c r="AA474" i="17"/>
  <c r="U475" i="17"/>
  <c r="AF475" i="17" s="1"/>
  <c r="V475" i="17"/>
  <c r="W475" i="17"/>
  <c r="X475" i="17"/>
  <c r="Y475" i="17"/>
  <c r="Z475" i="17"/>
  <c r="AA475" i="17"/>
  <c r="U476" i="17"/>
  <c r="AF476" i="17" s="1"/>
  <c r="V476" i="17"/>
  <c r="W476" i="17"/>
  <c r="X476" i="17"/>
  <c r="Y476" i="17"/>
  <c r="Z476" i="17"/>
  <c r="AA476" i="17"/>
  <c r="U477" i="17"/>
  <c r="AF477" i="17" s="1"/>
  <c r="V477" i="17"/>
  <c r="W477" i="17"/>
  <c r="X477" i="17"/>
  <c r="Y477" i="17"/>
  <c r="Z477" i="17"/>
  <c r="AA477" i="17"/>
  <c r="U478" i="17"/>
  <c r="AF478" i="17" s="1"/>
  <c r="V478" i="17"/>
  <c r="W478" i="17"/>
  <c r="X478" i="17"/>
  <c r="Y478" i="17"/>
  <c r="Z478" i="17"/>
  <c r="AA478" i="17"/>
  <c r="U479" i="17"/>
  <c r="AF479" i="17" s="1"/>
  <c r="V479" i="17"/>
  <c r="W479" i="17"/>
  <c r="X479" i="17"/>
  <c r="Y479" i="17"/>
  <c r="Z479" i="17"/>
  <c r="AA479" i="17"/>
  <c r="U480" i="17"/>
  <c r="AF480" i="17" s="1"/>
  <c r="V480" i="17"/>
  <c r="W480" i="17"/>
  <c r="X480" i="17"/>
  <c r="Y480" i="17"/>
  <c r="Z480" i="17"/>
  <c r="AA480" i="17"/>
  <c r="U481" i="17"/>
  <c r="AF481" i="17" s="1"/>
  <c r="V481" i="17"/>
  <c r="W481" i="17"/>
  <c r="X481" i="17"/>
  <c r="Y481" i="17"/>
  <c r="Z481" i="17"/>
  <c r="AA481" i="17"/>
  <c r="U482" i="17"/>
  <c r="AF482" i="17" s="1"/>
  <c r="V482" i="17"/>
  <c r="W482" i="17"/>
  <c r="X482" i="17"/>
  <c r="Y482" i="17"/>
  <c r="Z482" i="17"/>
  <c r="AA482" i="17"/>
  <c r="U483" i="17"/>
  <c r="AF483" i="17" s="1"/>
  <c r="V483" i="17"/>
  <c r="W483" i="17"/>
  <c r="X483" i="17"/>
  <c r="Y483" i="17"/>
  <c r="Z483" i="17"/>
  <c r="AA483" i="17"/>
  <c r="U484" i="17"/>
  <c r="AF484" i="17" s="1"/>
  <c r="V484" i="17"/>
  <c r="W484" i="17"/>
  <c r="X484" i="17"/>
  <c r="Y484" i="17"/>
  <c r="Z484" i="17"/>
  <c r="AA484" i="17"/>
  <c r="U485" i="17"/>
  <c r="AF485" i="17" s="1"/>
  <c r="V485" i="17"/>
  <c r="W485" i="17"/>
  <c r="X485" i="17"/>
  <c r="Y485" i="17"/>
  <c r="Z485" i="17"/>
  <c r="AA485" i="17"/>
  <c r="U486" i="17"/>
  <c r="AF486" i="17" s="1"/>
  <c r="V486" i="17"/>
  <c r="W486" i="17"/>
  <c r="X486" i="17"/>
  <c r="Y486" i="17"/>
  <c r="Z486" i="17"/>
  <c r="AA486" i="17"/>
  <c r="U487" i="17"/>
  <c r="AF487" i="17" s="1"/>
  <c r="V487" i="17"/>
  <c r="W487" i="17"/>
  <c r="X487" i="17"/>
  <c r="Y487" i="17"/>
  <c r="Z487" i="17"/>
  <c r="AA487" i="17"/>
  <c r="U488" i="17"/>
  <c r="AF488" i="17" s="1"/>
  <c r="V488" i="17"/>
  <c r="W488" i="17"/>
  <c r="X488" i="17"/>
  <c r="Y488" i="17"/>
  <c r="Z488" i="17"/>
  <c r="AA488" i="17"/>
  <c r="U489" i="17"/>
  <c r="AF489" i="17" s="1"/>
  <c r="V489" i="17"/>
  <c r="W489" i="17"/>
  <c r="X489" i="17"/>
  <c r="Y489" i="17"/>
  <c r="Z489" i="17"/>
  <c r="AA489" i="17"/>
  <c r="U490" i="17"/>
  <c r="AF490" i="17" s="1"/>
  <c r="V490" i="17"/>
  <c r="W490" i="17"/>
  <c r="X490" i="17"/>
  <c r="Y490" i="17"/>
  <c r="Z490" i="17"/>
  <c r="AA490" i="17"/>
  <c r="U491" i="17"/>
  <c r="AF491" i="17" s="1"/>
  <c r="V491" i="17"/>
  <c r="W491" i="17"/>
  <c r="X491" i="17"/>
  <c r="Y491" i="17"/>
  <c r="Z491" i="17"/>
  <c r="AA491" i="17"/>
  <c r="U492" i="17"/>
  <c r="AF492" i="17" s="1"/>
  <c r="V492" i="17"/>
  <c r="W492" i="17"/>
  <c r="X492" i="17"/>
  <c r="Y492" i="17"/>
  <c r="Z492" i="17"/>
  <c r="AA492" i="17"/>
  <c r="U493" i="17"/>
  <c r="AF493" i="17" s="1"/>
  <c r="V493" i="17"/>
  <c r="W493" i="17"/>
  <c r="X493" i="17"/>
  <c r="Y493" i="17"/>
  <c r="Z493" i="17"/>
  <c r="AA493" i="17"/>
  <c r="U494" i="17"/>
  <c r="AF494" i="17" s="1"/>
  <c r="V494" i="17"/>
  <c r="W494" i="17"/>
  <c r="X494" i="17"/>
  <c r="Y494" i="17"/>
  <c r="Z494" i="17"/>
  <c r="AA494" i="17"/>
  <c r="U495" i="17"/>
  <c r="AF495" i="17" s="1"/>
  <c r="V495" i="17"/>
  <c r="W495" i="17"/>
  <c r="X495" i="17"/>
  <c r="Y495" i="17"/>
  <c r="Z495" i="17"/>
  <c r="AA495" i="17"/>
  <c r="U496" i="17"/>
  <c r="AF496" i="17" s="1"/>
  <c r="V496" i="17"/>
  <c r="W496" i="17"/>
  <c r="X496" i="17"/>
  <c r="Y496" i="17"/>
  <c r="Z496" i="17"/>
  <c r="AA496" i="17"/>
  <c r="U497" i="17"/>
  <c r="AF497" i="17" s="1"/>
  <c r="V497" i="17"/>
  <c r="W497" i="17"/>
  <c r="X497" i="17"/>
  <c r="Y497" i="17"/>
  <c r="Z497" i="17"/>
  <c r="AA497" i="17"/>
  <c r="U498" i="17"/>
  <c r="AF498" i="17" s="1"/>
  <c r="V498" i="17"/>
  <c r="W498" i="17"/>
  <c r="X498" i="17"/>
  <c r="Y498" i="17"/>
  <c r="Z498" i="17"/>
  <c r="AA498" i="17"/>
  <c r="U499" i="17"/>
  <c r="AF499" i="17" s="1"/>
  <c r="V499" i="17"/>
  <c r="W499" i="17"/>
  <c r="X499" i="17"/>
  <c r="Y499" i="17"/>
  <c r="Z499" i="17"/>
  <c r="AA499" i="17"/>
  <c r="U500" i="17"/>
  <c r="AF500" i="17" s="1"/>
  <c r="V500" i="17"/>
  <c r="W500" i="17"/>
  <c r="X500" i="17"/>
  <c r="Y500" i="17"/>
  <c r="Z500" i="17"/>
  <c r="AA500" i="17"/>
  <c r="U501" i="17"/>
  <c r="AF501" i="17" s="1"/>
  <c r="V501" i="17"/>
  <c r="W501" i="17"/>
  <c r="X501" i="17"/>
  <c r="Y501" i="17"/>
  <c r="Z501" i="17"/>
  <c r="AA501" i="17"/>
  <c r="U502" i="17"/>
  <c r="AF502" i="17" s="1"/>
  <c r="V502" i="17"/>
  <c r="W502" i="17"/>
  <c r="X502" i="17"/>
  <c r="Y502" i="17"/>
  <c r="Z502" i="17"/>
  <c r="AA502" i="17"/>
  <c r="U503" i="17"/>
  <c r="AF503" i="17" s="1"/>
  <c r="V503" i="17"/>
  <c r="W503" i="17"/>
  <c r="X503" i="17"/>
  <c r="Y503" i="17"/>
  <c r="Z503" i="17"/>
  <c r="AA503" i="17"/>
  <c r="U504" i="17"/>
  <c r="AF504" i="17" s="1"/>
  <c r="V504" i="17"/>
  <c r="W504" i="17"/>
  <c r="X504" i="17"/>
  <c r="Y504" i="17"/>
  <c r="Z504" i="17"/>
  <c r="AA504" i="17"/>
  <c r="U505" i="17"/>
  <c r="AF505" i="17" s="1"/>
  <c r="V505" i="17"/>
  <c r="W505" i="17"/>
  <c r="X505" i="17"/>
  <c r="Y505" i="17"/>
  <c r="Z505" i="17"/>
  <c r="AA505" i="17"/>
  <c r="U506" i="17"/>
  <c r="AF506" i="17" s="1"/>
  <c r="V506" i="17"/>
  <c r="W506" i="17"/>
  <c r="X506" i="17"/>
  <c r="Y506" i="17"/>
  <c r="Z506" i="17"/>
  <c r="AA506" i="17"/>
  <c r="U19" i="17"/>
  <c r="AF19" i="17" s="1"/>
  <c r="V19" i="17"/>
  <c r="W19" i="17"/>
  <c r="X19" i="17"/>
  <c r="Y19" i="17"/>
  <c r="Z19" i="17"/>
  <c r="AA19" i="17"/>
  <c r="U20" i="17"/>
  <c r="AF20" i="17" s="1"/>
  <c r="V20" i="17"/>
  <c r="W20" i="17"/>
  <c r="X20" i="17"/>
  <c r="Y20" i="17"/>
  <c r="Z20" i="17"/>
  <c r="AA20" i="17"/>
  <c r="U21" i="17"/>
  <c r="AF21" i="17" s="1"/>
  <c r="V21" i="17"/>
  <c r="W21" i="17"/>
  <c r="X21" i="17"/>
  <c r="Y21" i="17"/>
  <c r="Z21" i="17"/>
  <c r="AA21" i="17"/>
  <c r="U22" i="17"/>
  <c r="AF22" i="17" s="1"/>
  <c r="V22" i="17"/>
  <c r="W22" i="17"/>
  <c r="X22" i="17"/>
  <c r="Y22" i="17"/>
  <c r="Z22" i="17"/>
  <c r="AA22" i="17"/>
  <c r="U23" i="17"/>
  <c r="AF23" i="17" s="1"/>
  <c r="V23" i="17"/>
  <c r="W23" i="17"/>
  <c r="X23" i="17"/>
  <c r="Y23" i="17"/>
  <c r="Z23" i="17"/>
  <c r="AA23" i="17"/>
  <c r="U24" i="17"/>
  <c r="AF24" i="17" s="1"/>
  <c r="V24" i="17"/>
  <c r="W24" i="17"/>
  <c r="X24" i="17"/>
  <c r="Y24" i="17"/>
  <c r="Z24" i="17"/>
  <c r="AA24" i="17"/>
  <c r="U25" i="17"/>
  <c r="AF25" i="17" s="1"/>
  <c r="V25" i="17"/>
  <c r="W25" i="17"/>
  <c r="X25" i="17"/>
  <c r="Y25" i="17"/>
  <c r="Z25" i="17"/>
  <c r="AA25" i="17"/>
  <c r="U26" i="17"/>
  <c r="AF26" i="17" s="1"/>
  <c r="V26" i="17"/>
  <c r="W26" i="17"/>
  <c r="X26" i="17"/>
  <c r="Y26" i="17"/>
  <c r="Z26" i="17"/>
  <c r="AA26" i="17"/>
  <c r="U27" i="17"/>
  <c r="AF27" i="17" s="1"/>
  <c r="V27" i="17"/>
  <c r="W27" i="17"/>
  <c r="X27" i="17"/>
  <c r="Y27" i="17"/>
  <c r="Z27" i="17"/>
  <c r="AA27" i="17"/>
  <c r="U28" i="17"/>
  <c r="AF28" i="17" s="1"/>
  <c r="V28" i="17"/>
  <c r="W28" i="17"/>
  <c r="X28" i="17"/>
  <c r="Y28" i="17"/>
  <c r="Z28" i="17"/>
  <c r="AA28" i="17"/>
  <c r="U29" i="17"/>
  <c r="AF29" i="17" s="1"/>
  <c r="V29" i="17"/>
  <c r="W29" i="17"/>
  <c r="X29" i="17"/>
  <c r="Y29" i="17"/>
  <c r="Z29" i="17"/>
  <c r="AA29" i="17"/>
  <c r="U30" i="17"/>
  <c r="AF30" i="17" s="1"/>
  <c r="V30" i="17"/>
  <c r="W30" i="17"/>
  <c r="X30" i="17"/>
  <c r="Y30" i="17"/>
  <c r="Z30" i="17"/>
  <c r="AA30" i="17"/>
  <c r="U31" i="17"/>
  <c r="AF31" i="17" s="1"/>
  <c r="V31" i="17"/>
  <c r="W31" i="17"/>
  <c r="X31" i="17"/>
  <c r="Y31" i="17"/>
  <c r="Z31" i="17"/>
  <c r="AA31" i="17"/>
  <c r="U32" i="17"/>
  <c r="AF32" i="17" s="1"/>
  <c r="V32" i="17"/>
  <c r="W32" i="17"/>
  <c r="X32" i="17"/>
  <c r="Y32" i="17"/>
  <c r="Z32" i="17"/>
  <c r="AA32" i="17"/>
  <c r="U33" i="17"/>
  <c r="AF33" i="17" s="1"/>
  <c r="V33" i="17"/>
  <c r="W33" i="17"/>
  <c r="X33" i="17"/>
  <c r="Y33" i="17"/>
  <c r="Z33" i="17"/>
  <c r="AA33" i="17"/>
  <c r="U34" i="17"/>
  <c r="AF34" i="17" s="1"/>
  <c r="V34" i="17"/>
  <c r="W34" i="17"/>
  <c r="X34" i="17"/>
  <c r="Y34" i="17"/>
  <c r="Z34" i="17"/>
  <c r="AA34" i="17"/>
  <c r="U35" i="17"/>
  <c r="AF35" i="17" s="1"/>
  <c r="V35" i="17"/>
  <c r="W35" i="17"/>
  <c r="X35" i="17"/>
  <c r="Y35" i="17"/>
  <c r="Z35" i="17"/>
  <c r="AA35" i="17"/>
  <c r="U36" i="17"/>
  <c r="AF36" i="17" s="1"/>
  <c r="V36" i="17"/>
  <c r="W36" i="17"/>
  <c r="X36" i="17"/>
  <c r="Y36" i="17"/>
  <c r="Z36" i="17"/>
  <c r="AA36" i="17"/>
  <c r="U37" i="17"/>
  <c r="AF37" i="17" s="1"/>
  <c r="V37" i="17"/>
  <c r="W37" i="17"/>
  <c r="X37" i="17"/>
  <c r="Y37" i="17"/>
  <c r="Z37" i="17"/>
  <c r="AA37" i="17"/>
  <c r="U38" i="17"/>
  <c r="AF38" i="17" s="1"/>
  <c r="V38" i="17"/>
  <c r="W38" i="17"/>
  <c r="X38" i="17"/>
  <c r="Y38" i="17"/>
  <c r="Z38" i="17"/>
  <c r="AA38" i="17"/>
  <c r="U39" i="17"/>
  <c r="AF39" i="17" s="1"/>
  <c r="V39" i="17"/>
  <c r="W39" i="17"/>
  <c r="X39" i="17"/>
  <c r="Y39" i="17"/>
  <c r="Z39" i="17"/>
  <c r="AA39" i="17"/>
  <c r="U40" i="17"/>
  <c r="AF40" i="17" s="1"/>
  <c r="V40" i="17"/>
  <c r="W40" i="17"/>
  <c r="X40" i="17"/>
  <c r="Y40" i="17"/>
  <c r="Z40" i="17"/>
  <c r="AA40" i="17"/>
  <c r="U41" i="17"/>
  <c r="AF41" i="17" s="1"/>
  <c r="V41" i="17"/>
  <c r="W41" i="17"/>
  <c r="X41" i="17"/>
  <c r="Y41" i="17"/>
  <c r="Z41" i="17"/>
  <c r="AA41" i="17"/>
  <c r="U42" i="17"/>
  <c r="AF42" i="17" s="1"/>
  <c r="V42" i="17"/>
  <c r="W42" i="17"/>
  <c r="X42" i="17"/>
  <c r="Y42" i="17"/>
  <c r="Z42" i="17"/>
  <c r="AA42" i="17"/>
  <c r="U43" i="17"/>
  <c r="AF43" i="17" s="1"/>
  <c r="V43" i="17"/>
  <c r="W43" i="17"/>
  <c r="X43" i="17"/>
  <c r="Y43" i="17"/>
  <c r="Z43" i="17"/>
  <c r="AA43" i="17"/>
  <c r="U44" i="17"/>
  <c r="AF44" i="17" s="1"/>
  <c r="V44" i="17"/>
  <c r="W44" i="17"/>
  <c r="X44" i="17"/>
  <c r="Y44" i="17"/>
  <c r="Z44" i="17"/>
  <c r="AA44" i="17"/>
  <c r="U45" i="17"/>
  <c r="AF45" i="17" s="1"/>
  <c r="V45" i="17"/>
  <c r="W45" i="17"/>
  <c r="X45" i="17"/>
  <c r="Y45" i="17"/>
  <c r="Z45" i="17"/>
  <c r="AA45" i="17"/>
  <c r="U46" i="17"/>
  <c r="AF46" i="17" s="1"/>
  <c r="V46" i="17"/>
  <c r="W46" i="17"/>
  <c r="X46" i="17"/>
  <c r="Y46" i="17"/>
  <c r="Z46" i="17"/>
  <c r="AA46" i="17"/>
  <c r="U47" i="17"/>
  <c r="AF47" i="17" s="1"/>
  <c r="V47" i="17"/>
  <c r="W47" i="17"/>
  <c r="X47" i="17"/>
  <c r="Y47" i="17"/>
  <c r="Z47" i="17"/>
  <c r="AA47" i="17"/>
  <c r="U48" i="17"/>
  <c r="AF48" i="17" s="1"/>
  <c r="V48" i="17"/>
  <c r="W48" i="17"/>
  <c r="X48" i="17"/>
  <c r="Y48" i="17"/>
  <c r="Z48" i="17"/>
  <c r="AA48" i="17"/>
  <c r="U49" i="17"/>
  <c r="AF49" i="17" s="1"/>
  <c r="V49" i="17"/>
  <c r="W49" i="17"/>
  <c r="X49" i="17"/>
  <c r="Y49" i="17"/>
  <c r="Z49" i="17"/>
  <c r="AA49" i="17"/>
  <c r="U50" i="17"/>
  <c r="AF50" i="17" s="1"/>
  <c r="V50" i="17"/>
  <c r="W50" i="17"/>
  <c r="X50" i="17"/>
  <c r="Y50" i="17"/>
  <c r="Z50" i="17"/>
  <c r="AA50" i="17"/>
  <c r="U51" i="17"/>
  <c r="AF51" i="17" s="1"/>
  <c r="V51" i="17"/>
  <c r="W51" i="17"/>
  <c r="X51" i="17"/>
  <c r="Y51" i="17"/>
  <c r="Z51" i="17"/>
  <c r="AA51" i="17"/>
  <c r="U52" i="17"/>
  <c r="AF52" i="17" s="1"/>
  <c r="V52" i="17"/>
  <c r="W52" i="17"/>
  <c r="X52" i="17"/>
  <c r="Y52" i="17"/>
  <c r="Z52" i="17"/>
  <c r="AA52" i="17"/>
  <c r="U53" i="17"/>
  <c r="AF53" i="17" s="1"/>
  <c r="V53" i="17"/>
  <c r="W53" i="17"/>
  <c r="X53" i="17"/>
  <c r="Y53" i="17"/>
  <c r="Z53" i="17"/>
  <c r="AA53" i="17"/>
  <c r="U54" i="17"/>
  <c r="AF54" i="17" s="1"/>
  <c r="V54" i="17"/>
  <c r="W54" i="17"/>
  <c r="X54" i="17"/>
  <c r="Y54" i="17"/>
  <c r="Z54" i="17"/>
  <c r="AA54" i="17"/>
  <c r="U55" i="17"/>
  <c r="AF55" i="17" s="1"/>
  <c r="V55" i="17"/>
  <c r="W55" i="17"/>
  <c r="X55" i="17"/>
  <c r="Y55" i="17"/>
  <c r="Z55" i="17"/>
  <c r="AA55" i="17"/>
  <c r="U56" i="17"/>
  <c r="AF56" i="17" s="1"/>
  <c r="V56" i="17"/>
  <c r="W56" i="17"/>
  <c r="X56" i="17"/>
  <c r="Y56" i="17"/>
  <c r="Z56" i="17"/>
  <c r="AA56" i="17"/>
  <c r="U57" i="17"/>
  <c r="AF57" i="17" s="1"/>
  <c r="V57" i="17"/>
  <c r="W57" i="17"/>
  <c r="X57" i="17"/>
  <c r="Y57" i="17"/>
  <c r="Z57" i="17"/>
  <c r="AA57" i="17"/>
  <c r="U58" i="17"/>
  <c r="AF58" i="17" s="1"/>
  <c r="V58" i="17"/>
  <c r="W58" i="17"/>
  <c r="X58" i="17"/>
  <c r="Y58" i="17"/>
  <c r="Z58" i="17"/>
  <c r="AA58" i="17"/>
  <c r="U59" i="17"/>
  <c r="AF59" i="17" s="1"/>
  <c r="V59" i="17"/>
  <c r="W59" i="17"/>
  <c r="X59" i="17"/>
  <c r="Y59" i="17"/>
  <c r="Z59" i="17"/>
  <c r="AA59" i="17"/>
  <c r="U60" i="17"/>
  <c r="AF60" i="17" s="1"/>
  <c r="V60" i="17"/>
  <c r="W60" i="17"/>
  <c r="X60" i="17"/>
  <c r="Y60" i="17"/>
  <c r="Z60" i="17"/>
  <c r="AA60" i="17"/>
  <c r="U61" i="17"/>
  <c r="AF61" i="17" s="1"/>
  <c r="V61" i="17"/>
  <c r="W61" i="17"/>
  <c r="X61" i="17"/>
  <c r="Y61" i="17"/>
  <c r="Z61" i="17"/>
  <c r="AA61" i="17"/>
  <c r="U62" i="17"/>
  <c r="AF62" i="17" s="1"/>
  <c r="V62" i="17"/>
  <c r="W62" i="17"/>
  <c r="X62" i="17"/>
  <c r="Y62" i="17"/>
  <c r="Z62" i="17"/>
  <c r="AA62" i="17"/>
  <c r="U63" i="17"/>
  <c r="AF63" i="17" s="1"/>
  <c r="V63" i="17"/>
  <c r="W63" i="17"/>
  <c r="X63" i="17"/>
  <c r="Y63" i="17"/>
  <c r="Z63" i="17"/>
  <c r="AA63" i="17"/>
  <c r="U64" i="17"/>
  <c r="AF64" i="17" s="1"/>
  <c r="V64" i="17"/>
  <c r="W64" i="17"/>
  <c r="X64" i="17"/>
  <c r="Y64" i="17"/>
  <c r="Z64" i="17"/>
  <c r="AA64" i="17"/>
  <c r="U65" i="17"/>
  <c r="AF65" i="17" s="1"/>
  <c r="V65" i="17"/>
  <c r="W65" i="17"/>
  <c r="X65" i="17"/>
  <c r="Y65" i="17"/>
  <c r="Z65" i="17"/>
  <c r="AA65" i="17"/>
  <c r="U66" i="17"/>
  <c r="AF66" i="17" s="1"/>
  <c r="V66" i="17"/>
  <c r="W66" i="17"/>
  <c r="X66" i="17"/>
  <c r="Y66" i="17"/>
  <c r="Z66" i="17"/>
  <c r="AA66" i="17"/>
  <c r="U67" i="17"/>
  <c r="AF67" i="17" s="1"/>
  <c r="V67" i="17"/>
  <c r="W67" i="17"/>
  <c r="X67" i="17"/>
  <c r="Y67" i="17"/>
  <c r="Z67" i="17"/>
  <c r="AA67" i="17"/>
  <c r="U68" i="17"/>
  <c r="AF68" i="17" s="1"/>
  <c r="V68" i="17"/>
  <c r="W68" i="17"/>
  <c r="X68" i="17"/>
  <c r="Y68" i="17"/>
  <c r="Z68" i="17"/>
  <c r="AA68" i="17"/>
  <c r="U69" i="17"/>
  <c r="AF69" i="17" s="1"/>
  <c r="V69" i="17"/>
  <c r="W69" i="17"/>
  <c r="X69" i="17"/>
  <c r="Y69" i="17"/>
  <c r="Z69" i="17"/>
  <c r="AA69" i="17"/>
  <c r="U70" i="17"/>
  <c r="AF70" i="17" s="1"/>
  <c r="V70" i="17"/>
  <c r="W70" i="17"/>
  <c r="X70" i="17"/>
  <c r="Y70" i="17"/>
  <c r="Z70" i="17"/>
  <c r="AA70" i="17"/>
  <c r="U71" i="17"/>
  <c r="AF71" i="17" s="1"/>
  <c r="V71" i="17"/>
  <c r="W71" i="17"/>
  <c r="X71" i="17"/>
  <c r="Y71" i="17"/>
  <c r="Z71" i="17"/>
  <c r="AA71" i="17"/>
  <c r="U72" i="17"/>
  <c r="AF72" i="17" s="1"/>
  <c r="V72" i="17"/>
  <c r="W72" i="17"/>
  <c r="X72" i="17"/>
  <c r="Y72" i="17"/>
  <c r="Z72" i="17"/>
  <c r="AA72" i="17"/>
  <c r="U73" i="17"/>
  <c r="AF73" i="17" s="1"/>
  <c r="V73" i="17"/>
  <c r="W73" i="17"/>
  <c r="X73" i="17"/>
  <c r="Y73" i="17"/>
  <c r="Z73" i="17"/>
  <c r="AA73" i="17"/>
  <c r="U74" i="17"/>
  <c r="AF74" i="17" s="1"/>
  <c r="V74" i="17"/>
  <c r="W74" i="17"/>
  <c r="X74" i="17"/>
  <c r="Y74" i="17"/>
  <c r="Z74" i="17"/>
  <c r="AA74" i="17"/>
  <c r="U75" i="17"/>
  <c r="AF75" i="17" s="1"/>
  <c r="V75" i="17"/>
  <c r="W75" i="17"/>
  <c r="X75" i="17"/>
  <c r="Y75" i="17"/>
  <c r="Z75" i="17"/>
  <c r="AA75" i="17"/>
  <c r="U76" i="17"/>
  <c r="AF76" i="17" s="1"/>
  <c r="V76" i="17"/>
  <c r="W76" i="17"/>
  <c r="X76" i="17"/>
  <c r="Y76" i="17"/>
  <c r="Z76" i="17"/>
  <c r="AA76" i="17"/>
  <c r="U77" i="17"/>
  <c r="AF77" i="17" s="1"/>
  <c r="V77" i="17"/>
  <c r="W77" i="17"/>
  <c r="X77" i="17"/>
  <c r="Y77" i="17"/>
  <c r="Z77" i="17"/>
  <c r="AA77" i="17"/>
  <c r="U78" i="17"/>
  <c r="AF78" i="17" s="1"/>
  <c r="V78" i="17"/>
  <c r="W78" i="17"/>
  <c r="X78" i="17"/>
  <c r="Y78" i="17"/>
  <c r="Z78" i="17"/>
  <c r="AA78" i="17"/>
  <c r="U79" i="17"/>
  <c r="AF79" i="17" s="1"/>
  <c r="V79" i="17"/>
  <c r="W79" i="17"/>
  <c r="X79" i="17"/>
  <c r="Y79" i="17"/>
  <c r="Z79" i="17"/>
  <c r="AA79" i="17"/>
  <c r="U80" i="17"/>
  <c r="AF80" i="17" s="1"/>
  <c r="V80" i="17"/>
  <c r="W80" i="17"/>
  <c r="X80" i="17"/>
  <c r="Y80" i="17"/>
  <c r="Z80" i="17"/>
  <c r="AA80" i="17"/>
  <c r="U81" i="17"/>
  <c r="AF81" i="17" s="1"/>
  <c r="V81" i="17"/>
  <c r="W81" i="17"/>
  <c r="X81" i="17"/>
  <c r="Y81" i="17"/>
  <c r="Z81" i="17"/>
  <c r="AA81" i="17"/>
  <c r="U82" i="17"/>
  <c r="AF82" i="17" s="1"/>
  <c r="V82" i="17"/>
  <c r="W82" i="17"/>
  <c r="X82" i="17"/>
  <c r="Y82" i="17"/>
  <c r="Z82" i="17"/>
  <c r="AA82" i="17"/>
  <c r="U83" i="17"/>
  <c r="AF83" i="17" s="1"/>
  <c r="V83" i="17"/>
  <c r="W83" i="17"/>
  <c r="X83" i="17"/>
  <c r="Y83" i="17"/>
  <c r="Z83" i="17"/>
  <c r="AA83" i="17"/>
  <c r="U84" i="17"/>
  <c r="AF84" i="17" s="1"/>
  <c r="V84" i="17"/>
  <c r="W84" i="17"/>
  <c r="X84" i="17"/>
  <c r="Y84" i="17"/>
  <c r="Z84" i="17"/>
  <c r="AA84" i="17"/>
  <c r="U85" i="17"/>
  <c r="AF85" i="17" s="1"/>
  <c r="V85" i="17"/>
  <c r="W85" i="17"/>
  <c r="X85" i="17"/>
  <c r="Y85" i="17"/>
  <c r="Z85" i="17"/>
  <c r="AA85" i="17"/>
  <c r="U86" i="17"/>
  <c r="AF86" i="17" s="1"/>
  <c r="V86" i="17"/>
  <c r="W86" i="17"/>
  <c r="X86" i="17"/>
  <c r="Y86" i="17"/>
  <c r="Z86" i="17"/>
  <c r="AA86" i="17"/>
  <c r="U87" i="17"/>
  <c r="AF87" i="17" s="1"/>
  <c r="V87" i="17"/>
  <c r="W87" i="17"/>
  <c r="X87" i="17"/>
  <c r="Y87" i="17"/>
  <c r="Z87" i="17"/>
  <c r="AA87" i="17"/>
  <c r="U88" i="17"/>
  <c r="AF88" i="17" s="1"/>
  <c r="V88" i="17"/>
  <c r="W88" i="17"/>
  <c r="X88" i="17"/>
  <c r="Y88" i="17"/>
  <c r="Z88" i="17"/>
  <c r="AA88" i="17"/>
  <c r="U89" i="17"/>
  <c r="AF89" i="17" s="1"/>
  <c r="V89" i="17"/>
  <c r="W89" i="17"/>
  <c r="X89" i="17"/>
  <c r="Y89" i="17"/>
  <c r="Z89" i="17"/>
  <c r="AA89" i="17"/>
  <c r="U90" i="17"/>
  <c r="AF90" i="17" s="1"/>
  <c r="V90" i="17"/>
  <c r="W90" i="17"/>
  <c r="X90" i="17"/>
  <c r="Y90" i="17"/>
  <c r="Z90" i="17"/>
  <c r="AA90" i="17"/>
  <c r="U91" i="17"/>
  <c r="AF91" i="17" s="1"/>
  <c r="V91" i="17"/>
  <c r="W91" i="17"/>
  <c r="X91" i="17"/>
  <c r="Y91" i="17"/>
  <c r="Z91" i="17"/>
  <c r="AA91" i="17"/>
  <c r="U92" i="17"/>
  <c r="AF92" i="17" s="1"/>
  <c r="V92" i="17"/>
  <c r="W92" i="17"/>
  <c r="X92" i="17"/>
  <c r="Y92" i="17"/>
  <c r="Z92" i="17"/>
  <c r="AA92" i="17"/>
  <c r="U93" i="17"/>
  <c r="AF93" i="17" s="1"/>
  <c r="V93" i="17"/>
  <c r="W93" i="17"/>
  <c r="X93" i="17"/>
  <c r="Y93" i="17"/>
  <c r="Z93" i="17"/>
  <c r="AA93" i="17"/>
  <c r="U94" i="17"/>
  <c r="AF94" i="17" s="1"/>
  <c r="V94" i="17"/>
  <c r="W94" i="17"/>
  <c r="X94" i="17"/>
  <c r="Y94" i="17"/>
  <c r="Z94" i="17"/>
  <c r="AA94" i="17"/>
  <c r="U95" i="17"/>
  <c r="AF95" i="17" s="1"/>
  <c r="V95" i="17"/>
  <c r="W95" i="17"/>
  <c r="X95" i="17"/>
  <c r="Y95" i="17"/>
  <c r="Z95" i="17"/>
  <c r="AA95" i="17"/>
  <c r="U96" i="17"/>
  <c r="AF96" i="17" s="1"/>
  <c r="V96" i="17"/>
  <c r="W96" i="17"/>
  <c r="X96" i="17"/>
  <c r="Y96" i="17"/>
  <c r="Z96" i="17"/>
  <c r="AA96" i="17"/>
  <c r="U97" i="17"/>
  <c r="AF97" i="17" s="1"/>
  <c r="V97" i="17"/>
  <c r="W97" i="17"/>
  <c r="X97" i="17"/>
  <c r="Y97" i="17"/>
  <c r="Z97" i="17"/>
  <c r="AA97" i="17"/>
  <c r="U98" i="17"/>
  <c r="AF98" i="17" s="1"/>
  <c r="V98" i="17"/>
  <c r="W98" i="17"/>
  <c r="X98" i="17"/>
  <c r="Y98" i="17"/>
  <c r="Z98" i="17"/>
  <c r="AA98" i="17"/>
  <c r="U99" i="17"/>
  <c r="AF99" i="17" s="1"/>
  <c r="V99" i="17"/>
  <c r="W99" i="17"/>
  <c r="X99" i="17"/>
  <c r="Y99" i="17"/>
  <c r="Z99" i="17"/>
  <c r="AA99" i="17"/>
  <c r="U100" i="17"/>
  <c r="AF100" i="17" s="1"/>
  <c r="V100" i="17"/>
  <c r="W100" i="17"/>
  <c r="X100" i="17"/>
  <c r="Y100" i="17"/>
  <c r="Z100" i="17"/>
  <c r="AA100" i="17"/>
  <c r="U101" i="17"/>
  <c r="AF101" i="17" s="1"/>
  <c r="V101" i="17"/>
  <c r="W101" i="17"/>
  <c r="X101" i="17"/>
  <c r="Y101" i="17"/>
  <c r="Z101" i="17"/>
  <c r="AA101" i="17"/>
  <c r="U102" i="17"/>
  <c r="AF102" i="17" s="1"/>
  <c r="V102" i="17"/>
  <c r="W102" i="17"/>
  <c r="X102" i="17"/>
  <c r="Y102" i="17"/>
  <c r="Z102" i="17"/>
  <c r="AA102" i="17"/>
  <c r="U103" i="17"/>
  <c r="AF103" i="17" s="1"/>
  <c r="V103" i="17"/>
  <c r="W103" i="17"/>
  <c r="X103" i="17"/>
  <c r="Y103" i="17"/>
  <c r="Z103" i="17"/>
  <c r="AA103" i="17"/>
  <c r="U104" i="17"/>
  <c r="AF104" i="17" s="1"/>
  <c r="V104" i="17"/>
  <c r="W104" i="17"/>
  <c r="X104" i="17"/>
  <c r="Y104" i="17"/>
  <c r="Z104" i="17"/>
  <c r="AA104" i="17"/>
  <c r="U105" i="17"/>
  <c r="AF105" i="17" s="1"/>
  <c r="V105" i="17"/>
  <c r="W105" i="17"/>
  <c r="X105" i="17"/>
  <c r="Y105" i="17"/>
  <c r="Z105" i="17"/>
  <c r="AA105" i="17"/>
  <c r="U106" i="17"/>
  <c r="AF106" i="17" s="1"/>
  <c r="V106" i="17"/>
  <c r="W106" i="17"/>
  <c r="X106" i="17"/>
  <c r="Y106" i="17"/>
  <c r="Z106" i="17"/>
  <c r="AA106" i="17"/>
  <c r="U107" i="17"/>
  <c r="AF107" i="17" s="1"/>
  <c r="V107" i="17"/>
  <c r="W107" i="17"/>
  <c r="X107" i="17"/>
  <c r="Y107" i="17"/>
  <c r="Z107" i="17"/>
  <c r="AA107" i="17"/>
  <c r="U108" i="17"/>
  <c r="AF108" i="17" s="1"/>
  <c r="V108" i="17"/>
  <c r="W108" i="17"/>
  <c r="X108" i="17"/>
  <c r="Y108" i="17"/>
  <c r="Z108" i="17"/>
  <c r="AA108" i="17"/>
  <c r="U109" i="17"/>
  <c r="AF109" i="17" s="1"/>
  <c r="V109" i="17"/>
  <c r="W109" i="17"/>
  <c r="X109" i="17"/>
  <c r="Y109" i="17"/>
  <c r="Z109" i="17"/>
  <c r="AA109" i="17"/>
  <c r="U110" i="17"/>
  <c r="AF110" i="17" s="1"/>
  <c r="V110" i="17"/>
  <c r="W110" i="17"/>
  <c r="X110" i="17"/>
  <c r="Y110" i="17"/>
  <c r="Z110" i="17"/>
  <c r="AA110" i="17"/>
  <c r="U111" i="17"/>
  <c r="AF111" i="17" s="1"/>
  <c r="V111" i="17"/>
  <c r="W111" i="17"/>
  <c r="X111" i="17"/>
  <c r="Y111" i="17"/>
  <c r="Z111" i="17"/>
  <c r="AA111" i="17"/>
  <c r="U112" i="17"/>
  <c r="AF112" i="17" s="1"/>
  <c r="V112" i="17"/>
  <c r="W112" i="17"/>
  <c r="X112" i="17"/>
  <c r="Y112" i="17"/>
  <c r="Z112" i="17"/>
  <c r="AA112" i="17"/>
  <c r="U113" i="17"/>
  <c r="AF113" i="17" s="1"/>
  <c r="V113" i="17"/>
  <c r="W113" i="17"/>
  <c r="X113" i="17"/>
  <c r="Y113" i="17"/>
  <c r="Z113" i="17"/>
  <c r="AA113" i="17"/>
  <c r="U114" i="17"/>
  <c r="AF114" i="17" s="1"/>
  <c r="V114" i="17"/>
  <c r="W114" i="17"/>
  <c r="X114" i="17"/>
  <c r="Y114" i="17"/>
  <c r="Z114" i="17"/>
  <c r="AA114" i="17"/>
  <c r="U115" i="17"/>
  <c r="AF115" i="17" s="1"/>
  <c r="V115" i="17"/>
  <c r="W115" i="17"/>
  <c r="X115" i="17"/>
  <c r="Y115" i="17"/>
  <c r="Z115" i="17"/>
  <c r="AA115" i="17"/>
  <c r="U116" i="17"/>
  <c r="AF116" i="17" s="1"/>
  <c r="V116" i="17"/>
  <c r="W116" i="17"/>
  <c r="X116" i="17"/>
  <c r="Y116" i="17"/>
  <c r="Z116" i="17"/>
  <c r="AA116" i="17"/>
  <c r="U117" i="17"/>
  <c r="AF117" i="17" s="1"/>
  <c r="V117" i="17"/>
  <c r="W117" i="17"/>
  <c r="X117" i="17"/>
  <c r="Y117" i="17"/>
  <c r="Z117" i="17"/>
  <c r="AA117" i="17"/>
  <c r="U118" i="17"/>
  <c r="AF118" i="17" s="1"/>
  <c r="V118" i="17"/>
  <c r="W118" i="17"/>
  <c r="X118" i="17"/>
  <c r="Y118" i="17"/>
  <c r="Z118" i="17"/>
  <c r="AA118" i="17"/>
  <c r="U119" i="17"/>
  <c r="AF119" i="17" s="1"/>
  <c r="V119" i="17"/>
  <c r="W119" i="17"/>
  <c r="X119" i="17"/>
  <c r="Y119" i="17"/>
  <c r="Z119" i="17"/>
  <c r="AA119" i="17"/>
  <c r="U120" i="17"/>
  <c r="AF120" i="17" s="1"/>
  <c r="V120" i="17"/>
  <c r="W120" i="17"/>
  <c r="X120" i="17"/>
  <c r="Y120" i="17"/>
  <c r="Z120" i="17"/>
  <c r="AA120" i="17"/>
  <c r="U121" i="17"/>
  <c r="AF121" i="17" s="1"/>
  <c r="V121" i="17"/>
  <c r="W121" i="17"/>
  <c r="X121" i="17"/>
  <c r="Y121" i="17"/>
  <c r="Z121" i="17"/>
  <c r="AA121" i="17"/>
  <c r="U122" i="17"/>
  <c r="AF122" i="17" s="1"/>
  <c r="V122" i="17"/>
  <c r="W122" i="17"/>
  <c r="X122" i="17"/>
  <c r="Y122" i="17"/>
  <c r="Z122" i="17"/>
  <c r="AA122" i="17"/>
  <c r="U123" i="17"/>
  <c r="AF123" i="17" s="1"/>
  <c r="V123" i="17"/>
  <c r="W123" i="17"/>
  <c r="X123" i="17"/>
  <c r="Y123" i="17"/>
  <c r="Z123" i="17"/>
  <c r="AA123" i="17"/>
  <c r="U124" i="17"/>
  <c r="AF124" i="17" s="1"/>
  <c r="V124" i="17"/>
  <c r="W124" i="17"/>
  <c r="X124" i="17"/>
  <c r="Y124" i="17"/>
  <c r="Z124" i="17"/>
  <c r="AA124" i="17"/>
  <c r="U125" i="17"/>
  <c r="AF125" i="17" s="1"/>
  <c r="V125" i="17"/>
  <c r="W125" i="17"/>
  <c r="X125" i="17"/>
  <c r="Y125" i="17"/>
  <c r="Z125" i="17"/>
  <c r="AA125" i="17"/>
  <c r="U126" i="17"/>
  <c r="AF126" i="17" s="1"/>
  <c r="V126" i="17"/>
  <c r="W126" i="17"/>
  <c r="X126" i="17"/>
  <c r="Y126" i="17"/>
  <c r="Z126" i="17"/>
  <c r="AA126" i="17"/>
  <c r="U127" i="17"/>
  <c r="AF127" i="17" s="1"/>
  <c r="V127" i="17"/>
  <c r="W127" i="17"/>
  <c r="X127" i="17"/>
  <c r="Y127" i="17"/>
  <c r="Z127" i="17"/>
  <c r="AA127" i="17"/>
  <c r="U128" i="17"/>
  <c r="AF128" i="17" s="1"/>
  <c r="V128" i="17"/>
  <c r="W128" i="17"/>
  <c r="X128" i="17"/>
  <c r="Y128" i="17"/>
  <c r="Z128" i="17"/>
  <c r="AA128" i="17"/>
  <c r="U129" i="17"/>
  <c r="AF129" i="17" s="1"/>
  <c r="V129" i="17"/>
  <c r="W129" i="17"/>
  <c r="X129" i="17"/>
  <c r="Y129" i="17"/>
  <c r="Z129" i="17"/>
  <c r="AA129" i="17"/>
  <c r="U130" i="17"/>
  <c r="AF130" i="17" s="1"/>
  <c r="V130" i="17"/>
  <c r="W130" i="17"/>
  <c r="X130" i="17"/>
  <c r="Y130" i="17"/>
  <c r="Z130" i="17"/>
  <c r="AA130" i="17"/>
  <c r="U131" i="17"/>
  <c r="AF131" i="17" s="1"/>
  <c r="V131" i="17"/>
  <c r="W131" i="17"/>
  <c r="X131" i="17"/>
  <c r="Y131" i="17"/>
  <c r="Z131" i="17"/>
  <c r="AA131" i="17"/>
  <c r="U132" i="17"/>
  <c r="AF132" i="17" s="1"/>
  <c r="V132" i="17"/>
  <c r="W132" i="17"/>
  <c r="X132" i="17"/>
  <c r="Y132" i="17"/>
  <c r="Z132" i="17"/>
  <c r="AA132" i="17"/>
  <c r="U133" i="17"/>
  <c r="AF133" i="17" s="1"/>
  <c r="V133" i="17"/>
  <c r="W133" i="17"/>
  <c r="X133" i="17"/>
  <c r="Y133" i="17"/>
  <c r="Z133" i="17"/>
  <c r="AA133" i="17"/>
  <c r="U134" i="17"/>
  <c r="AF134" i="17" s="1"/>
  <c r="V134" i="17"/>
  <c r="W134" i="17"/>
  <c r="X134" i="17"/>
  <c r="Y134" i="17"/>
  <c r="Z134" i="17"/>
  <c r="AA134" i="17"/>
  <c r="U135" i="17"/>
  <c r="AF135" i="17" s="1"/>
  <c r="V135" i="17"/>
  <c r="W135" i="17"/>
  <c r="X135" i="17"/>
  <c r="Y135" i="17"/>
  <c r="Z135" i="17"/>
  <c r="AA135" i="17"/>
  <c r="U136" i="17"/>
  <c r="AF136" i="17" s="1"/>
  <c r="V136" i="17"/>
  <c r="W136" i="17"/>
  <c r="X136" i="17"/>
  <c r="Y136" i="17"/>
  <c r="Z136" i="17"/>
  <c r="AA136" i="17"/>
  <c r="U137" i="17"/>
  <c r="AF137" i="17" s="1"/>
  <c r="V137" i="17"/>
  <c r="W137" i="17"/>
  <c r="X137" i="17"/>
  <c r="Y137" i="17"/>
  <c r="Z137" i="17"/>
  <c r="AA137" i="17"/>
  <c r="U138" i="17"/>
  <c r="AF138" i="17" s="1"/>
  <c r="V138" i="17"/>
  <c r="W138" i="17"/>
  <c r="X138" i="17"/>
  <c r="Y138" i="17"/>
  <c r="Z138" i="17"/>
  <c r="AA138" i="17"/>
  <c r="U139" i="17"/>
  <c r="AF139" i="17" s="1"/>
  <c r="V139" i="17"/>
  <c r="W139" i="17"/>
  <c r="X139" i="17"/>
  <c r="Y139" i="17"/>
  <c r="Z139" i="17"/>
  <c r="AA139" i="17"/>
  <c r="U140" i="17"/>
  <c r="AF140" i="17" s="1"/>
  <c r="V140" i="17"/>
  <c r="W140" i="17"/>
  <c r="X140" i="17"/>
  <c r="Y140" i="17"/>
  <c r="Z140" i="17"/>
  <c r="AA140" i="17"/>
  <c r="U141" i="17"/>
  <c r="AF141" i="17" s="1"/>
  <c r="V141" i="17"/>
  <c r="W141" i="17"/>
  <c r="X141" i="17"/>
  <c r="Y141" i="17"/>
  <c r="Z141" i="17"/>
  <c r="AA141" i="17"/>
  <c r="U142" i="17"/>
  <c r="AF142" i="17" s="1"/>
  <c r="V142" i="17"/>
  <c r="W142" i="17"/>
  <c r="X142" i="17"/>
  <c r="Y142" i="17"/>
  <c r="Z142" i="17"/>
  <c r="AA142" i="17"/>
  <c r="U143" i="17"/>
  <c r="AF143" i="17" s="1"/>
  <c r="V143" i="17"/>
  <c r="W143" i="17"/>
  <c r="X143" i="17"/>
  <c r="Y143" i="17"/>
  <c r="Z143" i="17"/>
  <c r="AA143" i="17"/>
  <c r="U144" i="17"/>
  <c r="AF144" i="17" s="1"/>
  <c r="V144" i="17"/>
  <c r="W144" i="17"/>
  <c r="X144" i="17"/>
  <c r="Y144" i="17"/>
  <c r="Z144" i="17"/>
  <c r="AA144" i="17"/>
  <c r="U145" i="17"/>
  <c r="AF145" i="17" s="1"/>
  <c r="V145" i="17"/>
  <c r="W145" i="17"/>
  <c r="X145" i="17"/>
  <c r="Y145" i="17"/>
  <c r="Z145" i="17"/>
  <c r="AA145" i="17"/>
  <c r="U146" i="17"/>
  <c r="AF146" i="17" s="1"/>
  <c r="V146" i="17"/>
  <c r="W146" i="17"/>
  <c r="X146" i="17"/>
  <c r="Y146" i="17"/>
  <c r="Z146" i="17"/>
  <c r="AA146" i="17"/>
  <c r="U147" i="17"/>
  <c r="AF147" i="17" s="1"/>
  <c r="V147" i="17"/>
  <c r="W147" i="17"/>
  <c r="X147" i="17"/>
  <c r="Y147" i="17"/>
  <c r="Z147" i="17"/>
  <c r="AA147" i="17"/>
  <c r="U148" i="17"/>
  <c r="AF148" i="17" s="1"/>
  <c r="V148" i="17"/>
  <c r="W148" i="17"/>
  <c r="X148" i="17"/>
  <c r="Y148" i="17"/>
  <c r="Z148" i="17"/>
  <c r="AA148" i="17"/>
  <c r="U149" i="17"/>
  <c r="AF149" i="17" s="1"/>
  <c r="V149" i="17"/>
  <c r="W149" i="17"/>
  <c r="X149" i="17"/>
  <c r="Y149" i="17"/>
  <c r="Z149" i="17"/>
  <c r="AA149" i="17"/>
  <c r="U150" i="17"/>
  <c r="AF150" i="17" s="1"/>
  <c r="V150" i="17"/>
  <c r="W150" i="17"/>
  <c r="X150" i="17"/>
  <c r="Y150" i="17"/>
  <c r="Z150" i="17"/>
  <c r="AA150" i="17"/>
  <c r="U151" i="17"/>
  <c r="AF151" i="17" s="1"/>
  <c r="V151" i="17"/>
  <c r="W151" i="17"/>
  <c r="X151" i="17"/>
  <c r="Y151" i="17"/>
  <c r="Z151" i="17"/>
  <c r="AA151" i="17"/>
  <c r="U152" i="17"/>
  <c r="AF152" i="17" s="1"/>
  <c r="V152" i="17"/>
  <c r="W152" i="17"/>
  <c r="X152" i="17"/>
  <c r="Y152" i="17"/>
  <c r="Z152" i="17"/>
  <c r="AA152" i="17"/>
  <c r="U153" i="17"/>
  <c r="AF153" i="17" s="1"/>
  <c r="V153" i="17"/>
  <c r="W153" i="17"/>
  <c r="X153" i="17"/>
  <c r="Y153" i="17"/>
  <c r="Z153" i="17"/>
  <c r="AA153" i="17"/>
  <c r="U154" i="17"/>
  <c r="AF154" i="17" s="1"/>
  <c r="V154" i="17"/>
  <c r="W154" i="17"/>
  <c r="X154" i="17"/>
  <c r="Y154" i="17"/>
  <c r="Z154" i="17"/>
  <c r="AA154" i="17"/>
  <c r="U155" i="17"/>
  <c r="AF155" i="17" s="1"/>
  <c r="V155" i="17"/>
  <c r="W155" i="17"/>
  <c r="X155" i="17"/>
  <c r="Y155" i="17"/>
  <c r="Z155" i="17"/>
  <c r="AA155" i="17"/>
  <c r="U156" i="17"/>
  <c r="AF156" i="17" s="1"/>
  <c r="V156" i="17"/>
  <c r="W156" i="17"/>
  <c r="X156" i="17"/>
  <c r="Y156" i="17"/>
  <c r="Z156" i="17"/>
  <c r="AA156" i="17"/>
  <c r="U157" i="17"/>
  <c r="AF157" i="17" s="1"/>
  <c r="V157" i="17"/>
  <c r="W157" i="17"/>
  <c r="X157" i="17"/>
  <c r="Y157" i="17"/>
  <c r="Z157" i="17"/>
  <c r="AA157" i="17"/>
  <c r="U158" i="17"/>
  <c r="AF158" i="17" s="1"/>
  <c r="V158" i="17"/>
  <c r="W158" i="17"/>
  <c r="X158" i="17"/>
  <c r="Y158" i="17"/>
  <c r="Z158" i="17"/>
  <c r="AA158" i="17"/>
  <c r="U159" i="17"/>
  <c r="AF159" i="17" s="1"/>
  <c r="V159" i="17"/>
  <c r="W159" i="17"/>
  <c r="X159" i="17"/>
  <c r="Y159" i="17"/>
  <c r="Z159" i="17"/>
  <c r="AA159" i="17"/>
  <c r="U160" i="17"/>
  <c r="AF160" i="17" s="1"/>
  <c r="V160" i="17"/>
  <c r="W160" i="17"/>
  <c r="X160" i="17"/>
  <c r="Y160" i="17"/>
  <c r="Z160" i="17"/>
  <c r="AA160" i="17"/>
  <c r="U161" i="17"/>
  <c r="AF161" i="17" s="1"/>
  <c r="V161" i="17"/>
  <c r="W161" i="17"/>
  <c r="X161" i="17"/>
  <c r="Y161" i="17"/>
  <c r="Z161" i="17"/>
  <c r="AA161" i="17"/>
  <c r="U162" i="17"/>
  <c r="AF162" i="17" s="1"/>
  <c r="V162" i="17"/>
  <c r="W162" i="17"/>
  <c r="X162" i="17"/>
  <c r="Y162" i="17"/>
  <c r="Z162" i="17"/>
  <c r="AA162" i="17"/>
  <c r="U163" i="17"/>
  <c r="AF163" i="17" s="1"/>
  <c r="V163" i="17"/>
  <c r="W163" i="17"/>
  <c r="X163" i="17"/>
  <c r="Y163" i="17"/>
  <c r="Z163" i="17"/>
  <c r="AA163" i="17"/>
  <c r="U164" i="17"/>
  <c r="AF164" i="17" s="1"/>
  <c r="V164" i="17"/>
  <c r="W164" i="17"/>
  <c r="X164" i="17"/>
  <c r="Y164" i="17"/>
  <c r="Z164" i="17"/>
  <c r="AA164" i="17"/>
  <c r="U165" i="17"/>
  <c r="AF165" i="17" s="1"/>
  <c r="V165" i="17"/>
  <c r="W165" i="17"/>
  <c r="X165" i="17"/>
  <c r="Y165" i="17"/>
  <c r="Z165" i="17"/>
  <c r="AA165" i="17"/>
  <c r="U166" i="17"/>
  <c r="AF166" i="17" s="1"/>
  <c r="V166" i="17"/>
  <c r="W166" i="17"/>
  <c r="X166" i="17"/>
  <c r="Y166" i="17"/>
  <c r="Z166" i="17"/>
  <c r="AA166" i="17"/>
  <c r="U167" i="17"/>
  <c r="AF167" i="17" s="1"/>
  <c r="V167" i="17"/>
  <c r="W167" i="17"/>
  <c r="X167" i="17"/>
  <c r="Y167" i="17"/>
  <c r="Z167" i="17"/>
  <c r="AA167" i="17"/>
  <c r="U168" i="17"/>
  <c r="AF168" i="17" s="1"/>
  <c r="V168" i="17"/>
  <c r="W168" i="17"/>
  <c r="X168" i="17"/>
  <c r="Y168" i="17"/>
  <c r="Z168" i="17"/>
  <c r="AA168" i="17"/>
  <c r="U169" i="17"/>
  <c r="AF169" i="17" s="1"/>
  <c r="V169" i="17"/>
  <c r="W169" i="17"/>
  <c r="X169" i="17"/>
  <c r="Y169" i="17"/>
  <c r="Z169" i="17"/>
  <c r="AA169" i="17"/>
  <c r="U170" i="17"/>
  <c r="AF170" i="17" s="1"/>
  <c r="V170" i="17"/>
  <c r="W170" i="17"/>
  <c r="X170" i="17"/>
  <c r="Y170" i="17"/>
  <c r="Z170" i="17"/>
  <c r="AA170" i="17"/>
  <c r="U171" i="17"/>
  <c r="AF171" i="17" s="1"/>
  <c r="V171" i="17"/>
  <c r="W171" i="17"/>
  <c r="X171" i="17"/>
  <c r="Y171" i="17"/>
  <c r="Z171" i="17"/>
  <c r="AA171" i="17"/>
  <c r="U172" i="17"/>
  <c r="AF172" i="17" s="1"/>
  <c r="V172" i="17"/>
  <c r="W172" i="17"/>
  <c r="X172" i="17"/>
  <c r="Y172" i="17"/>
  <c r="Z172" i="17"/>
  <c r="AA172" i="17"/>
  <c r="U173" i="17"/>
  <c r="AF173" i="17" s="1"/>
  <c r="V173" i="17"/>
  <c r="W173" i="17"/>
  <c r="X173" i="17"/>
  <c r="Y173" i="17"/>
  <c r="Z173" i="17"/>
  <c r="AA173" i="17"/>
  <c r="U174" i="17"/>
  <c r="AF174" i="17" s="1"/>
  <c r="V174" i="17"/>
  <c r="W174" i="17"/>
  <c r="X174" i="17"/>
  <c r="Y174" i="17"/>
  <c r="Z174" i="17"/>
  <c r="AA174" i="17"/>
  <c r="U175" i="17"/>
  <c r="AF175" i="17" s="1"/>
  <c r="V175" i="17"/>
  <c r="W175" i="17"/>
  <c r="X175" i="17"/>
  <c r="Y175" i="17"/>
  <c r="Z175" i="17"/>
  <c r="AA175" i="17"/>
  <c r="U176" i="17"/>
  <c r="AF176" i="17" s="1"/>
  <c r="V176" i="17"/>
  <c r="W176" i="17"/>
  <c r="X176" i="17"/>
  <c r="Y176" i="17"/>
  <c r="Z176" i="17"/>
  <c r="AA176" i="17"/>
  <c r="U177" i="17"/>
  <c r="AF177" i="17" s="1"/>
  <c r="V177" i="17"/>
  <c r="W177" i="17"/>
  <c r="X177" i="17"/>
  <c r="Y177" i="17"/>
  <c r="Z177" i="17"/>
  <c r="AA177" i="17"/>
  <c r="U178" i="17"/>
  <c r="AF178" i="17" s="1"/>
  <c r="V178" i="17"/>
  <c r="W178" i="17"/>
  <c r="X178" i="17"/>
  <c r="Y178" i="17"/>
  <c r="Z178" i="17"/>
  <c r="AA178" i="17"/>
  <c r="U179" i="17"/>
  <c r="AF179" i="17" s="1"/>
  <c r="V179" i="17"/>
  <c r="W179" i="17"/>
  <c r="X179" i="17"/>
  <c r="Y179" i="17"/>
  <c r="Z179" i="17"/>
  <c r="AA179" i="17"/>
  <c r="U180" i="17"/>
  <c r="AF180" i="17" s="1"/>
  <c r="V180" i="17"/>
  <c r="W180" i="17"/>
  <c r="X180" i="17"/>
  <c r="Y180" i="17"/>
  <c r="Z180" i="17"/>
  <c r="AA180" i="17"/>
  <c r="U181" i="17"/>
  <c r="AF181" i="17" s="1"/>
  <c r="V181" i="17"/>
  <c r="W181" i="17"/>
  <c r="X181" i="17"/>
  <c r="Y181" i="17"/>
  <c r="Z181" i="17"/>
  <c r="AA181" i="17"/>
  <c r="U182" i="17"/>
  <c r="AF182" i="17" s="1"/>
  <c r="V182" i="17"/>
  <c r="W182" i="17"/>
  <c r="X182" i="17"/>
  <c r="Y182" i="17"/>
  <c r="Z182" i="17"/>
  <c r="AA182" i="17"/>
  <c r="U183" i="17"/>
  <c r="AF183" i="17" s="1"/>
  <c r="V183" i="17"/>
  <c r="W183" i="17"/>
  <c r="X183" i="17"/>
  <c r="Y183" i="17"/>
  <c r="Z183" i="17"/>
  <c r="AA183" i="17"/>
  <c r="U184" i="17"/>
  <c r="AF184" i="17" s="1"/>
  <c r="V184" i="17"/>
  <c r="W184" i="17"/>
  <c r="X184" i="17"/>
  <c r="Y184" i="17"/>
  <c r="Z184" i="17"/>
  <c r="AA184" i="17"/>
  <c r="U185" i="17"/>
  <c r="AF185" i="17" s="1"/>
  <c r="V185" i="17"/>
  <c r="W185" i="17"/>
  <c r="X185" i="17"/>
  <c r="Y185" i="17"/>
  <c r="Z185" i="17"/>
  <c r="AA185" i="17"/>
  <c r="U186" i="17"/>
  <c r="AF186" i="17" s="1"/>
  <c r="V186" i="17"/>
  <c r="W186" i="17"/>
  <c r="X186" i="17"/>
  <c r="Y186" i="17"/>
  <c r="Z186" i="17"/>
  <c r="AA186" i="17"/>
  <c r="U187" i="17"/>
  <c r="AF187" i="17" s="1"/>
  <c r="V187" i="17"/>
  <c r="W187" i="17"/>
  <c r="X187" i="17"/>
  <c r="Y187" i="17"/>
  <c r="Z187" i="17"/>
  <c r="AA187" i="17"/>
  <c r="U188" i="17"/>
  <c r="AF188" i="17" s="1"/>
  <c r="V188" i="17"/>
  <c r="W188" i="17"/>
  <c r="X188" i="17"/>
  <c r="Y188" i="17"/>
  <c r="Z188" i="17"/>
  <c r="AA188" i="17"/>
  <c r="U189" i="17"/>
  <c r="AF189" i="17" s="1"/>
  <c r="V189" i="17"/>
  <c r="W189" i="17"/>
  <c r="X189" i="17"/>
  <c r="Y189" i="17"/>
  <c r="Z189" i="17"/>
  <c r="AA189" i="17"/>
  <c r="U190" i="17"/>
  <c r="AF190" i="17" s="1"/>
  <c r="V190" i="17"/>
  <c r="W190" i="17"/>
  <c r="X190" i="17"/>
  <c r="Y190" i="17"/>
  <c r="Z190" i="17"/>
  <c r="AA190" i="17"/>
  <c r="U191" i="17"/>
  <c r="AF191" i="17" s="1"/>
  <c r="V191" i="17"/>
  <c r="W191" i="17"/>
  <c r="X191" i="17"/>
  <c r="Y191" i="17"/>
  <c r="Z191" i="17"/>
  <c r="AA191" i="17"/>
  <c r="U192" i="17"/>
  <c r="AF192" i="17" s="1"/>
  <c r="V192" i="17"/>
  <c r="W192" i="17"/>
  <c r="X192" i="17"/>
  <c r="Y192" i="17"/>
  <c r="Z192" i="17"/>
  <c r="AA192" i="17"/>
  <c r="U193" i="17"/>
  <c r="AF193" i="17" s="1"/>
  <c r="V193" i="17"/>
  <c r="W193" i="17"/>
  <c r="X193" i="17"/>
  <c r="Y193" i="17"/>
  <c r="Z193" i="17"/>
  <c r="AA193" i="17"/>
  <c r="U194" i="17"/>
  <c r="AF194" i="17" s="1"/>
  <c r="V194" i="17"/>
  <c r="W194" i="17"/>
  <c r="X194" i="17"/>
  <c r="Y194" i="17"/>
  <c r="Z194" i="17"/>
  <c r="AA194" i="17"/>
  <c r="U195" i="17"/>
  <c r="AF195" i="17" s="1"/>
  <c r="V195" i="17"/>
  <c r="W195" i="17"/>
  <c r="X195" i="17"/>
  <c r="Y195" i="17"/>
  <c r="Z195" i="17"/>
  <c r="AA195" i="17"/>
  <c r="U196" i="17"/>
  <c r="AF196" i="17" s="1"/>
  <c r="V196" i="17"/>
  <c r="W196" i="17"/>
  <c r="X196" i="17"/>
  <c r="Y196" i="17"/>
  <c r="Z196" i="17"/>
  <c r="AA196" i="17"/>
  <c r="U197" i="17"/>
  <c r="AF197" i="17" s="1"/>
  <c r="V197" i="17"/>
  <c r="W197" i="17"/>
  <c r="X197" i="17"/>
  <c r="Y197" i="17"/>
  <c r="Z197" i="17"/>
  <c r="AA197" i="17"/>
  <c r="U198" i="17"/>
  <c r="AF198" i="17" s="1"/>
  <c r="V198" i="17"/>
  <c r="W198" i="17"/>
  <c r="X198" i="17"/>
  <c r="Y198" i="17"/>
  <c r="Z198" i="17"/>
  <c r="AA198" i="17"/>
  <c r="U199" i="17"/>
  <c r="AF199" i="17" s="1"/>
  <c r="V199" i="17"/>
  <c r="W199" i="17"/>
  <c r="X199" i="17"/>
  <c r="Y199" i="17"/>
  <c r="Z199" i="17"/>
  <c r="AA199" i="17"/>
  <c r="U200" i="17"/>
  <c r="AF200" i="17" s="1"/>
  <c r="V200" i="17"/>
  <c r="W200" i="17"/>
  <c r="X200" i="17"/>
  <c r="Y200" i="17"/>
  <c r="Z200" i="17"/>
  <c r="AA200" i="17"/>
  <c r="U201" i="17"/>
  <c r="AF201" i="17" s="1"/>
  <c r="V201" i="17"/>
  <c r="W201" i="17"/>
  <c r="X201" i="17"/>
  <c r="Y201" i="17"/>
  <c r="Z201" i="17"/>
  <c r="AA201" i="17"/>
  <c r="U202" i="17"/>
  <c r="AF202" i="17" s="1"/>
  <c r="V202" i="17"/>
  <c r="W202" i="17"/>
  <c r="X202" i="17"/>
  <c r="Y202" i="17"/>
  <c r="Z202" i="17"/>
  <c r="AA202" i="17"/>
  <c r="U203" i="17"/>
  <c r="AF203" i="17" s="1"/>
  <c r="V203" i="17"/>
  <c r="W203" i="17"/>
  <c r="X203" i="17"/>
  <c r="Y203" i="17"/>
  <c r="Z203" i="17"/>
  <c r="AA203" i="17"/>
  <c r="U204" i="17"/>
  <c r="AF204" i="17" s="1"/>
  <c r="V204" i="17"/>
  <c r="W204" i="17"/>
  <c r="X204" i="17"/>
  <c r="Y204" i="17"/>
  <c r="Z204" i="17"/>
  <c r="AA204" i="17"/>
  <c r="U205" i="17"/>
  <c r="AF205" i="17" s="1"/>
  <c r="V205" i="17"/>
  <c r="W205" i="17"/>
  <c r="X205" i="17"/>
  <c r="Y205" i="17"/>
  <c r="Z205" i="17"/>
  <c r="AA205" i="17"/>
  <c r="U206" i="17"/>
  <c r="AF206" i="17" s="1"/>
  <c r="V206" i="17"/>
  <c r="W206" i="17"/>
  <c r="X206" i="17"/>
  <c r="Y206" i="17"/>
  <c r="Z206" i="17"/>
  <c r="AA206" i="17"/>
  <c r="U207" i="17"/>
  <c r="AF207" i="17" s="1"/>
  <c r="V207" i="17"/>
  <c r="W207" i="17"/>
  <c r="X207" i="17"/>
  <c r="Y207" i="17"/>
  <c r="Z207" i="17"/>
  <c r="AA207" i="17"/>
  <c r="U208" i="17"/>
  <c r="AF208" i="17" s="1"/>
  <c r="V208" i="17"/>
  <c r="W208" i="17"/>
  <c r="X208" i="17"/>
  <c r="Y208" i="17"/>
  <c r="Z208" i="17"/>
  <c r="AA208" i="17"/>
  <c r="U209" i="17"/>
  <c r="AF209" i="17" s="1"/>
  <c r="V209" i="17"/>
  <c r="W209" i="17"/>
  <c r="X209" i="17"/>
  <c r="Y209" i="17"/>
  <c r="Z209" i="17"/>
  <c r="AA209" i="17"/>
  <c r="U210" i="17"/>
  <c r="AF210" i="17" s="1"/>
  <c r="V210" i="17"/>
  <c r="W210" i="17"/>
  <c r="X210" i="17"/>
  <c r="Y210" i="17"/>
  <c r="Z210" i="17"/>
  <c r="AA210" i="17"/>
  <c r="U211" i="17"/>
  <c r="AF211" i="17" s="1"/>
  <c r="V211" i="17"/>
  <c r="W211" i="17"/>
  <c r="X211" i="17"/>
  <c r="Y211" i="17"/>
  <c r="Z211" i="17"/>
  <c r="AA211" i="17"/>
  <c r="U212" i="17"/>
  <c r="AF212" i="17" s="1"/>
  <c r="V212" i="17"/>
  <c r="W212" i="17"/>
  <c r="X212" i="17"/>
  <c r="Y212" i="17"/>
  <c r="Z212" i="17"/>
  <c r="AA212" i="17"/>
  <c r="U213" i="17"/>
  <c r="AF213" i="17" s="1"/>
  <c r="V213" i="17"/>
  <c r="W213" i="17"/>
  <c r="X213" i="17"/>
  <c r="Y213" i="17"/>
  <c r="Z213" i="17"/>
  <c r="AA213" i="17"/>
  <c r="U214" i="17"/>
  <c r="AF214" i="17" s="1"/>
  <c r="V214" i="17"/>
  <c r="W214" i="17"/>
  <c r="X214" i="17"/>
  <c r="Y214" i="17"/>
  <c r="Z214" i="17"/>
  <c r="AA214" i="17"/>
  <c r="U215" i="17"/>
  <c r="AF215" i="17" s="1"/>
  <c r="V215" i="17"/>
  <c r="W215" i="17"/>
  <c r="X215" i="17"/>
  <c r="Y215" i="17"/>
  <c r="Z215" i="17"/>
  <c r="AA215" i="17"/>
  <c r="U216" i="17"/>
  <c r="AF216" i="17" s="1"/>
  <c r="V216" i="17"/>
  <c r="W216" i="17"/>
  <c r="X216" i="17"/>
  <c r="Y216" i="17"/>
  <c r="Z216" i="17"/>
  <c r="AA216" i="17"/>
  <c r="U217" i="17"/>
  <c r="AF217" i="17" s="1"/>
  <c r="V217" i="17"/>
  <c r="W217" i="17"/>
  <c r="X217" i="17"/>
  <c r="Y217" i="17"/>
  <c r="Z217" i="17"/>
  <c r="AA217" i="17"/>
  <c r="U218" i="17"/>
  <c r="AF218" i="17" s="1"/>
  <c r="V218" i="17"/>
  <c r="W218" i="17"/>
  <c r="X218" i="17"/>
  <c r="Y218" i="17"/>
  <c r="Z218" i="17"/>
  <c r="AA218" i="17"/>
  <c r="U219" i="17"/>
  <c r="AF219" i="17" s="1"/>
  <c r="V219" i="17"/>
  <c r="W219" i="17"/>
  <c r="X219" i="17"/>
  <c r="Y219" i="17"/>
  <c r="Z219" i="17"/>
  <c r="AA219" i="17"/>
  <c r="U220" i="17"/>
  <c r="AF220" i="17" s="1"/>
  <c r="V220" i="17"/>
  <c r="W220" i="17"/>
  <c r="X220" i="17"/>
  <c r="Y220" i="17"/>
  <c r="Z220" i="17"/>
  <c r="AA220" i="17"/>
  <c r="U221" i="17"/>
  <c r="AF221" i="17" s="1"/>
  <c r="V221" i="17"/>
  <c r="W221" i="17"/>
  <c r="X221" i="17"/>
  <c r="Y221" i="17"/>
  <c r="Z221" i="17"/>
  <c r="AA221" i="17"/>
  <c r="U222" i="17"/>
  <c r="AF222" i="17" s="1"/>
  <c r="V222" i="17"/>
  <c r="W222" i="17"/>
  <c r="X222" i="17"/>
  <c r="Y222" i="17"/>
  <c r="Z222" i="17"/>
  <c r="AA222" i="17"/>
  <c r="U223" i="17"/>
  <c r="AF223" i="17" s="1"/>
  <c r="V223" i="17"/>
  <c r="W223" i="17"/>
  <c r="X223" i="17"/>
  <c r="Y223" i="17"/>
  <c r="Z223" i="17"/>
  <c r="AA223" i="17"/>
  <c r="U224" i="17"/>
  <c r="AF224" i="17" s="1"/>
  <c r="V224" i="17"/>
  <c r="W224" i="17"/>
  <c r="X224" i="17"/>
  <c r="Y224" i="17"/>
  <c r="Z224" i="17"/>
  <c r="AA224" i="17"/>
  <c r="U225" i="17"/>
  <c r="AF225" i="17" s="1"/>
  <c r="V225" i="17"/>
  <c r="W225" i="17"/>
  <c r="X225" i="17"/>
  <c r="Y225" i="17"/>
  <c r="Z225" i="17"/>
  <c r="AA225" i="17"/>
  <c r="U226" i="17"/>
  <c r="AF226" i="17" s="1"/>
  <c r="V226" i="17"/>
  <c r="W226" i="17"/>
  <c r="X226" i="17"/>
  <c r="Y226" i="17"/>
  <c r="Z226" i="17"/>
  <c r="AA226" i="17"/>
  <c r="U227" i="17"/>
  <c r="AF227" i="17" s="1"/>
  <c r="V227" i="17"/>
  <c r="W227" i="17"/>
  <c r="X227" i="17"/>
  <c r="Y227" i="17"/>
  <c r="Z227" i="17"/>
  <c r="AA227" i="17"/>
  <c r="U228" i="17"/>
  <c r="AF228" i="17" s="1"/>
  <c r="V228" i="17"/>
  <c r="W228" i="17"/>
  <c r="X228" i="17"/>
  <c r="Y228" i="17"/>
  <c r="Z228" i="17"/>
  <c r="AA228" i="17"/>
  <c r="U229" i="17"/>
  <c r="AF229" i="17" s="1"/>
  <c r="V229" i="17"/>
  <c r="W229" i="17"/>
  <c r="X229" i="17"/>
  <c r="Y229" i="17"/>
  <c r="Z229" i="17"/>
  <c r="AA229" i="17"/>
  <c r="U230" i="17"/>
  <c r="AF230" i="17" s="1"/>
  <c r="V230" i="17"/>
  <c r="W230" i="17"/>
  <c r="X230" i="17"/>
  <c r="Y230" i="17"/>
  <c r="Z230" i="17"/>
  <c r="AA230" i="17"/>
  <c r="U231" i="17"/>
  <c r="AF231" i="17" s="1"/>
  <c r="V231" i="17"/>
  <c r="W231" i="17"/>
  <c r="X231" i="17"/>
  <c r="Y231" i="17"/>
  <c r="Z231" i="17"/>
  <c r="AA231" i="17"/>
  <c r="U232" i="17"/>
  <c r="AF232" i="17" s="1"/>
  <c r="V232" i="17"/>
  <c r="W232" i="17"/>
  <c r="X232" i="17"/>
  <c r="Y232" i="17"/>
  <c r="Z232" i="17"/>
  <c r="AA232" i="17"/>
  <c r="U233" i="17"/>
  <c r="AF233" i="17" s="1"/>
  <c r="V233" i="17"/>
  <c r="W233" i="17"/>
  <c r="X233" i="17"/>
  <c r="Y233" i="17"/>
  <c r="Z233" i="17"/>
  <c r="AA233" i="17"/>
  <c r="U234" i="17"/>
  <c r="AF234" i="17" s="1"/>
  <c r="V234" i="17"/>
  <c r="W234" i="17"/>
  <c r="X234" i="17"/>
  <c r="Y234" i="17"/>
  <c r="Z234" i="17"/>
  <c r="AA234" i="17"/>
  <c r="U235" i="17"/>
  <c r="AF235" i="17" s="1"/>
  <c r="V235" i="17"/>
  <c r="W235" i="17"/>
  <c r="X235" i="17"/>
  <c r="Y235" i="17"/>
  <c r="Z235" i="17"/>
  <c r="AA235" i="17"/>
  <c r="U236" i="17"/>
  <c r="AF236" i="17" s="1"/>
  <c r="V236" i="17"/>
  <c r="W236" i="17"/>
  <c r="X236" i="17"/>
  <c r="Y236" i="17"/>
  <c r="Z236" i="17"/>
  <c r="AA236" i="17"/>
  <c r="U237" i="17"/>
  <c r="AF237" i="17" s="1"/>
  <c r="V237" i="17"/>
  <c r="W237" i="17"/>
  <c r="X237" i="17"/>
  <c r="Y237" i="17"/>
  <c r="Z237" i="17"/>
  <c r="AA237" i="17"/>
  <c r="U238" i="17"/>
  <c r="AF238" i="17" s="1"/>
  <c r="V238" i="17"/>
  <c r="W238" i="17"/>
  <c r="X238" i="17"/>
  <c r="Y238" i="17"/>
  <c r="Z238" i="17"/>
  <c r="AA238" i="17"/>
  <c r="U239" i="17"/>
  <c r="AF239" i="17" s="1"/>
  <c r="V239" i="17"/>
  <c r="W239" i="17"/>
  <c r="X239" i="17"/>
  <c r="Y239" i="17"/>
  <c r="Z239" i="17"/>
  <c r="AA239" i="17"/>
  <c r="U240" i="17"/>
  <c r="AF240" i="17" s="1"/>
  <c r="V240" i="17"/>
  <c r="W240" i="17"/>
  <c r="X240" i="17"/>
  <c r="Y240" i="17"/>
  <c r="Z240" i="17"/>
  <c r="AA240" i="17"/>
  <c r="U241" i="17"/>
  <c r="AF241" i="17" s="1"/>
  <c r="V241" i="17"/>
  <c r="W241" i="17"/>
  <c r="X241" i="17"/>
  <c r="Y241" i="17"/>
  <c r="Z241" i="17"/>
  <c r="AA241" i="17"/>
  <c r="U242" i="17"/>
  <c r="AF242" i="17" s="1"/>
  <c r="V242" i="17"/>
  <c r="W242" i="17"/>
  <c r="X242" i="17"/>
  <c r="Y242" i="17"/>
  <c r="Z242" i="17"/>
  <c r="AA242" i="17"/>
  <c r="U243" i="17"/>
  <c r="AF243" i="17" s="1"/>
  <c r="V243" i="17"/>
  <c r="W243" i="17"/>
  <c r="X243" i="17"/>
  <c r="Y243" i="17"/>
  <c r="Z243" i="17"/>
  <c r="AA243" i="17"/>
  <c r="U244" i="17"/>
  <c r="AF244" i="17" s="1"/>
  <c r="V244" i="17"/>
  <c r="W244" i="17"/>
  <c r="X244" i="17"/>
  <c r="Y244" i="17"/>
  <c r="Z244" i="17"/>
  <c r="AA244" i="17"/>
  <c r="U245" i="17"/>
  <c r="AF245" i="17" s="1"/>
  <c r="V245" i="17"/>
  <c r="W245" i="17"/>
  <c r="X245" i="17"/>
  <c r="Y245" i="17"/>
  <c r="Z245" i="17"/>
  <c r="AA245" i="17"/>
  <c r="U246" i="17"/>
  <c r="AF246" i="17" s="1"/>
  <c r="V246" i="17"/>
  <c r="W246" i="17"/>
  <c r="X246" i="17"/>
  <c r="Y246" i="17"/>
  <c r="Z246" i="17"/>
  <c r="AA246" i="17"/>
  <c r="U247" i="17"/>
  <c r="AF247" i="17" s="1"/>
  <c r="V247" i="17"/>
  <c r="W247" i="17"/>
  <c r="X247" i="17"/>
  <c r="Y247" i="17"/>
  <c r="Z247" i="17"/>
  <c r="AA247" i="17"/>
  <c r="U248" i="17"/>
  <c r="AF248" i="17" s="1"/>
  <c r="V248" i="17"/>
  <c r="W248" i="17"/>
  <c r="X248" i="17"/>
  <c r="Y248" i="17"/>
  <c r="Z248" i="17"/>
  <c r="AA248" i="17"/>
  <c r="U249" i="17"/>
  <c r="AF249" i="17" s="1"/>
  <c r="V249" i="17"/>
  <c r="W249" i="17"/>
  <c r="X249" i="17"/>
  <c r="Y249" i="17"/>
  <c r="Z249" i="17"/>
  <c r="AA249" i="17"/>
  <c r="U250" i="17"/>
  <c r="AF250" i="17" s="1"/>
  <c r="V250" i="17"/>
  <c r="W250" i="17"/>
  <c r="X250" i="17"/>
  <c r="Y250" i="17"/>
  <c r="Z250" i="17"/>
  <c r="AA250" i="17"/>
  <c r="U251" i="17"/>
  <c r="AF251" i="17" s="1"/>
  <c r="V251" i="17"/>
  <c r="W251" i="17"/>
  <c r="X251" i="17"/>
  <c r="Y251" i="17"/>
  <c r="Z251" i="17"/>
  <c r="AA251" i="17"/>
  <c r="U252" i="17"/>
  <c r="AF252" i="17" s="1"/>
  <c r="V252" i="17"/>
  <c r="W252" i="17"/>
  <c r="X252" i="17"/>
  <c r="Y252" i="17"/>
  <c r="Z252" i="17"/>
  <c r="AA252" i="17"/>
  <c r="U253" i="17"/>
  <c r="AF253" i="17" s="1"/>
  <c r="V253" i="17"/>
  <c r="W253" i="17"/>
  <c r="X253" i="17"/>
  <c r="Y253" i="17"/>
  <c r="Z253" i="17"/>
  <c r="AA253" i="17"/>
  <c r="U254" i="17"/>
  <c r="AF254" i="17" s="1"/>
  <c r="V254" i="17"/>
  <c r="W254" i="17"/>
  <c r="X254" i="17"/>
  <c r="Y254" i="17"/>
  <c r="Z254" i="17"/>
  <c r="AA254" i="17"/>
  <c r="U255" i="17"/>
  <c r="AF255" i="17" s="1"/>
  <c r="V255" i="17"/>
  <c r="W255" i="17"/>
  <c r="X255" i="17"/>
  <c r="Y255" i="17"/>
  <c r="Z255" i="17"/>
  <c r="AA255" i="17"/>
  <c r="U256" i="17"/>
  <c r="AF256" i="17" s="1"/>
  <c r="V256" i="17"/>
  <c r="W256" i="17"/>
  <c r="X256" i="17"/>
  <c r="Y256" i="17"/>
  <c r="Z256" i="17"/>
  <c r="AA256" i="17"/>
  <c r="U257" i="17"/>
  <c r="AF257" i="17" s="1"/>
  <c r="V257" i="17"/>
  <c r="W257" i="17"/>
  <c r="X257" i="17"/>
  <c r="Y257" i="17"/>
  <c r="Z257" i="17"/>
  <c r="AA257" i="17"/>
  <c r="U258" i="17"/>
  <c r="AF258" i="17" s="1"/>
  <c r="V258" i="17"/>
  <c r="W258" i="17"/>
  <c r="X258" i="17"/>
  <c r="Y258" i="17"/>
  <c r="Z258" i="17"/>
  <c r="AA258" i="17"/>
  <c r="U259" i="17"/>
  <c r="AF259" i="17" s="1"/>
  <c r="V259" i="17"/>
  <c r="W259" i="17"/>
  <c r="X259" i="17"/>
  <c r="Y259" i="17"/>
  <c r="Z259" i="17"/>
  <c r="AA259" i="17"/>
  <c r="U260" i="17"/>
  <c r="AF260" i="17" s="1"/>
  <c r="V260" i="17"/>
  <c r="W260" i="17"/>
  <c r="X260" i="17"/>
  <c r="Y260" i="17"/>
  <c r="Z260" i="17"/>
  <c r="AA260" i="17"/>
  <c r="U261" i="17"/>
  <c r="AF261" i="17" s="1"/>
  <c r="V261" i="17"/>
  <c r="W261" i="17"/>
  <c r="X261" i="17"/>
  <c r="Y261" i="17"/>
  <c r="Z261" i="17"/>
  <c r="AA261" i="17"/>
  <c r="U262" i="17"/>
  <c r="AF262" i="17" s="1"/>
  <c r="V262" i="17"/>
  <c r="W262" i="17"/>
  <c r="X262" i="17"/>
  <c r="Y262" i="17"/>
  <c r="Z262" i="17"/>
  <c r="AA262" i="17"/>
  <c r="U263" i="17"/>
  <c r="AF263" i="17" s="1"/>
  <c r="V263" i="17"/>
  <c r="W263" i="17"/>
  <c r="X263" i="17"/>
  <c r="Y263" i="17"/>
  <c r="Z263" i="17"/>
  <c r="AA263" i="17"/>
  <c r="U264" i="17"/>
  <c r="AF264" i="17" s="1"/>
  <c r="V264" i="17"/>
  <c r="W264" i="17"/>
  <c r="X264" i="17"/>
  <c r="Y264" i="17"/>
  <c r="Z264" i="17"/>
  <c r="AA264" i="17"/>
  <c r="U265" i="17"/>
  <c r="AF265" i="17" s="1"/>
  <c r="V265" i="17"/>
  <c r="W265" i="17"/>
  <c r="X265" i="17"/>
  <c r="Y265" i="17"/>
  <c r="Z265" i="17"/>
  <c r="AA265" i="17"/>
  <c r="U266" i="17"/>
  <c r="AF266" i="17" s="1"/>
  <c r="V266" i="17"/>
  <c r="W266" i="17"/>
  <c r="X266" i="17"/>
  <c r="Y266" i="17"/>
  <c r="Z266" i="17"/>
  <c r="AA266" i="17"/>
  <c r="U267" i="17"/>
  <c r="AF267" i="17" s="1"/>
  <c r="V267" i="17"/>
  <c r="W267" i="17"/>
  <c r="X267" i="17"/>
  <c r="Y267" i="17"/>
  <c r="Z267" i="17"/>
  <c r="AA267" i="17"/>
  <c r="U268" i="17"/>
  <c r="AF268" i="17" s="1"/>
  <c r="V268" i="17"/>
  <c r="W268" i="17"/>
  <c r="X268" i="17"/>
  <c r="Y268" i="17"/>
  <c r="Z268" i="17"/>
  <c r="AA268" i="17"/>
  <c r="U269" i="17"/>
  <c r="AF269" i="17" s="1"/>
  <c r="V269" i="17"/>
  <c r="W269" i="17"/>
  <c r="X269" i="17"/>
  <c r="Y269" i="17"/>
  <c r="Z269" i="17"/>
  <c r="AA269" i="17"/>
  <c r="U270" i="17"/>
  <c r="AF270" i="17" s="1"/>
  <c r="V270" i="17"/>
  <c r="W270" i="17"/>
  <c r="X270" i="17"/>
  <c r="Y270" i="17"/>
  <c r="Z270" i="17"/>
  <c r="AA270" i="17"/>
  <c r="U271" i="17"/>
  <c r="AF271" i="17" s="1"/>
  <c r="V271" i="17"/>
  <c r="W271" i="17"/>
  <c r="X271" i="17"/>
  <c r="Y271" i="17"/>
  <c r="Z271" i="17"/>
  <c r="AA271" i="17"/>
  <c r="U272" i="17"/>
  <c r="AF272" i="17" s="1"/>
  <c r="V272" i="17"/>
  <c r="W272" i="17"/>
  <c r="X272" i="17"/>
  <c r="Y272" i="17"/>
  <c r="Z272" i="17"/>
  <c r="AA272" i="17"/>
  <c r="U273" i="17"/>
  <c r="AF273" i="17" s="1"/>
  <c r="V273" i="17"/>
  <c r="W273" i="17"/>
  <c r="X273" i="17"/>
  <c r="Y273" i="17"/>
  <c r="Z273" i="17"/>
  <c r="AA273" i="17"/>
  <c r="U274" i="17"/>
  <c r="AF274" i="17" s="1"/>
  <c r="V274" i="17"/>
  <c r="W274" i="17"/>
  <c r="X274" i="17"/>
  <c r="Y274" i="17"/>
  <c r="Z274" i="17"/>
  <c r="AA274" i="17"/>
  <c r="U275" i="17"/>
  <c r="AF275" i="17" s="1"/>
  <c r="V275" i="17"/>
  <c r="W275" i="17"/>
  <c r="X275" i="17"/>
  <c r="Y275" i="17"/>
  <c r="Z275" i="17"/>
  <c r="AA275" i="17"/>
  <c r="U276" i="17"/>
  <c r="AF276" i="17" s="1"/>
  <c r="V276" i="17"/>
  <c r="W276" i="17"/>
  <c r="X276" i="17"/>
  <c r="Y276" i="17"/>
  <c r="Z276" i="17"/>
  <c r="AA276" i="17"/>
  <c r="U277" i="17"/>
  <c r="AF277" i="17" s="1"/>
  <c r="V277" i="17"/>
  <c r="W277" i="17"/>
  <c r="X277" i="17"/>
  <c r="Y277" i="17"/>
  <c r="Z277" i="17"/>
  <c r="AA277" i="17"/>
  <c r="U278" i="17"/>
  <c r="AF278" i="17" s="1"/>
  <c r="V278" i="17"/>
  <c r="W278" i="17"/>
  <c r="X278" i="17"/>
  <c r="Y278" i="17"/>
  <c r="Z278" i="17"/>
  <c r="AA278" i="17"/>
  <c r="U279" i="17"/>
  <c r="AF279" i="17" s="1"/>
  <c r="V279" i="17"/>
  <c r="W279" i="17"/>
  <c r="X279" i="17"/>
  <c r="Y279" i="17"/>
  <c r="Z279" i="17"/>
  <c r="AA279" i="17"/>
  <c r="U280" i="17"/>
  <c r="AF280" i="17" s="1"/>
  <c r="V280" i="17"/>
  <c r="W280" i="17"/>
  <c r="X280" i="17"/>
  <c r="Y280" i="17"/>
  <c r="Z280" i="17"/>
  <c r="AA280" i="17"/>
  <c r="U281" i="17"/>
  <c r="AF281" i="17" s="1"/>
  <c r="V281" i="17"/>
  <c r="W281" i="17"/>
  <c r="X281" i="17"/>
  <c r="Y281" i="17"/>
  <c r="Z281" i="17"/>
  <c r="AA281" i="17"/>
  <c r="U282" i="17"/>
  <c r="AF282" i="17" s="1"/>
  <c r="V282" i="17"/>
  <c r="W282" i="17"/>
  <c r="X282" i="17"/>
  <c r="Y282" i="17"/>
  <c r="Z282" i="17"/>
  <c r="AA282" i="17"/>
  <c r="U283" i="17"/>
  <c r="AF283" i="17" s="1"/>
  <c r="V283" i="17"/>
  <c r="W283" i="17"/>
  <c r="X283" i="17"/>
  <c r="Y283" i="17"/>
  <c r="Z283" i="17"/>
  <c r="AA283" i="17"/>
  <c r="U284" i="17"/>
  <c r="AF284" i="17" s="1"/>
  <c r="V284" i="17"/>
  <c r="W284" i="17"/>
  <c r="X284" i="17"/>
  <c r="Y284" i="17"/>
  <c r="Z284" i="17"/>
  <c r="AA284" i="17"/>
  <c r="U285" i="17"/>
  <c r="AF285" i="17" s="1"/>
  <c r="V285" i="17"/>
  <c r="W285" i="17"/>
  <c r="X285" i="17"/>
  <c r="Y285" i="17"/>
  <c r="Z285" i="17"/>
  <c r="AA285" i="17"/>
  <c r="U286" i="17"/>
  <c r="AF286" i="17" s="1"/>
  <c r="V286" i="17"/>
  <c r="W286" i="17"/>
  <c r="X286" i="17"/>
  <c r="Y286" i="17"/>
  <c r="Z286" i="17"/>
  <c r="AA286" i="17"/>
  <c r="U287" i="17"/>
  <c r="AF287" i="17" s="1"/>
  <c r="V287" i="17"/>
  <c r="W287" i="17"/>
  <c r="X287" i="17"/>
  <c r="Y287" i="17"/>
  <c r="Z287" i="17"/>
  <c r="AA287" i="17"/>
  <c r="U288" i="17"/>
  <c r="AF288" i="17" s="1"/>
  <c r="V288" i="17"/>
  <c r="W288" i="17"/>
  <c r="X288" i="17"/>
  <c r="Y288" i="17"/>
  <c r="Z288" i="17"/>
  <c r="AA288" i="17"/>
  <c r="U289" i="17"/>
  <c r="AF289" i="17" s="1"/>
  <c r="V289" i="17"/>
  <c r="W289" i="17"/>
  <c r="X289" i="17"/>
  <c r="Y289" i="17"/>
  <c r="Z289" i="17"/>
  <c r="AA289" i="17"/>
  <c r="U290" i="17"/>
  <c r="AF290" i="17" s="1"/>
  <c r="V290" i="17"/>
  <c r="W290" i="17"/>
  <c r="X290" i="17"/>
  <c r="Y290" i="17"/>
  <c r="Z290" i="17"/>
  <c r="AA290" i="17"/>
  <c r="U291" i="17"/>
  <c r="AF291" i="17" s="1"/>
  <c r="V291" i="17"/>
  <c r="W291" i="17"/>
  <c r="X291" i="17"/>
  <c r="Y291" i="17"/>
  <c r="Z291" i="17"/>
  <c r="AA291" i="17"/>
  <c r="U292" i="17"/>
  <c r="AF292" i="17" s="1"/>
  <c r="V292" i="17"/>
  <c r="W292" i="17"/>
  <c r="X292" i="17"/>
  <c r="Y292" i="17"/>
  <c r="Z292" i="17"/>
  <c r="AA292" i="17"/>
  <c r="U293" i="17"/>
  <c r="AF293" i="17" s="1"/>
  <c r="V293" i="17"/>
  <c r="W293" i="17"/>
  <c r="X293" i="17"/>
  <c r="Y293" i="17"/>
  <c r="Z293" i="17"/>
  <c r="AA293" i="17"/>
  <c r="U294" i="17"/>
  <c r="AF294" i="17" s="1"/>
  <c r="V294" i="17"/>
  <c r="W294" i="17"/>
  <c r="X294" i="17"/>
  <c r="Y294" i="17"/>
  <c r="Z294" i="17"/>
  <c r="AA294" i="17"/>
  <c r="U295" i="17"/>
  <c r="AF295" i="17" s="1"/>
  <c r="V295" i="17"/>
  <c r="W295" i="17"/>
  <c r="X295" i="17"/>
  <c r="Y295" i="17"/>
  <c r="Z295" i="17"/>
  <c r="AA295" i="17"/>
  <c r="U296" i="17"/>
  <c r="AF296" i="17" s="1"/>
  <c r="V296" i="17"/>
  <c r="W296" i="17"/>
  <c r="X296" i="17"/>
  <c r="Y296" i="17"/>
  <c r="Z296" i="17"/>
  <c r="AA296" i="17"/>
  <c r="U297" i="17"/>
  <c r="AF297" i="17" s="1"/>
  <c r="V297" i="17"/>
  <c r="W297" i="17"/>
  <c r="X297" i="17"/>
  <c r="Y297" i="17"/>
  <c r="Z297" i="17"/>
  <c r="AA297" i="17"/>
  <c r="U298" i="17"/>
  <c r="AF298" i="17" s="1"/>
  <c r="V298" i="17"/>
  <c r="W298" i="17"/>
  <c r="X298" i="17"/>
  <c r="Y298" i="17"/>
  <c r="Z298" i="17"/>
  <c r="AA298" i="17"/>
  <c r="U299" i="17"/>
  <c r="AF299" i="17" s="1"/>
  <c r="V299" i="17"/>
  <c r="W299" i="17"/>
  <c r="X299" i="17"/>
  <c r="Y299" i="17"/>
  <c r="Z299" i="17"/>
  <c r="AA299" i="17"/>
  <c r="U300" i="17"/>
  <c r="AF300" i="17" s="1"/>
  <c r="V300" i="17"/>
  <c r="W300" i="17"/>
  <c r="X300" i="17"/>
  <c r="Y300" i="17"/>
  <c r="Z300" i="17"/>
  <c r="AA300" i="17"/>
  <c r="U301" i="17"/>
  <c r="AF301" i="17" s="1"/>
  <c r="V301" i="17"/>
  <c r="W301" i="17"/>
  <c r="X301" i="17"/>
  <c r="Y301" i="17"/>
  <c r="Z301" i="17"/>
  <c r="AA301" i="17"/>
  <c r="U302" i="17"/>
  <c r="AF302" i="17" s="1"/>
  <c r="V302" i="17"/>
  <c r="W302" i="17"/>
  <c r="X302" i="17"/>
  <c r="Y302" i="17"/>
  <c r="Z302" i="17"/>
  <c r="AA302" i="17"/>
  <c r="U303" i="17"/>
  <c r="AF303" i="17" s="1"/>
  <c r="V303" i="17"/>
  <c r="W303" i="17"/>
  <c r="X303" i="17"/>
  <c r="Y303" i="17"/>
  <c r="Z303" i="17"/>
  <c r="AA303" i="17"/>
  <c r="U304" i="17"/>
  <c r="AF304" i="17" s="1"/>
  <c r="V304" i="17"/>
  <c r="W304" i="17"/>
  <c r="X304" i="17"/>
  <c r="Y304" i="17"/>
  <c r="Z304" i="17"/>
  <c r="AA304" i="17"/>
  <c r="U305" i="17"/>
  <c r="AF305" i="17" s="1"/>
  <c r="V305" i="17"/>
  <c r="W305" i="17"/>
  <c r="X305" i="17"/>
  <c r="Y305" i="17"/>
  <c r="Z305" i="17"/>
  <c r="AA305" i="17"/>
  <c r="U306" i="17"/>
  <c r="AF306" i="17" s="1"/>
  <c r="V306" i="17"/>
  <c r="W306" i="17"/>
  <c r="X306" i="17"/>
  <c r="Y306" i="17"/>
  <c r="Z306" i="17"/>
  <c r="AA306" i="17"/>
  <c r="U307" i="17"/>
  <c r="AF307" i="17" s="1"/>
  <c r="V307" i="17"/>
  <c r="W307" i="17"/>
  <c r="X307" i="17"/>
  <c r="Y307" i="17"/>
  <c r="Z307" i="17"/>
  <c r="AA307" i="17"/>
  <c r="U308" i="17"/>
  <c r="AF308" i="17" s="1"/>
  <c r="V308" i="17"/>
  <c r="W308" i="17"/>
  <c r="X308" i="17"/>
  <c r="Y308" i="17"/>
  <c r="Z308" i="17"/>
  <c r="AA308" i="17"/>
  <c r="U309" i="17"/>
  <c r="AF309" i="17" s="1"/>
  <c r="V309" i="17"/>
  <c r="W309" i="17"/>
  <c r="X309" i="17"/>
  <c r="Y309" i="17"/>
  <c r="Z309" i="17"/>
  <c r="AA309" i="17"/>
  <c r="U310" i="17"/>
  <c r="AF310" i="17" s="1"/>
  <c r="V310" i="17"/>
  <c r="W310" i="17"/>
  <c r="X310" i="17"/>
  <c r="Y310" i="17"/>
  <c r="Z310" i="17"/>
  <c r="AA310" i="17"/>
  <c r="U311" i="17"/>
  <c r="AF311" i="17" s="1"/>
  <c r="V311" i="17"/>
  <c r="W311" i="17"/>
  <c r="X311" i="17"/>
  <c r="Y311" i="17"/>
  <c r="Z311" i="17"/>
  <c r="AA311" i="17"/>
  <c r="U312" i="17"/>
  <c r="AF312" i="17" s="1"/>
  <c r="V312" i="17"/>
  <c r="W312" i="17"/>
  <c r="X312" i="17"/>
  <c r="Y312" i="17"/>
  <c r="Z312" i="17"/>
  <c r="AA312" i="17"/>
  <c r="U313" i="17"/>
  <c r="AF313" i="17" s="1"/>
  <c r="V313" i="17"/>
  <c r="W313" i="17"/>
  <c r="X313" i="17"/>
  <c r="Y313" i="17"/>
  <c r="Z313" i="17"/>
  <c r="AA313" i="17"/>
  <c r="U314" i="17"/>
  <c r="AF314" i="17" s="1"/>
  <c r="V314" i="17"/>
  <c r="W314" i="17"/>
  <c r="X314" i="17"/>
  <c r="Y314" i="17"/>
  <c r="Z314" i="17"/>
  <c r="AA314" i="17"/>
  <c r="U315" i="17"/>
  <c r="AF315" i="17" s="1"/>
  <c r="V315" i="17"/>
  <c r="W315" i="17"/>
  <c r="X315" i="17"/>
  <c r="Y315" i="17"/>
  <c r="Z315" i="17"/>
  <c r="AA315" i="17"/>
  <c r="U316" i="17"/>
  <c r="AF316" i="17" s="1"/>
  <c r="V316" i="17"/>
  <c r="W316" i="17"/>
  <c r="X316" i="17"/>
  <c r="Y316" i="17"/>
  <c r="Z316" i="17"/>
  <c r="AA316" i="17"/>
  <c r="U317" i="17"/>
  <c r="AF317" i="17" s="1"/>
  <c r="V317" i="17"/>
  <c r="W317" i="17"/>
  <c r="X317" i="17"/>
  <c r="Y317" i="17"/>
  <c r="Z317" i="17"/>
  <c r="AA317" i="17"/>
  <c r="U318" i="17"/>
  <c r="AF318" i="17" s="1"/>
  <c r="V318" i="17"/>
  <c r="W318" i="17"/>
  <c r="X318" i="17"/>
  <c r="Y318" i="17"/>
  <c r="Z318" i="17"/>
  <c r="AA318" i="17"/>
  <c r="U319" i="17"/>
  <c r="AF319" i="17" s="1"/>
  <c r="V319" i="17"/>
  <c r="W319" i="17"/>
  <c r="X319" i="17"/>
  <c r="Y319" i="17"/>
  <c r="Z319" i="17"/>
  <c r="AA319" i="17"/>
  <c r="U320" i="17"/>
  <c r="AF320" i="17" s="1"/>
  <c r="V320" i="17"/>
  <c r="W320" i="17"/>
  <c r="X320" i="17"/>
  <c r="Y320" i="17"/>
  <c r="Z320" i="17"/>
  <c r="AA320" i="17"/>
  <c r="U321" i="17"/>
  <c r="AF321" i="17" s="1"/>
  <c r="V321" i="17"/>
  <c r="W321" i="17"/>
  <c r="X321" i="17"/>
  <c r="Y321" i="17"/>
  <c r="Z321" i="17"/>
  <c r="AA321" i="17"/>
  <c r="U322" i="17"/>
  <c r="AF322" i="17" s="1"/>
  <c r="V322" i="17"/>
  <c r="W322" i="17"/>
  <c r="X322" i="17"/>
  <c r="Y322" i="17"/>
  <c r="Z322" i="17"/>
  <c r="AA322" i="17"/>
  <c r="U323" i="17"/>
  <c r="AF323" i="17" s="1"/>
  <c r="V323" i="17"/>
  <c r="W323" i="17"/>
  <c r="X323" i="17"/>
  <c r="Y323" i="17"/>
  <c r="Z323" i="17"/>
  <c r="AA323" i="17"/>
  <c r="U324" i="17"/>
  <c r="AF324" i="17" s="1"/>
  <c r="V324" i="17"/>
  <c r="W324" i="17"/>
  <c r="X324" i="17"/>
  <c r="Y324" i="17"/>
  <c r="Z324" i="17"/>
  <c r="AA324" i="17"/>
  <c r="U325" i="17"/>
  <c r="AF325" i="17" s="1"/>
  <c r="V325" i="17"/>
  <c r="W325" i="17"/>
  <c r="X325" i="17"/>
  <c r="Y325" i="17"/>
  <c r="Z325" i="17"/>
  <c r="AA325" i="17"/>
  <c r="U326" i="17"/>
  <c r="AF326" i="17" s="1"/>
  <c r="V326" i="17"/>
  <c r="W326" i="17"/>
  <c r="X326" i="17"/>
  <c r="Y326" i="17"/>
  <c r="Z326" i="17"/>
  <c r="AA326" i="17"/>
  <c r="U327" i="17"/>
  <c r="AF327" i="17" s="1"/>
  <c r="V327" i="17"/>
  <c r="W327" i="17"/>
  <c r="X327" i="17"/>
  <c r="Y327" i="17"/>
  <c r="Z327" i="17"/>
  <c r="AA327" i="17"/>
  <c r="U328" i="17"/>
  <c r="AF328" i="17" s="1"/>
  <c r="V328" i="17"/>
  <c r="W328" i="17"/>
  <c r="X328" i="17"/>
  <c r="Y328" i="17"/>
  <c r="Z328" i="17"/>
  <c r="AA328" i="17"/>
  <c r="U329" i="17"/>
  <c r="AF329" i="17" s="1"/>
  <c r="V329" i="17"/>
  <c r="W329" i="17"/>
  <c r="X329" i="17"/>
  <c r="Y329" i="17"/>
  <c r="Z329" i="17"/>
  <c r="AA329" i="17"/>
  <c r="U330" i="17"/>
  <c r="AF330" i="17" s="1"/>
  <c r="V330" i="17"/>
  <c r="W330" i="17"/>
  <c r="X330" i="17"/>
  <c r="Y330" i="17"/>
  <c r="Z330" i="17"/>
  <c r="AA330" i="17"/>
  <c r="U331" i="17"/>
  <c r="AF331" i="17" s="1"/>
  <c r="V331" i="17"/>
  <c r="W331" i="17"/>
  <c r="X331" i="17"/>
  <c r="Y331" i="17"/>
  <c r="Z331" i="17"/>
  <c r="AA331" i="17"/>
  <c r="U332" i="17"/>
  <c r="AF332" i="17" s="1"/>
  <c r="V332" i="17"/>
  <c r="W332" i="17"/>
  <c r="X332" i="17"/>
  <c r="Y332" i="17"/>
  <c r="Z332" i="17"/>
  <c r="AA332" i="17"/>
  <c r="U333" i="17"/>
  <c r="AF333" i="17" s="1"/>
  <c r="V333" i="17"/>
  <c r="W333" i="17"/>
  <c r="X333" i="17"/>
  <c r="Y333" i="17"/>
  <c r="Z333" i="17"/>
  <c r="AA333" i="17"/>
  <c r="U334" i="17"/>
  <c r="AF334" i="17" s="1"/>
  <c r="V334" i="17"/>
  <c r="W334" i="17"/>
  <c r="X334" i="17"/>
  <c r="Y334" i="17"/>
  <c r="Z334" i="17"/>
  <c r="AA334" i="17"/>
  <c r="U335" i="17"/>
  <c r="AF335" i="17" s="1"/>
  <c r="V335" i="17"/>
  <c r="W335" i="17"/>
  <c r="X335" i="17"/>
  <c r="Y335" i="17"/>
  <c r="Z335" i="17"/>
  <c r="AA335" i="17"/>
  <c r="U336" i="17"/>
  <c r="AF336" i="17" s="1"/>
  <c r="V336" i="17"/>
  <c r="W336" i="17"/>
  <c r="X336" i="17"/>
  <c r="Y336" i="17"/>
  <c r="Z336" i="17"/>
  <c r="AA336" i="17"/>
  <c r="U337" i="17"/>
  <c r="AF337" i="17" s="1"/>
  <c r="V337" i="17"/>
  <c r="W337" i="17"/>
  <c r="X337" i="17"/>
  <c r="Y337" i="17"/>
  <c r="Z337" i="17"/>
  <c r="AA337" i="17"/>
  <c r="U338" i="17"/>
  <c r="AF338" i="17" s="1"/>
  <c r="V338" i="17"/>
  <c r="W338" i="17"/>
  <c r="X338" i="17"/>
  <c r="Y338" i="17"/>
  <c r="Z338" i="17"/>
  <c r="AA338" i="17"/>
  <c r="U339" i="17"/>
  <c r="AF339" i="17" s="1"/>
  <c r="V339" i="17"/>
  <c r="W339" i="17"/>
  <c r="X339" i="17"/>
  <c r="Y339" i="17"/>
  <c r="Z339" i="17"/>
  <c r="AA339" i="17"/>
  <c r="U340" i="17"/>
  <c r="AF340" i="17" s="1"/>
  <c r="V340" i="17"/>
  <c r="W340" i="17"/>
  <c r="X340" i="17"/>
  <c r="Y340" i="17"/>
  <c r="Z340" i="17"/>
  <c r="AA340" i="17"/>
  <c r="U341" i="17"/>
  <c r="AF341" i="17" s="1"/>
  <c r="V341" i="17"/>
  <c r="W341" i="17"/>
  <c r="X341" i="17"/>
  <c r="Y341" i="17"/>
  <c r="Z341" i="17"/>
  <c r="AA341" i="17"/>
  <c r="U342" i="17"/>
  <c r="AF342" i="17" s="1"/>
  <c r="V342" i="17"/>
  <c r="W342" i="17"/>
  <c r="X342" i="17"/>
  <c r="Y342" i="17"/>
  <c r="Z342" i="17"/>
  <c r="AA342" i="17"/>
  <c r="U343" i="17"/>
  <c r="AF343" i="17" s="1"/>
  <c r="V343" i="17"/>
  <c r="W343" i="17"/>
  <c r="X343" i="17"/>
  <c r="Y343" i="17"/>
  <c r="Z343" i="17"/>
  <c r="AA343" i="17"/>
  <c r="U344" i="17"/>
  <c r="AF344" i="17" s="1"/>
  <c r="V344" i="17"/>
  <c r="W344" i="17"/>
  <c r="X344" i="17"/>
  <c r="Y344" i="17"/>
  <c r="Z344" i="17"/>
  <c r="AA344" i="17"/>
  <c r="U345" i="17"/>
  <c r="AF345" i="17" s="1"/>
  <c r="V345" i="17"/>
  <c r="W345" i="17"/>
  <c r="X345" i="17"/>
  <c r="Y345" i="17"/>
  <c r="Z345" i="17"/>
  <c r="AA345" i="17"/>
  <c r="U346" i="17"/>
  <c r="AF346" i="17" s="1"/>
  <c r="V346" i="17"/>
  <c r="W346" i="17"/>
  <c r="X346" i="17"/>
  <c r="Y346" i="17"/>
  <c r="Z346" i="17"/>
  <c r="AA346" i="17"/>
  <c r="U347" i="17"/>
  <c r="AF347" i="17" s="1"/>
  <c r="V347" i="17"/>
  <c r="W347" i="17"/>
  <c r="X347" i="17"/>
  <c r="Y347" i="17"/>
  <c r="Z347" i="17"/>
  <c r="AA347" i="17"/>
  <c r="U348" i="17"/>
  <c r="AF348" i="17" s="1"/>
  <c r="V348" i="17"/>
  <c r="W348" i="17"/>
  <c r="X348" i="17"/>
  <c r="Y348" i="17"/>
  <c r="Z348" i="17"/>
  <c r="AA348" i="17"/>
  <c r="U349" i="17"/>
  <c r="AF349" i="17" s="1"/>
  <c r="V349" i="17"/>
  <c r="W349" i="17"/>
  <c r="X349" i="17"/>
  <c r="Y349" i="17"/>
  <c r="Z349" i="17"/>
  <c r="AA349" i="17"/>
  <c r="U350" i="17"/>
  <c r="AF350" i="17" s="1"/>
  <c r="V350" i="17"/>
  <c r="W350" i="17"/>
  <c r="X350" i="17"/>
  <c r="Y350" i="17"/>
  <c r="Z350" i="17"/>
  <c r="AA350" i="17"/>
  <c r="U351" i="17"/>
  <c r="AF351" i="17" s="1"/>
  <c r="V351" i="17"/>
  <c r="W351" i="17"/>
  <c r="X351" i="17"/>
  <c r="Y351" i="17"/>
  <c r="Z351" i="17"/>
  <c r="AA351" i="17"/>
  <c r="U352" i="17"/>
  <c r="AF352" i="17" s="1"/>
  <c r="V352" i="17"/>
  <c r="W352" i="17"/>
  <c r="X352" i="17"/>
  <c r="Y352" i="17"/>
  <c r="Z352" i="17"/>
  <c r="AA352" i="17"/>
  <c r="U353" i="17"/>
  <c r="AF353" i="17" s="1"/>
  <c r="V353" i="17"/>
  <c r="W353" i="17"/>
  <c r="X353" i="17"/>
  <c r="Y353" i="17"/>
  <c r="Z353" i="17"/>
  <c r="AA353" i="17"/>
  <c r="U354" i="17"/>
  <c r="AF354" i="17" s="1"/>
  <c r="V354" i="17"/>
  <c r="W354" i="17"/>
  <c r="X354" i="17"/>
  <c r="Y354" i="17"/>
  <c r="Z354" i="17"/>
  <c r="AA354" i="17"/>
  <c r="U355" i="17"/>
  <c r="AF355" i="17" s="1"/>
  <c r="V355" i="17"/>
  <c r="W355" i="17"/>
  <c r="X355" i="17"/>
  <c r="Y355" i="17"/>
  <c r="Z355" i="17"/>
  <c r="AA355" i="17"/>
  <c r="U356" i="17"/>
  <c r="AF356" i="17" s="1"/>
  <c r="V356" i="17"/>
  <c r="W356" i="17"/>
  <c r="X356" i="17"/>
  <c r="Y356" i="17"/>
  <c r="Z356" i="17"/>
  <c r="AA356" i="17"/>
  <c r="U357" i="17"/>
  <c r="AF357" i="17" s="1"/>
  <c r="V357" i="17"/>
  <c r="W357" i="17"/>
  <c r="X357" i="17"/>
  <c r="Y357" i="17"/>
  <c r="Z357" i="17"/>
  <c r="AA357" i="17"/>
  <c r="U358" i="17"/>
  <c r="AF358" i="17" s="1"/>
  <c r="V358" i="17"/>
  <c r="W358" i="17"/>
  <c r="X358" i="17"/>
  <c r="Y358" i="17"/>
  <c r="Z358" i="17"/>
  <c r="AA358" i="17"/>
  <c r="U359" i="17"/>
  <c r="AF359" i="17" s="1"/>
  <c r="V359" i="17"/>
  <c r="W359" i="17"/>
  <c r="X359" i="17"/>
  <c r="Y359" i="17"/>
  <c r="Z359" i="17"/>
  <c r="AA359" i="17"/>
  <c r="U360" i="17"/>
  <c r="AF360" i="17" s="1"/>
  <c r="V360" i="17"/>
  <c r="W360" i="17"/>
  <c r="X360" i="17"/>
  <c r="Y360" i="17"/>
  <c r="Z360" i="17"/>
  <c r="AA360" i="17"/>
  <c r="U361" i="17"/>
  <c r="AF361" i="17" s="1"/>
  <c r="V361" i="17"/>
  <c r="W361" i="17"/>
  <c r="X361" i="17"/>
  <c r="Y361" i="17"/>
  <c r="Z361" i="17"/>
  <c r="AA361" i="17"/>
  <c r="U362" i="17"/>
  <c r="AF362" i="17" s="1"/>
  <c r="V362" i="17"/>
  <c r="W362" i="17"/>
  <c r="X362" i="17"/>
  <c r="Y362" i="17"/>
  <c r="Z362" i="17"/>
  <c r="AA362" i="17"/>
  <c r="U363" i="17"/>
  <c r="AF363" i="17" s="1"/>
  <c r="V363" i="17"/>
  <c r="W363" i="17"/>
  <c r="X363" i="17"/>
  <c r="Y363" i="17"/>
  <c r="Z363" i="17"/>
  <c r="AA363" i="17"/>
  <c r="U364" i="17"/>
  <c r="AF364" i="17" s="1"/>
  <c r="V364" i="17"/>
  <c r="W364" i="17"/>
  <c r="X364" i="17"/>
  <c r="Y364" i="17"/>
  <c r="Z364" i="17"/>
  <c r="AA364" i="17"/>
  <c r="U365" i="17"/>
  <c r="AF365" i="17" s="1"/>
  <c r="V365" i="17"/>
  <c r="W365" i="17"/>
  <c r="X365" i="17"/>
  <c r="Y365" i="17"/>
  <c r="Z365" i="17"/>
  <c r="AA365" i="17"/>
  <c r="U366" i="17"/>
  <c r="AF366" i="17" s="1"/>
  <c r="V366" i="17"/>
  <c r="W366" i="17"/>
  <c r="X366" i="17"/>
  <c r="Y366" i="17"/>
  <c r="Z366" i="17"/>
  <c r="AA366" i="17"/>
  <c r="U367" i="17"/>
  <c r="AF367" i="17" s="1"/>
  <c r="V367" i="17"/>
  <c r="W367" i="17"/>
  <c r="X367" i="17"/>
  <c r="Y367" i="17"/>
  <c r="Z367" i="17"/>
  <c r="AA367" i="17"/>
  <c r="U368" i="17"/>
  <c r="AF368" i="17" s="1"/>
  <c r="V368" i="17"/>
  <c r="W368" i="17"/>
  <c r="X368" i="17"/>
  <c r="Y368" i="17"/>
  <c r="Z368" i="17"/>
  <c r="AA368" i="17"/>
  <c r="U369" i="17"/>
  <c r="AF369" i="17" s="1"/>
  <c r="V369" i="17"/>
  <c r="W369" i="17"/>
  <c r="X369" i="17"/>
  <c r="Y369" i="17"/>
  <c r="Z369" i="17"/>
  <c r="AA369" i="17"/>
  <c r="U370" i="17"/>
  <c r="AF370" i="17" s="1"/>
  <c r="V370" i="17"/>
  <c r="W370" i="17"/>
  <c r="X370" i="17"/>
  <c r="Y370" i="17"/>
  <c r="Z370" i="17"/>
  <c r="AA370" i="17"/>
  <c r="U371" i="17"/>
  <c r="AF371" i="17" s="1"/>
  <c r="V371" i="17"/>
  <c r="W371" i="17"/>
  <c r="X371" i="17"/>
  <c r="Y371" i="17"/>
  <c r="Z371" i="17"/>
  <c r="AA371" i="17"/>
  <c r="U372" i="17"/>
  <c r="AF372" i="17" s="1"/>
  <c r="V372" i="17"/>
  <c r="W372" i="17"/>
  <c r="X372" i="17"/>
  <c r="Y372" i="17"/>
  <c r="Z372" i="17"/>
  <c r="AA372" i="17"/>
  <c r="U373" i="17"/>
  <c r="AF373" i="17" s="1"/>
  <c r="V373" i="17"/>
  <c r="W373" i="17"/>
  <c r="X373" i="17"/>
  <c r="Y373" i="17"/>
  <c r="Z373" i="17"/>
  <c r="AA373" i="17"/>
  <c r="U374" i="17"/>
  <c r="AF374" i="17" s="1"/>
  <c r="V374" i="17"/>
  <c r="W374" i="17"/>
  <c r="X374" i="17"/>
  <c r="Y374" i="17"/>
  <c r="Z374" i="17"/>
  <c r="AA374" i="17"/>
  <c r="U375" i="17"/>
  <c r="AF375" i="17" s="1"/>
  <c r="V375" i="17"/>
  <c r="W375" i="17"/>
  <c r="X375" i="17"/>
  <c r="Y375" i="17"/>
  <c r="Z375" i="17"/>
  <c r="AA375" i="17"/>
  <c r="U3" i="17"/>
  <c r="AF3" i="17" s="1"/>
  <c r="V3" i="17"/>
  <c r="W3" i="17"/>
  <c r="X3" i="17"/>
  <c r="Y3" i="17"/>
  <c r="Z3" i="17"/>
  <c r="AA3" i="17"/>
  <c r="U4" i="17"/>
  <c r="AF4" i="17" s="1"/>
  <c r="V4" i="17"/>
  <c r="W4" i="17"/>
  <c r="X4" i="17"/>
  <c r="Y4" i="17"/>
  <c r="Z4" i="17"/>
  <c r="AA4" i="17"/>
  <c r="U5" i="17"/>
  <c r="AF5" i="17" s="1"/>
  <c r="V5" i="17"/>
  <c r="W5" i="17"/>
  <c r="X5" i="17"/>
  <c r="Y5" i="17"/>
  <c r="Z5" i="17"/>
  <c r="AA5" i="17"/>
  <c r="U6" i="17"/>
  <c r="AF6" i="17" s="1"/>
  <c r="V6" i="17"/>
  <c r="W6" i="17"/>
  <c r="X6" i="17"/>
  <c r="Y6" i="17"/>
  <c r="Z6" i="17"/>
  <c r="AA6" i="17"/>
  <c r="U7" i="17"/>
  <c r="AF7" i="17" s="1"/>
  <c r="V7" i="17"/>
  <c r="W7" i="17"/>
  <c r="X7" i="17"/>
  <c r="Y7" i="17"/>
  <c r="Z7" i="17"/>
  <c r="AA7" i="17"/>
  <c r="U8" i="17"/>
  <c r="AF8" i="17" s="1"/>
  <c r="V8" i="17"/>
  <c r="W8" i="17"/>
  <c r="X8" i="17"/>
  <c r="Y8" i="17"/>
  <c r="Z8" i="17"/>
  <c r="AA8" i="17"/>
  <c r="U9" i="17"/>
  <c r="AF9" i="17" s="1"/>
  <c r="V9" i="17"/>
  <c r="W9" i="17"/>
  <c r="X9" i="17"/>
  <c r="Y9" i="17"/>
  <c r="Z9" i="17"/>
  <c r="AA9" i="17"/>
  <c r="U10" i="17"/>
  <c r="AF10" i="17" s="1"/>
  <c r="V10" i="17"/>
  <c r="W10" i="17"/>
  <c r="X10" i="17"/>
  <c r="Y10" i="17"/>
  <c r="Z10" i="17"/>
  <c r="AA10" i="17"/>
  <c r="U11" i="17"/>
  <c r="AF11" i="17" s="1"/>
  <c r="V11" i="17"/>
  <c r="W11" i="17"/>
  <c r="X11" i="17"/>
  <c r="Y11" i="17"/>
  <c r="Z11" i="17"/>
  <c r="AA11" i="17"/>
  <c r="U12" i="17"/>
  <c r="AF12" i="17" s="1"/>
  <c r="V12" i="17"/>
  <c r="W12" i="17"/>
  <c r="X12" i="17"/>
  <c r="Y12" i="17"/>
  <c r="Z12" i="17"/>
  <c r="AA12" i="17"/>
  <c r="U13" i="17"/>
  <c r="AF13" i="17" s="1"/>
  <c r="V13" i="17"/>
  <c r="W13" i="17"/>
  <c r="X13" i="17"/>
  <c r="Y13" i="17"/>
  <c r="Z13" i="17"/>
  <c r="AA13" i="17"/>
  <c r="U14" i="17"/>
  <c r="AF14" i="17" s="1"/>
  <c r="V14" i="17"/>
  <c r="W14" i="17"/>
  <c r="X14" i="17"/>
  <c r="Y14" i="17"/>
  <c r="Z14" i="17"/>
  <c r="AA14" i="17"/>
  <c r="U15" i="17"/>
  <c r="AF15" i="17" s="1"/>
  <c r="V15" i="17"/>
  <c r="W15" i="17"/>
  <c r="X15" i="17"/>
  <c r="Y15" i="17"/>
  <c r="Z15" i="17"/>
  <c r="AA15" i="17"/>
  <c r="U16" i="17"/>
  <c r="AF16" i="17" s="1"/>
  <c r="V16" i="17"/>
  <c r="W16" i="17"/>
  <c r="X16" i="17"/>
  <c r="Y16" i="17"/>
  <c r="Z16" i="17"/>
  <c r="AA16" i="17"/>
  <c r="U17" i="17"/>
  <c r="AF17" i="17" s="1"/>
  <c r="V17" i="17"/>
  <c r="W17" i="17"/>
  <c r="X17" i="17"/>
  <c r="Y17" i="17"/>
  <c r="Z17" i="17"/>
  <c r="AA17" i="17"/>
  <c r="U18" i="17"/>
  <c r="AF18" i="17" s="1"/>
  <c r="V18" i="17"/>
  <c r="W18" i="17"/>
  <c r="X18" i="17"/>
  <c r="Y18" i="17"/>
  <c r="Z18" i="17"/>
  <c r="AA18" i="17"/>
  <c r="V1" i="17"/>
  <c r="W1" i="17"/>
  <c r="X1" i="17"/>
  <c r="Y1" i="17"/>
  <c r="Z1" i="17"/>
  <c r="AA1" i="17"/>
  <c r="U1" i="17"/>
  <c r="AF1" i="17" s="1"/>
  <c r="AD364" i="18" l="1"/>
  <c r="AD270" i="18"/>
  <c r="AD198" i="18"/>
  <c r="AD112" i="18"/>
  <c r="AE503" i="18"/>
  <c r="AB295" i="17"/>
  <c r="AB283" i="17"/>
  <c r="AD496" i="18"/>
  <c r="AD448" i="18"/>
  <c r="AD436" i="18"/>
  <c r="AD354" i="18"/>
  <c r="AD268" i="18"/>
  <c r="AD196" i="18"/>
  <c r="AD102" i="18"/>
  <c r="AE485" i="18"/>
  <c r="AD424" i="18"/>
  <c r="AD352" i="18"/>
  <c r="AD258" i="18"/>
  <c r="AD186" i="18"/>
  <c r="AD100" i="18"/>
  <c r="AE451" i="18"/>
  <c r="AD414" i="18"/>
  <c r="AD342" i="18"/>
  <c r="AD256" i="18"/>
  <c r="AD184" i="18"/>
  <c r="AD90" i="18"/>
  <c r="AE439" i="18"/>
  <c r="AD412" i="18"/>
  <c r="AD340" i="18"/>
  <c r="AD246" i="18"/>
  <c r="AD174" i="18"/>
  <c r="AD88" i="18"/>
  <c r="AE379" i="18"/>
  <c r="AD498" i="18"/>
  <c r="AD402" i="18"/>
  <c r="AD330" i="18"/>
  <c r="AD244" i="18"/>
  <c r="AD172" i="18"/>
  <c r="AD78" i="18"/>
  <c r="AE367" i="18"/>
  <c r="AD400" i="18"/>
  <c r="AD328" i="18"/>
  <c r="AD234" i="18"/>
  <c r="AD162" i="18"/>
  <c r="AD76" i="18"/>
  <c r="AE307" i="18"/>
  <c r="AD486" i="18"/>
  <c r="AD390" i="18"/>
  <c r="AD318" i="18"/>
  <c r="AD232" i="18"/>
  <c r="AD150" i="18"/>
  <c r="AD66" i="18"/>
  <c r="AE295" i="18"/>
  <c r="AD474" i="18"/>
  <c r="AD388" i="18"/>
  <c r="AD306" i="18"/>
  <c r="AD222" i="18"/>
  <c r="AD136" i="18"/>
  <c r="AD42" i="18"/>
  <c r="AE235" i="18"/>
  <c r="AD472" i="18"/>
  <c r="AD378" i="18"/>
  <c r="AD294" i="18"/>
  <c r="AD220" i="18"/>
  <c r="AD126" i="18"/>
  <c r="AD30" i="18"/>
  <c r="AE223" i="18"/>
  <c r="AD462" i="18"/>
  <c r="AD376" i="18"/>
  <c r="AD282" i="18"/>
  <c r="AD210" i="18"/>
  <c r="AD124" i="18"/>
  <c r="AD18" i="18"/>
  <c r="AE141" i="18"/>
  <c r="AD450" i="18"/>
  <c r="AD366" i="18"/>
  <c r="AD280" i="18"/>
  <c r="AD208" i="18"/>
  <c r="AD114" i="18"/>
  <c r="AE505" i="18"/>
  <c r="AD438" i="18"/>
  <c r="AD426" i="18"/>
  <c r="AD138" i="18"/>
  <c r="AD54" i="18"/>
  <c r="AD497" i="18"/>
  <c r="AD473" i="18"/>
  <c r="AD461" i="18"/>
  <c r="AD449" i="18"/>
  <c r="AD437" i="18"/>
  <c r="AD425" i="18"/>
  <c r="AD413" i="18"/>
  <c r="AD401" i="18"/>
  <c r="AD389" i="18"/>
  <c r="AD377" i="18"/>
  <c r="AD365" i="18"/>
  <c r="AD353" i="18"/>
  <c r="AD341" i="18"/>
  <c r="AD329" i="18"/>
  <c r="AD317" i="18"/>
  <c r="AD305" i="18"/>
  <c r="AD293" i="18"/>
  <c r="AD281" i="18"/>
  <c r="AD269" i="18"/>
  <c r="AD257" i="18"/>
  <c r="AD245" i="18"/>
  <c r="AD233" i="18"/>
  <c r="AD221" i="18"/>
  <c r="AD209" i="18"/>
  <c r="AD197" i="18"/>
  <c r="AD185" i="18"/>
  <c r="AD173" i="18"/>
  <c r="AD161" i="18"/>
  <c r="AD149" i="18"/>
  <c r="AD137" i="18"/>
  <c r="AD125" i="18"/>
  <c r="AD113" i="18"/>
  <c r="AD101" i="18"/>
  <c r="AD89" i="18"/>
  <c r="AD77" i="18"/>
  <c r="AD65" i="18"/>
  <c r="AD53" i="18"/>
  <c r="AD41" i="18"/>
  <c r="AD29" i="18"/>
  <c r="AD17" i="18"/>
  <c r="AE504" i="18"/>
  <c r="AE480" i="18"/>
  <c r="AE441" i="18"/>
  <c r="AE369" i="18"/>
  <c r="AE297" i="18"/>
  <c r="AE225" i="18"/>
  <c r="AE129" i="18"/>
  <c r="AD484" i="18"/>
  <c r="AD460" i="18"/>
  <c r="AD316" i="18"/>
  <c r="AD304" i="18"/>
  <c r="AD292" i="18"/>
  <c r="AD160" i="18"/>
  <c r="AD148" i="18"/>
  <c r="AD64" i="18"/>
  <c r="AD52" i="18"/>
  <c r="AD40" i="18"/>
  <c r="AD28" i="18"/>
  <c r="AD16" i="18"/>
  <c r="AE477" i="18"/>
  <c r="AE117" i="18"/>
  <c r="AD4" i="18"/>
  <c r="AD495" i="18"/>
  <c r="AD483" i="18"/>
  <c r="AD471" i="18"/>
  <c r="AD459" i="18"/>
  <c r="AD447" i="18"/>
  <c r="AD435" i="18"/>
  <c r="AD423" i="18"/>
  <c r="AD411" i="18"/>
  <c r="AD399" i="18"/>
  <c r="AD387" i="18"/>
  <c r="AD375" i="18"/>
  <c r="AD363" i="18"/>
  <c r="AD351" i="18"/>
  <c r="AD339" i="18"/>
  <c r="AD327" i="18"/>
  <c r="AD315" i="18"/>
  <c r="AD303" i="18"/>
  <c r="AD291" i="18"/>
  <c r="AD279" i="18"/>
  <c r="AD267" i="18"/>
  <c r="AD255" i="18"/>
  <c r="AD243" i="18"/>
  <c r="AD231" i="18"/>
  <c r="AD219" i="18"/>
  <c r="AD207" i="18"/>
  <c r="AD195" i="18"/>
  <c r="AD183" i="18"/>
  <c r="AD171" i="18"/>
  <c r="AD159" i="18"/>
  <c r="AD147" i="18"/>
  <c r="AD135" i="18"/>
  <c r="AD123" i="18"/>
  <c r="AD111" i="18"/>
  <c r="AD99" i="18"/>
  <c r="AD87" i="18"/>
  <c r="AD75" i="18"/>
  <c r="AD63" i="18"/>
  <c r="AD51" i="18"/>
  <c r="AD39" i="18"/>
  <c r="AD27" i="18"/>
  <c r="AD15" i="18"/>
  <c r="AE501" i="18"/>
  <c r="AE475" i="18"/>
  <c r="AE429" i="18"/>
  <c r="AE357" i="18"/>
  <c r="AE285" i="18"/>
  <c r="AE213" i="18"/>
  <c r="AE105" i="18"/>
  <c r="AD11" i="18"/>
  <c r="AE11" i="18"/>
  <c r="AD5" i="18"/>
  <c r="AE5" i="18"/>
  <c r="AD506" i="18"/>
  <c r="AD494" i="18"/>
  <c r="AD482" i="18"/>
  <c r="AD470" i="18"/>
  <c r="AD458" i="18"/>
  <c r="AD446" i="18"/>
  <c r="AD434" i="18"/>
  <c r="AD422" i="18"/>
  <c r="AD410" i="18"/>
  <c r="AD398" i="18"/>
  <c r="AD386" i="18"/>
  <c r="AD374" i="18"/>
  <c r="AD362" i="18"/>
  <c r="AD350" i="18"/>
  <c r="AD338" i="18"/>
  <c r="AD326" i="18"/>
  <c r="AD314" i="18"/>
  <c r="AD302" i="18"/>
  <c r="AD290" i="18"/>
  <c r="AD278" i="18"/>
  <c r="AD266" i="18"/>
  <c r="AD254" i="18"/>
  <c r="AD242" i="18"/>
  <c r="AD230" i="18"/>
  <c r="AD218" i="18"/>
  <c r="AD206" i="18"/>
  <c r="AD194" i="18"/>
  <c r="AD182" i="18"/>
  <c r="AD170" i="18"/>
  <c r="AD158" i="18"/>
  <c r="AD146" i="18"/>
  <c r="AD134" i="18"/>
  <c r="AD122" i="18"/>
  <c r="AD110" i="18"/>
  <c r="AD98" i="18"/>
  <c r="AD86" i="18"/>
  <c r="AD74" i="18"/>
  <c r="AD62" i="18"/>
  <c r="AD50" i="18"/>
  <c r="AD38" i="18"/>
  <c r="AD26" i="18"/>
  <c r="AD14" i="18"/>
  <c r="AE499" i="18"/>
  <c r="AE427" i="18"/>
  <c r="AE355" i="18"/>
  <c r="AE283" i="18"/>
  <c r="AE211" i="18"/>
  <c r="AE93" i="18"/>
  <c r="AD493" i="18"/>
  <c r="AD481" i="18"/>
  <c r="AD469" i="18"/>
  <c r="AD457" i="18"/>
  <c r="AD445" i="18"/>
  <c r="AD433" i="18"/>
  <c r="AD421" i="18"/>
  <c r="AD409" i="18"/>
  <c r="AD397" i="18"/>
  <c r="AD385" i="18"/>
  <c r="AD373" i="18"/>
  <c r="AD361" i="18"/>
  <c r="AD349" i="18"/>
  <c r="AD337" i="18"/>
  <c r="AD325" i="18"/>
  <c r="AD313" i="18"/>
  <c r="AD301" i="18"/>
  <c r="AD289" i="18"/>
  <c r="AD277" i="18"/>
  <c r="AD265" i="18"/>
  <c r="AD253" i="18"/>
  <c r="AD241" i="18"/>
  <c r="AD229" i="18"/>
  <c r="AD217" i="18"/>
  <c r="AD205" i="18"/>
  <c r="AD193" i="18"/>
  <c r="AD181" i="18"/>
  <c r="AD169" i="18"/>
  <c r="AD157" i="18"/>
  <c r="AD145" i="18"/>
  <c r="AD133" i="18"/>
  <c r="AD121" i="18"/>
  <c r="AD109" i="18"/>
  <c r="AD97" i="18"/>
  <c r="AD85" i="18"/>
  <c r="AD73" i="18"/>
  <c r="AD61" i="18"/>
  <c r="AD49" i="18"/>
  <c r="AD37" i="18"/>
  <c r="AD25" i="18"/>
  <c r="AD13" i="18"/>
  <c r="AE417" i="18"/>
  <c r="AE345" i="18"/>
  <c r="AE273" i="18"/>
  <c r="AE201" i="18"/>
  <c r="AE81" i="18"/>
  <c r="AD492" i="18"/>
  <c r="AD468" i="18"/>
  <c r="AD456" i="18"/>
  <c r="AD444" i="18"/>
  <c r="AD432" i="18"/>
  <c r="AD420" i="18"/>
  <c r="AD408" i="18"/>
  <c r="AD396" i="18"/>
  <c r="AD384" i="18"/>
  <c r="AD372" i="18"/>
  <c r="AD360" i="18"/>
  <c r="AD348" i="18"/>
  <c r="AD336" i="18"/>
  <c r="AD324" i="18"/>
  <c r="AD312" i="18"/>
  <c r="AD300" i="18"/>
  <c r="AD288" i="18"/>
  <c r="AD276" i="18"/>
  <c r="AD264" i="18"/>
  <c r="AD252" i="18"/>
  <c r="AD240" i="18"/>
  <c r="AD228" i="18"/>
  <c r="AD216" i="18"/>
  <c r="AD204" i="18"/>
  <c r="AD192" i="18"/>
  <c r="AD180" i="18"/>
  <c r="AD168" i="18"/>
  <c r="AD156" i="18"/>
  <c r="AD144" i="18"/>
  <c r="AD132" i="18"/>
  <c r="AD120" i="18"/>
  <c r="AD108" i="18"/>
  <c r="AD96" i="18"/>
  <c r="AD84" i="18"/>
  <c r="AD72" i="18"/>
  <c r="AD60" i="18"/>
  <c r="AD48" i="18"/>
  <c r="AD36" i="18"/>
  <c r="AD24" i="18"/>
  <c r="AD12" i="18"/>
  <c r="AE415" i="18"/>
  <c r="AE343" i="18"/>
  <c r="AE271" i="18"/>
  <c r="AE199" i="18"/>
  <c r="AE69" i="18"/>
  <c r="AD491" i="18"/>
  <c r="AD479" i="18"/>
  <c r="AD467" i="18"/>
  <c r="AD455" i="18"/>
  <c r="AD443" i="18"/>
  <c r="AD431" i="18"/>
  <c r="AD419" i="18"/>
  <c r="AD407" i="18"/>
  <c r="AD395" i="18"/>
  <c r="AD383" i="18"/>
  <c r="AD371" i="18"/>
  <c r="AD359" i="18"/>
  <c r="AD347" i="18"/>
  <c r="AD335" i="18"/>
  <c r="AD323" i="18"/>
  <c r="AD311" i="18"/>
  <c r="AD299" i="18"/>
  <c r="AD287" i="18"/>
  <c r="AD275" i="18"/>
  <c r="AD263" i="18"/>
  <c r="AD251" i="18"/>
  <c r="AD239" i="18"/>
  <c r="AD227" i="18"/>
  <c r="AD215" i="18"/>
  <c r="AD203" i="18"/>
  <c r="AD191" i="18"/>
  <c r="AD179" i="18"/>
  <c r="AD167" i="18"/>
  <c r="AD155" i="18"/>
  <c r="AD143" i="18"/>
  <c r="AD131" i="18"/>
  <c r="AD119" i="18"/>
  <c r="AD107" i="18"/>
  <c r="AD95" i="18"/>
  <c r="AD83" i="18"/>
  <c r="AD71" i="18"/>
  <c r="AD59" i="18"/>
  <c r="AD47" i="18"/>
  <c r="AD35" i="18"/>
  <c r="AD23" i="18"/>
  <c r="AD10" i="18"/>
  <c r="AE465" i="18"/>
  <c r="AE405" i="18"/>
  <c r="AE333" i="18"/>
  <c r="AE261" i="18"/>
  <c r="AE189" i="18"/>
  <c r="AE57" i="18"/>
  <c r="AD502" i="18"/>
  <c r="AD490" i="18"/>
  <c r="AD478" i="18"/>
  <c r="AD466" i="18"/>
  <c r="AD454" i="18"/>
  <c r="AD442" i="18"/>
  <c r="AD430" i="18"/>
  <c r="AD418" i="18"/>
  <c r="AD406" i="18"/>
  <c r="AD394" i="18"/>
  <c r="AD382" i="18"/>
  <c r="AD370" i="18"/>
  <c r="AD358" i="18"/>
  <c r="AD346" i="18"/>
  <c r="AD334" i="18"/>
  <c r="AD322" i="18"/>
  <c r="AD310" i="18"/>
  <c r="AD298" i="18"/>
  <c r="AD286" i="18"/>
  <c r="AD274" i="18"/>
  <c r="AD262" i="18"/>
  <c r="AD250" i="18"/>
  <c r="AD238" i="18"/>
  <c r="AD226" i="18"/>
  <c r="AD214" i="18"/>
  <c r="AD202" i="18"/>
  <c r="AD190" i="18"/>
  <c r="AD178" i="18"/>
  <c r="AD166" i="18"/>
  <c r="AD154" i="18"/>
  <c r="AD142" i="18"/>
  <c r="AD130" i="18"/>
  <c r="AD118" i="18"/>
  <c r="AD106" i="18"/>
  <c r="AD94" i="18"/>
  <c r="AD82" i="18"/>
  <c r="AD70" i="18"/>
  <c r="AD58" i="18"/>
  <c r="AD46" i="18"/>
  <c r="AD34" i="18"/>
  <c r="AD22" i="18"/>
  <c r="AD8" i="18"/>
  <c r="AE463" i="18"/>
  <c r="AE403" i="18"/>
  <c r="AE331" i="18"/>
  <c r="AE259" i="18"/>
  <c r="AE187" i="18"/>
  <c r="AE45" i="18"/>
  <c r="AD489" i="18"/>
  <c r="AD453" i="18"/>
  <c r="AD393" i="18"/>
  <c r="AD381" i="18"/>
  <c r="AD321" i="18"/>
  <c r="AD309" i="18"/>
  <c r="AD249" i="18"/>
  <c r="AD237" i="18"/>
  <c r="AD177" i="18"/>
  <c r="AD165" i="18"/>
  <c r="AD153" i="18"/>
  <c r="AD33" i="18"/>
  <c r="AD21" i="18"/>
  <c r="AD7" i="18"/>
  <c r="AD500" i="18"/>
  <c r="AD488" i="18"/>
  <c r="AD476" i="18"/>
  <c r="AD464" i="18"/>
  <c r="AD452" i="18"/>
  <c r="AD440" i="18"/>
  <c r="AD428" i="18"/>
  <c r="AD416" i="18"/>
  <c r="AD404" i="18"/>
  <c r="AD392" i="18"/>
  <c r="AD380" i="18"/>
  <c r="AD368" i="18"/>
  <c r="AD356" i="18"/>
  <c r="AD344" i="18"/>
  <c r="AD332" i="18"/>
  <c r="AD320" i="18"/>
  <c r="AD308" i="18"/>
  <c r="AD296" i="18"/>
  <c r="AD284" i="18"/>
  <c r="AD272" i="18"/>
  <c r="AD260" i="18"/>
  <c r="AD248" i="18"/>
  <c r="AD236" i="18"/>
  <c r="AD224" i="18"/>
  <c r="AD212" i="18"/>
  <c r="AD200" i="18"/>
  <c r="AD188" i="18"/>
  <c r="AD176" i="18"/>
  <c r="AD164" i="18"/>
  <c r="AD152" i="18"/>
  <c r="AD140" i="18"/>
  <c r="AD128" i="18"/>
  <c r="AD116" i="18"/>
  <c r="AD104" i="18"/>
  <c r="AD92" i="18"/>
  <c r="AD80" i="18"/>
  <c r="AD68" i="18"/>
  <c r="AD56" i="18"/>
  <c r="AD44" i="18"/>
  <c r="AD32" i="18"/>
  <c r="AD20" i="18"/>
  <c r="AD6" i="18"/>
  <c r="AE487" i="18"/>
  <c r="AE391" i="18"/>
  <c r="AE319" i="18"/>
  <c r="AE247" i="18"/>
  <c r="AD175" i="18"/>
  <c r="AD163" i="18"/>
  <c r="AD151" i="18"/>
  <c r="AD139" i="18"/>
  <c r="AD127" i="18"/>
  <c r="AD115" i="18"/>
  <c r="AD103" i="18"/>
  <c r="AD91" i="18"/>
  <c r="AD79" i="18"/>
  <c r="AD67" i="18"/>
  <c r="AD55" i="18"/>
  <c r="AD43" i="18"/>
  <c r="AD31" i="18"/>
  <c r="AD19" i="18"/>
  <c r="AE9" i="18"/>
  <c r="AH175" i="18"/>
  <c r="AH32" i="18"/>
  <c r="AH38" i="18"/>
  <c r="AH44" i="18"/>
  <c r="AH50" i="18"/>
  <c r="AH56" i="18"/>
  <c r="AH62" i="18"/>
  <c r="AH68" i="18"/>
  <c r="AH74" i="18"/>
  <c r="AH80" i="18"/>
  <c r="AH86" i="18"/>
  <c r="AH92" i="18"/>
  <c r="AH109" i="18"/>
  <c r="AH223" i="18"/>
  <c r="AH135" i="18"/>
  <c r="AH279" i="18"/>
  <c r="AH141" i="18"/>
  <c r="AH181" i="18"/>
  <c r="AH187" i="18"/>
  <c r="AH139" i="18"/>
  <c r="AH123" i="18"/>
  <c r="AH147" i="18"/>
  <c r="AH129" i="18"/>
  <c r="AH303" i="18"/>
  <c r="AH284" i="18"/>
  <c r="AB13" i="17"/>
  <c r="AB374" i="17"/>
  <c r="AB362" i="17"/>
  <c r="AB350" i="17"/>
  <c r="AB338" i="17"/>
  <c r="AB314" i="17"/>
  <c r="AB302" i="17"/>
  <c r="AB290" i="17"/>
  <c r="AB266" i="17"/>
  <c r="AB254" i="17"/>
  <c r="AB242" i="17"/>
  <c r="AB218" i="17"/>
  <c r="AB206" i="17"/>
  <c r="AB194" i="17"/>
  <c r="AB182" i="17"/>
  <c r="AB170" i="17"/>
  <c r="AB158" i="17"/>
  <c r="AB146" i="17"/>
  <c r="AB134" i="17"/>
  <c r="AB122" i="17"/>
  <c r="AB110" i="17"/>
  <c r="AB98" i="17"/>
  <c r="AB86" i="17"/>
  <c r="AB74" i="17"/>
  <c r="AB62" i="17"/>
  <c r="AB50" i="17"/>
  <c r="AB38" i="17"/>
  <c r="AB26" i="17"/>
  <c r="AB259" i="17"/>
  <c r="AB247" i="17"/>
  <c r="AB235" i="17"/>
  <c r="AB223" i="17"/>
  <c r="AB211" i="17"/>
  <c r="AB199" i="17"/>
  <c r="AB187" i="17"/>
  <c r="AB163" i="17"/>
  <c r="AB151" i="17"/>
  <c r="AB139" i="17"/>
  <c r="AB115" i="17"/>
  <c r="AB91" i="17"/>
  <c r="AB79" i="17"/>
  <c r="AB55" i="17"/>
  <c r="AB43" i="17"/>
  <c r="AB495" i="17"/>
  <c r="AB16" i="17"/>
  <c r="AB317" i="17"/>
  <c r="AB305" i="17"/>
  <c r="AB281" i="17"/>
  <c r="AB269" i="17"/>
  <c r="AB257" i="17"/>
  <c r="AB245" i="17"/>
  <c r="AB233" i="17"/>
  <c r="AB209" i="17"/>
  <c r="AB197" i="17"/>
  <c r="AB279" i="17"/>
  <c r="AB267" i="17"/>
  <c r="AB293" i="17"/>
  <c r="AB221" i="17"/>
  <c r="AB173" i="17"/>
  <c r="AB161" i="17"/>
  <c r="AB149" i="17"/>
  <c r="AB137" i="17"/>
  <c r="AB125" i="17"/>
  <c r="AB113" i="17"/>
  <c r="AB89" i="17"/>
  <c r="AB65" i="17"/>
  <c r="AB53" i="17"/>
  <c r="AB41" i="17"/>
  <c r="AB29" i="17"/>
  <c r="AB135" i="17"/>
  <c r="AB123" i="17"/>
  <c r="AB111" i="17"/>
  <c r="AB99" i="17"/>
  <c r="AB87" i="17"/>
  <c r="AB39" i="17"/>
  <c r="AB503" i="17"/>
  <c r="AB491" i="17"/>
  <c r="AB306" i="17"/>
  <c r="AB294" i="17"/>
  <c r="AB282" i="17"/>
  <c r="AB270" i="17"/>
  <c r="AB258" i="17"/>
  <c r="AB246" i="17"/>
  <c r="AB210" i="17"/>
  <c r="AB198" i="17"/>
  <c r="AB186" i="17"/>
  <c r="AB174" i="17"/>
  <c r="AB162" i="17"/>
  <c r="AB150" i="17"/>
  <c r="AB138" i="17"/>
  <c r="AB126" i="17"/>
  <c r="AB114" i="17"/>
  <c r="AB102" i="17"/>
  <c r="AB90" i="17"/>
  <c r="AB78" i="17"/>
  <c r="AB66" i="17"/>
  <c r="AB54" i="17"/>
  <c r="AB42" i="17"/>
  <c r="AB494" i="17"/>
  <c r="AB482" i="17"/>
  <c r="AB470" i="17"/>
  <c r="AB458" i="17"/>
  <c r="AB446" i="17"/>
  <c r="AB434" i="17"/>
  <c r="AB422" i="17"/>
  <c r="AB410" i="17"/>
  <c r="AB398" i="17"/>
  <c r="AB386" i="17"/>
  <c r="AB475" i="17"/>
  <c r="AB427" i="17"/>
  <c r="AB379" i="17"/>
  <c r="AB15" i="17"/>
  <c r="AB364" i="17"/>
  <c r="AB352" i="17"/>
  <c r="AB340" i="17"/>
  <c r="AB328" i="17"/>
  <c r="AB316" i="17"/>
  <c r="AB292" i="17"/>
  <c r="AB280" i="17"/>
  <c r="AB268" i="17"/>
  <c r="AB244" i="17"/>
  <c r="AB232" i="17"/>
  <c r="AB220" i="17"/>
  <c r="AB208" i="17"/>
  <c r="AB196" i="17"/>
  <c r="AB184" i="17"/>
  <c r="AB172" i="17"/>
  <c r="AB160" i="17"/>
  <c r="AB148" i="17"/>
  <c r="AB136" i="17"/>
  <c r="AB124" i="17"/>
  <c r="AB112" i="17"/>
  <c r="AB100" i="17"/>
  <c r="AB88" i="17"/>
  <c r="AB76" i="17"/>
  <c r="AB64" i="17"/>
  <c r="AB52" i="17"/>
  <c r="AB40" i="17"/>
  <c r="AB28" i="17"/>
  <c r="AB504" i="17"/>
  <c r="AB492" i="17"/>
  <c r="AB480" i="17"/>
  <c r="AB468" i="17"/>
  <c r="AB456" i="17"/>
  <c r="AB444" i="17"/>
  <c r="AB8" i="17"/>
  <c r="AB369" i="17"/>
  <c r="AB357" i="17"/>
  <c r="AB345" i="17"/>
  <c r="AB333" i="17"/>
  <c r="AB321" i="17"/>
  <c r="AB273" i="17"/>
  <c r="AB261" i="17"/>
  <c r="AB249" i="17"/>
  <c r="AB237" i="17"/>
  <c r="AB225" i="17"/>
  <c r="AB201" i="17"/>
  <c r="AB189" i="17"/>
  <c r="AB177" i="17"/>
  <c r="AB165" i="17"/>
  <c r="AB153" i="17"/>
  <c r="AB129" i="17"/>
  <c r="AB117" i="17"/>
  <c r="AB105" i="17"/>
  <c r="AB93" i="17"/>
  <c r="AB69" i="17"/>
  <c r="AB57" i="17"/>
  <c r="AB45" i="17"/>
  <c r="AB33" i="17"/>
  <c r="AB21" i="17"/>
  <c r="AB473" i="17"/>
  <c r="AB326" i="17"/>
  <c r="AB278" i="17"/>
  <c r="AB230" i="17"/>
  <c r="AB307" i="17"/>
  <c r="AB271" i="17"/>
  <c r="AB175" i="17"/>
  <c r="AB127" i="17"/>
  <c r="AB103" i="17"/>
  <c r="AB67" i="17"/>
  <c r="AB31" i="17"/>
  <c r="AB471" i="17"/>
  <c r="AB459" i="17"/>
  <c r="AB101" i="17"/>
  <c r="AB505" i="17"/>
  <c r="AB493" i="17"/>
  <c r="AB481" i="17"/>
  <c r="AB469" i="17"/>
  <c r="AB457" i="17"/>
  <c r="AB445" i="17"/>
  <c r="AB433" i="17"/>
  <c r="AB421" i="17"/>
  <c r="AB409" i="17"/>
  <c r="AB397" i="17"/>
  <c r="AB385" i="17"/>
  <c r="AB303" i="17"/>
  <c r="AB291" i="17"/>
  <c r="AB255" i="17"/>
  <c r="AB231" i="17"/>
  <c r="AB207" i="17"/>
  <c r="AB195" i="17"/>
  <c r="AB183" i="17"/>
  <c r="AB75" i="17"/>
  <c r="AB63" i="17"/>
  <c r="AB27" i="17"/>
  <c r="AB479" i="17"/>
  <c r="AB467" i="17"/>
  <c r="AB455" i="17"/>
  <c r="AB443" i="17"/>
  <c r="AB431" i="17"/>
  <c r="AB419" i="17"/>
  <c r="AB407" i="17"/>
  <c r="AB313" i="17"/>
  <c r="AB301" i="17"/>
  <c r="AB289" i="17"/>
  <c r="AB277" i="17"/>
  <c r="AB265" i="17"/>
  <c r="AB253" i="17"/>
  <c r="AB241" i="17"/>
  <c r="AB229" i="17"/>
  <c r="AB217" i="17"/>
  <c r="AB205" i="17"/>
  <c r="AB193" i="17"/>
  <c r="AB181" i="17"/>
  <c r="AB169" i="17"/>
  <c r="AB157" i="17"/>
  <c r="AB145" i="17"/>
  <c r="AB133" i="17"/>
  <c r="AB121" i="17"/>
  <c r="AB109" i="17"/>
  <c r="AB97" i="17"/>
  <c r="AB85" i="17"/>
  <c r="AB73" i="17"/>
  <c r="AB61" i="17"/>
  <c r="AB49" i="17"/>
  <c r="AB37" i="17"/>
  <c r="AB25" i="17"/>
  <c r="AB465" i="17"/>
  <c r="AB441" i="17"/>
  <c r="AB429" i="17"/>
  <c r="AB417" i="17"/>
  <c r="AB405" i="17"/>
  <c r="AB393" i="17"/>
  <c r="AB234" i="17"/>
  <c r="AB222" i="17"/>
  <c r="AB30" i="17"/>
  <c r="AC30" i="17" s="1"/>
  <c r="AB311" i="17"/>
  <c r="AB299" i="17"/>
  <c r="AC299" i="17" s="1"/>
  <c r="AB287" i="17"/>
  <c r="AB263" i="17"/>
  <c r="AB251" i="17"/>
  <c r="AB239" i="17"/>
  <c r="AB227" i="17"/>
  <c r="AB215" i="17"/>
  <c r="AB191" i="17"/>
  <c r="AB179" i="17"/>
  <c r="AB167" i="17"/>
  <c r="AB155" i="17"/>
  <c r="AB143" i="17"/>
  <c r="AB131" i="17"/>
  <c r="AB119" i="17"/>
  <c r="AB95" i="17"/>
  <c r="AB83" i="17"/>
  <c r="AB71" i="17"/>
  <c r="AB59" i="17"/>
  <c r="AB47" i="17"/>
  <c r="AB23" i="17"/>
  <c r="AB499" i="17"/>
  <c r="AB487" i="17"/>
  <c r="AB463" i="17"/>
  <c r="AB451" i="17"/>
  <c r="AB439" i="17"/>
  <c r="AB415" i="17"/>
  <c r="AB403" i="17"/>
  <c r="AB391" i="17"/>
  <c r="AB304" i="17"/>
  <c r="AB256" i="17"/>
  <c r="AB6" i="17"/>
  <c r="AB367" i="17"/>
  <c r="AB355" i="17"/>
  <c r="AB343" i="17"/>
  <c r="AB319" i="17"/>
  <c r="AB19" i="17"/>
  <c r="AB11" i="17"/>
  <c r="AB372" i="17"/>
  <c r="AB360" i="17"/>
  <c r="AB348" i="17"/>
  <c r="AB336" i="17"/>
  <c r="AB324" i="17"/>
  <c r="AB365" i="17"/>
  <c r="AB353" i="17"/>
  <c r="AB341" i="17"/>
  <c r="AB9" i="17"/>
  <c r="AB370" i="17"/>
  <c r="AB358" i="17"/>
  <c r="AB346" i="17"/>
  <c r="AB334" i="17"/>
  <c r="AB322" i="17"/>
  <c r="AB329" i="17"/>
  <c r="AB14" i="17"/>
  <c r="AB3" i="17"/>
  <c r="AC3" i="17" s="1"/>
  <c r="AC206" i="17" s="1"/>
  <c r="AB363" i="17"/>
  <c r="AB351" i="17"/>
  <c r="AB339" i="17"/>
  <c r="AB327" i="17"/>
  <c r="AB315" i="17"/>
  <c r="AB7" i="17"/>
  <c r="AB368" i="17"/>
  <c r="AC368" i="17" s="1"/>
  <c r="AB356" i="17"/>
  <c r="AB344" i="17"/>
  <c r="AB332" i="17"/>
  <c r="AB320" i="17"/>
  <c r="AB308" i="17"/>
  <c r="AC308" i="17" s="1"/>
  <c r="AB296" i="17"/>
  <c r="AB284" i="17"/>
  <c r="AB272" i="17"/>
  <c r="AB260" i="17"/>
  <c r="AB248" i="17"/>
  <c r="AB236" i="17"/>
  <c r="AB224" i="17"/>
  <c r="AB212" i="17"/>
  <c r="AC212" i="17" s="1"/>
  <c r="AB200" i="17"/>
  <c r="AB188" i="17"/>
  <c r="AB176" i="17"/>
  <c r="AB164" i="17"/>
  <c r="AC164" i="17" s="1"/>
  <c r="AB152" i="17"/>
  <c r="AB140" i="17"/>
  <c r="AB128" i="17"/>
  <c r="AB116" i="17"/>
  <c r="AB104" i="17"/>
  <c r="AB92" i="17"/>
  <c r="AB80" i="17"/>
  <c r="AB68" i="17"/>
  <c r="AB56" i="17"/>
  <c r="AB44" i="17"/>
  <c r="AB32" i="17"/>
  <c r="AC32" i="17" s="1"/>
  <c r="AB20" i="17"/>
  <c r="AC20" i="17" s="1"/>
  <c r="AB496" i="17"/>
  <c r="AB484" i="17"/>
  <c r="AB472" i="17"/>
  <c r="AB460" i="17"/>
  <c r="AB448" i="17"/>
  <c r="AC448" i="17" s="1"/>
  <c r="AB436" i="17"/>
  <c r="AB424" i="17"/>
  <c r="AC424" i="17" s="1"/>
  <c r="AB412" i="17"/>
  <c r="AB400" i="17"/>
  <c r="AB388" i="17"/>
  <c r="AB376" i="17"/>
  <c r="AB12" i="17"/>
  <c r="AB373" i="17"/>
  <c r="AB361" i="17"/>
  <c r="AB349" i="17"/>
  <c r="AB337" i="17"/>
  <c r="AB325" i="17"/>
  <c r="AB17" i="17"/>
  <c r="AB5" i="17"/>
  <c r="AB342" i="17"/>
  <c r="AB18" i="17"/>
  <c r="AB366" i="17"/>
  <c r="AB354" i="17"/>
  <c r="AC354" i="17" s="1"/>
  <c r="AB330" i="17"/>
  <c r="AC330" i="17" s="1"/>
  <c r="AB318" i="17"/>
  <c r="AB10" i="17"/>
  <c r="AB371" i="17"/>
  <c r="AB359" i="17"/>
  <c r="AB347" i="17"/>
  <c r="AC347" i="17" s="1"/>
  <c r="AB335" i="17"/>
  <c r="AB323" i="17"/>
  <c r="AB331" i="17"/>
  <c r="AB501" i="17"/>
  <c r="AB489" i="17"/>
  <c r="AB477" i="17"/>
  <c r="AB453" i="17"/>
  <c r="AB381" i="17"/>
  <c r="AB275" i="17"/>
  <c r="AB203" i="17"/>
  <c r="AB107" i="17"/>
  <c r="AB35" i="17"/>
  <c r="AB432" i="17"/>
  <c r="AB420" i="17"/>
  <c r="AB408" i="17"/>
  <c r="AB396" i="17"/>
  <c r="AB384" i="17"/>
  <c r="AB309" i="17"/>
  <c r="AB297" i="17"/>
  <c r="AB285" i="17"/>
  <c r="AC285" i="17" s="1"/>
  <c r="AB213" i="17"/>
  <c r="AB141" i="17"/>
  <c r="AC141" i="17" s="1"/>
  <c r="AB81" i="17"/>
  <c r="AB497" i="17"/>
  <c r="AB485" i="17"/>
  <c r="AB461" i="17"/>
  <c r="AB449" i="17"/>
  <c r="AB437" i="17"/>
  <c r="AB425" i="17"/>
  <c r="AC425" i="17" s="1"/>
  <c r="AB413" i="17"/>
  <c r="AB401" i="17"/>
  <c r="AB389" i="17"/>
  <c r="AC389" i="17" s="1"/>
  <c r="AB377" i="17"/>
  <c r="AC377" i="17" s="1"/>
  <c r="AB502" i="17"/>
  <c r="AC502" i="17" s="1"/>
  <c r="AB490" i="17"/>
  <c r="AB478" i="17"/>
  <c r="AB466" i="17"/>
  <c r="AB454" i="17"/>
  <c r="AB442" i="17"/>
  <c r="AC442" i="17" s="1"/>
  <c r="AB430" i="17"/>
  <c r="AB418" i="17"/>
  <c r="AC418" i="17" s="1"/>
  <c r="AB406" i="17"/>
  <c r="AB394" i="17"/>
  <c r="AB382" i="17"/>
  <c r="AB506" i="17"/>
  <c r="AB483" i="17"/>
  <c r="AB447" i="17"/>
  <c r="AB435" i="17"/>
  <c r="AB423" i="17"/>
  <c r="AB411" i="17"/>
  <c r="AB399" i="17"/>
  <c r="AC399" i="17" s="1"/>
  <c r="AB387" i="17"/>
  <c r="AB375" i="17"/>
  <c r="AB312" i="17"/>
  <c r="AB300" i="17"/>
  <c r="AB288" i="17"/>
  <c r="AB276" i="17"/>
  <c r="AC276" i="17" s="1"/>
  <c r="AB264" i="17"/>
  <c r="AC264" i="17" s="1"/>
  <c r="AB252" i="17"/>
  <c r="AC252" i="17" s="1"/>
  <c r="AB240" i="17"/>
  <c r="AC240" i="17" s="1"/>
  <c r="AB228" i="17"/>
  <c r="AB216" i="17"/>
  <c r="AC216" i="17" s="1"/>
  <c r="AB204" i="17"/>
  <c r="AC204" i="17" s="1"/>
  <c r="AB192" i="17"/>
  <c r="AB180" i="17"/>
  <c r="AB168" i="17"/>
  <c r="AB156" i="17"/>
  <c r="AB144" i="17"/>
  <c r="AB132" i="17"/>
  <c r="AC132" i="17" s="1"/>
  <c r="AB120" i="17"/>
  <c r="AC120" i="17" s="1"/>
  <c r="AB108" i="17"/>
  <c r="AC108" i="17" s="1"/>
  <c r="AB96" i="17"/>
  <c r="AB84" i="17"/>
  <c r="AB72" i="17"/>
  <c r="AB60" i="17"/>
  <c r="AC60" i="17" s="1"/>
  <c r="AB48" i="17"/>
  <c r="AB36" i="17"/>
  <c r="AB24" i="17"/>
  <c r="AB500" i="17"/>
  <c r="AB488" i="17"/>
  <c r="AB476" i="17"/>
  <c r="AB464" i="17"/>
  <c r="AC464" i="17" s="1"/>
  <c r="AB452" i="17"/>
  <c r="AC452" i="17" s="1"/>
  <c r="AB440" i="17"/>
  <c r="AB428" i="17"/>
  <c r="AB416" i="17"/>
  <c r="AB404" i="17"/>
  <c r="AC404" i="17" s="1"/>
  <c r="AB392" i="17"/>
  <c r="AB380" i="17"/>
  <c r="AC380" i="17" s="1"/>
  <c r="AB185" i="17"/>
  <c r="AB77" i="17"/>
  <c r="AC77" i="17" s="1"/>
  <c r="AB310" i="17"/>
  <c r="AB298" i="17"/>
  <c r="AB286" i="17"/>
  <c r="AC286" i="17" s="1"/>
  <c r="AB274" i="17"/>
  <c r="AB262" i="17"/>
  <c r="AB250" i="17"/>
  <c r="AB238" i="17"/>
  <c r="AB226" i="17"/>
  <c r="AC226" i="17" s="1"/>
  <c r="AB214" i="17"/>
  <c r="AB202" i="17"/>
  <c r="AB190" i="17"/>
  <c r="AB178" i="17"/>
  <c r="AB166" i="17"/>
  <c r="AB154" i="17"/>
  <c r="AB142" i="17"/>
  <c r="AC142" i="17" s="1"/>
  <c r="AB130" i="17"/>
  <c r="AB118" i="17"/>
  <c r="AC118" i="17" s="1"/>
  <c r="AB106" i="17"/>
  <c r="AC106" i="17" s="1"/>
  <c r="AB94" i="17"/>
  <c r="AB82" i="17"/>
  <c r="AC82" i="17" s="1"/>
  <c r="AB70" i="17"/>
  <c r="AB58" i="17"/>
  <c r="AB46" i="17"/>
  <c r="AB34" i="17"/>
  <c r="AB22" i="17"/>
  <c r="AB498" i="17"/>
  <c r="AC498" i="17" s="1"/>
  <c r="AB486" i="17"/>
  <c r="AC486" i="17" s="1"/>
  <c r="AB474" i="17"/>
  <c r="AC474" i="17" s="1"/>
  <c r="AB462" i="17"/>
  <c r="AB450" i="17"/>
  <c r="AB438" i="17"/>
  <c r="AC438" i="17" s="1"/>
  <c r="AB426" i="17"/>
  <c r="AC426" i="17" s="1"/>
  <c r="AB414" i="17"/>
  <c r="AB402" i="17"/>
  <c r="AB390" i="17"/>
  <c r="AB378" i="17"/>
  <c r="AB243" i="17"/>
  <c r="AB219" i="17"/>
  <c r="AB171" i="17"/>
  <c r="AC171" i="17" s="1"/>
  <c r="AB159" i="17"/>
  <c r="AC159" i="17" s="1"/>
  <c r="AB147" i="17"/>
  <c r="AB51" i="17"/>
  <c r="AB395" i="17"/>
  <c r="AC395" i="17" s="1"/>
  <c r="AB383" i="17"/>
  <c r="AC383" i="17" s="1"/>
  <c r="AC165" i="17"/>
  <c r="AC152" i="17"/>
  <c r="AC283" i="17"/>
  <c r="AC247" i="17"/>
  <c r="AC91" i="17"/>
  <c r="AC318" i="17"/>
  <c r="AC294" i="17"/>
  <c r="AC42" i="17"/>
  <c r="AC257" i="17"/>
  <c r="AC245" i="17"/>
  <c r="AC233" i="17"/>
  <c r="AC484" i="17"/>
  <c r="AC148" i="17"/>
  <c r="AC52" i="17"/>
  <c r="AC279" i="17"/>
  <c r="AC253" i="17"/>
  <c r="AC169" i="17"/>
  <c r="AC228" i="17"/>
  <c r="AC196" i="17" l="1"/>
  <c r="AC259" i="17"/>
  <c r="AC303" i="17"/>
  <c r="AC397" i="17"/>
  <c r="AC186" i="17"/>
  <c r="AC137" i="17"/>
  <c r="AC139" i="17"/>
  <c r="AC129" i="17"/>
  <c r="AC333" i="17"/>
  <c r="AC306" i="17"/>
  <c r="AC9" i="17"/>
  <c r="AC291" i="17"/>
  <c r="AC153" i="17"/>
  <c r="AC150" i="17"/>
  <c r="AC89" i="17"/>
  <c r="AC79" i="17"/>
  <c r="AC379" i="17"/>
  <c r="AC115" i="17"/>
  <c r="AC430" i="17"/>
  <c r="AC437" i="17"/>
  <c r="AC396" i="17"/>
  <c r="AC501" i="17"/>
  <c r="AC25" i="17"/>
  <c r="AC313" i="17"/>
  <c r="AC195" i="17"/>
  <c r="AC316" i="17"/>
  <c r="AC436" i="17"/>
  <c r="AC92" i="17"/>
  <c r="AC365" i="17"/>
  <c r="AC235" i="17"/>
  <c r="AC113" i="17"/>
  <c r="AC21" i="17"/>
  <c r="AC8" i="17"/>
  <c r="AC121" i="17"/>
  <c r="AC27" i="17"/>
  <c r="AC176" i="17"/>
  <c r="AC94" i="17"/>
  <c r="AC72" i="17"/>
  <c r="AC411" i="17"/>
  <c r="AC422" i="17"/>
  <c r="AC188" i="17"/>
  <c r="AC348" i="17"/>
  <c r="AC145" i="17"/>
  <c r="AC109" i="17"/>
  <c r="AC435" i="17"/>
  <c r="AC162" i="17"/>
  <c r="AC223" i="17"/>
  <c r="AC51" i="17"/>
  <c r="AC250" i="17"/>
  <c r="AC84" i="17"/>
  <c r="AC466" i="17"/>
  <c r="AC18" i="17"/>
  <c r="AC344" i="17"/>
  <c r="AC403" i="17"/>
  <c r="AC292" i="17"/>
  <c r="AC410" i="17"/>
  <c r="AC221" i="17"/>
  <c r="AC16" i="17"/>
  <c r="AC174" i="17"/>
  <c r="AC147" i="17"/>
  <c r="AC262" i="17"/>
  <c r="AC440" i="17"/>
  <c r="AC323" i="17"/>
  <c r="AC68" i="17"/>
  <c r="AC372" i="17"/>
  <c r="AC335" i="17"/>
  <c r="AC131" i="17"/>
  <c r="AC407" i="17"/>
  <c r="AC273" i="17"/>
  <c r="AC160" i="17"/>
  <c r="AC143" i="17"/>
  <c r="AC419" i="17"/>
  <c r="AC28" i="17"/>
  <c r="AC172" i="17"/>
  <c r="AC315" i="17"/>
  <c r="AC370" i="17"/>
  <c r="AC189" i="17"/>
  <c r="AC382" i="17"/>
  <c r="AC15" i="17"/>
  <c r="AC427" i="17"/>
  <c r="AC394" i="17"/>
  <c r="AC453" i="17"/>
  <c r="AC349" i="17"/>
  <c r="AC272" i="17"/>
  <c r="AC340" i="17"/>
  <c r="AC401" i="17"/>
  <c r="AC297" i="17"/>
  <c r="AC472" i="17"/>
  <c r="AC128" i="17"/>
  <c r="AC96" i="17"/>
  <c r="AC462" i="17"/>
  <c r="AC390" i="17"/>
  <c r="AC406" i="17"/>
  <c r="AC413" i="17"/>
  <c r="AC309" i="17"/>
  <c r="AC477" i="17"/>
  <c r="AC361" i="17"/>
  <c r="AC351" i="17"/>
  <c r="AC367" i="17"/>
  <c r="AC384" i="17"/>
  <c r="AC489" i="17"/>
  <c r="AC373" i="17"/>
  <c r="AC496" i="17"/>
  <c r="AC296" i="17"/>
  <c r="AC363" i="17"/>
  <c r="AC6" i="17"/>
  <c r="AC320" i="17"/>
  <c r="AC304" i="17"/>
  <c r="AC429" i="17"/>
  <c r="AC133" i="17"/>
  <c r="AC277" i="17"/>
  <c r="AC45" i="17"/>
  <c r="AC66" i="17"/>
  <c r="AC210" i="17"/>
  <c r="AC281" i="17"/>
  <c r="AC416" i="17"/>
  <c r="AC461" i="17"/>
  <c r="AC332" i="17"/>
  <c r="AC391" i="17"/>
  <c r="AC441" i="17"/>
  <c r="AC289" i="17"/>
  <c r="AC103" i="17"/>
  <c r="AC280" i="17"/>
  <c r="AC398" i="17"/>
  <c r="AC238" i="17"/>
  <c r="AC155" i="17"/>
  <c r="AC44" i="17"/>
  <c r="AC101" i="17"/>
  <c r="AC450" i="17"/>
  <c r="AC428" i="17"/>
  <c r="AC423" i="17"/>
  <c r="AC360" i="17"/>
  <c r="AC136" i="17"/>
  <c r="AC135" i="17"/>
  <c r="E29" i="18"/>
  <c r="E28" i="18"/>
  <c r="AC446" i="17"/>
  <c r="AC339" i="17"/>
  <c r="AC341" i="17"/>
  <c r="AC355" i="17"/>
  <c r="AC482" i="17"/>
  <c r="AC434" i="17"/>
  <c r="AC324" i="17"/>
  <c r="AC134" i="17"/>
  <c r="AC431" i="17"/>
  <c r="AC336" i="17"/>
  <c r="AC158" i="17"/>
  <c r="AC167" i="17"/>
  <c r="AC236" i="17"/>
  <c r="AC7" i="17"/>
  <c r="AC170" i="17"/>
  <c r="AC104" i="17"/>
  <c r="AC248" i="17"/>
  <c r="AC417" i="17"/>
  <c r="AC265" i="17"/>
  <c r="AC409" i="17"/>
  <c r="AC337" i="17"/>
  <c r="AC460" i="17"/>
  <c r="AC116" i="17"/>
  <c r="AC260" i="17"/>
  <c r="AC254" i="17"/>
  <c r="AC194" i="17"/>
  <c r="AC459" i="17"/>
  <c r="AC371" i="17"/>
  <c r="AC470" i="17"/>
  <c r="AC444" i="17"/>
  <c r="AC455" i="17"/>
  <c r="AC433" i="17"/>
  <c r="AC362" i="17"/>
  <c r="AC266" i="17"/>
  <c r="AC144" i="17"/>
  <c r="AC288" i="17"/>
  <c r="AC37" i="17"/>
  <c r="AC181" i="17"/>
  <c r="AC325" i="17"/>
  <c r="AC63" i="17"/>
  <c r="AC207" i="17"/>
  <c r="AC64" i="17"/>
  <c r="AC208" i="17"/>
  <c r="AC352" i="17"/>
  <c r="AC149" i="17"/>
  <c r="AC293" i="17"/>
  <c r="AC78" i="17"/>
  <c r="AC222" i="17"/>
  <c r="AC366" i="17"/>
  <c r="AC151" i="17"/>
  <c r="AC295" i="17"/>
  <c r="AC439" i="17"/>
  <c r="AC80" i="17"/>
  <c r="AC224" i="17"/>
  <c r="AC57" i="17"/>
  <c r="AC201" i="17"/>
  <c r="AC345" i="17"/>
  <c r="AC10" i="17"/>
  <c r="AC154" i="17"/>
  <c r="AC298" i="17"/>
  <c r="AC476" i="17"/>
  <c r="AC471" i="17"/>
  <c r="AC432" i="17"/>
  <c r="AC47" i="17"/>
  <c r="AC215" i="17"/>
  <c r="AC494" i="17"/>
  <c r="AC492" i="17"/>
  <c r="AC467" i="17"/>
  <c r="AC457" i="17"/>
  <c r="AC11" i="17"/>
  <c r="AC374" i="17"/>
  <c r="AC278" i="17"/>
  <c r="AC156" i="17"/>
  <c r="AC300" i="17"/>
  <c r="AC49" i="17"/>
  <c r="AC193" i="17"/>
  <c r="AC75" i="17"/>
  <c r="AC219" i="17"/>
  <c r="AC76" i="17"/>
  <c r="AC220" i="17"/>
  <c r="AC364" i="17"/>
  <c r="AC17" i="17"/>
  <c r="AC161" i="17"/>
  <c r="AC305" i="17"/>
  <c r="AC449" i="17"/>
  <c r="AC90" i="17"/>
  <c r="AC234" i="17"/>
  <c r="AC378" i="17"/>
  <c r="AC19" i="17"/>
  <c r="AC163" i="17"/>
  <c r="AC307" i="17"/>
  <c r="AC451" i="17"/>
  <c r="AC392" i="17"/>
  <c r="AC69" i="17"/>
  <c r="AC213" i="17"/>
  <c r="AC357" i="17"/>
  <c r="AC22" i="17"/>
  <c r="AC166" i="17"/>
  <c r="AC310" i="17"/>
  <c r="AC454" i="17"/>
  <c r="AC488" i="17"/>
  <c r="AC483" i="17"/>
  <c r="AC35" i="17"/>
  <c r="AC59" i="17"/>
  <c r="AC227" i="17"/>
  <c r="AC479" i="17"/>
  <c r="AC146" i="17"/>
  <c r="AC481" i="17"/>
  <c r="AC290" i="17"/>
  <c r="AC468" i="17"/>
  <c r="AC302" i="17"/>
  <c r="AC191" i="17"/>
  <c r="AC445" i="17"/>
  <c r="AC24" i="17"/>
  <c r="AC168" i="17"/>
  <c r="AC312" i="17"/>
  <c r="AC61" i="17"/>
  <c r="AC205" i="17"/>
  <c r="AC87" i="17"/>
  <c r="AC231" i="17"/>
  <c r="AC375" i="17"/>
  <c r="AC88" i="17"/>
  <c r="AC232" i="17"/>
  <c r="AC376" i="17"/>
  <c r="AC29" i="17"/>
  <c r="AC173" i="17"/>
  <c r="AC317" i="17"/>
  <c r="AC102" i="17"/>
  <c r="AC246" i="17"/>
  <c r="AC31" i="17"/>
  <c r="AC175" i="17"/>
  <c r="AC319" i="17"/>
  <c r="AC463" i="17"/>
  <c r="AC81" i="17"/>
  <c r="AC225" i="17"/>
  <c r="AC369" i="17"/>
  <c r="AC34" i="17"/>
  <c r="AC178" i="17"/>
  <c r="AC322" i="17"/>
  <c r="AC500" i="17"/>
  <c r="AC495" i="17"/>
  <c r="AC107" i="17"/>
  <c r="AC71" i="17"/>
  <c r="AC239" i="17"/>
  <c r="AC491" i="17"/>
  <c r="AC493" i="17"/>
  <c r="AC480" i="17"/>
  <c r="AC62" i="17"/>
  <c r="AC350" i="17"/>
  <c r="AC420" i="17"/>
  <c r="AC73" i="17"/>
  <c r="AC387" i="17"/>
  <c r="AC388" i="17"/>
  <c r="AC114" i="17"/>
  <c r="AC43" i="17"/>
  <c r="AC331" i="17"/>
  <c r="AC475" i="17"/>
  <c r="AC93" i="17"/>
  <c r="AC237" i="17"/>
  <c r="AC381" i="17"/>
  <c r="AC46" i="17"/>
  <c r="AC190" i="17"/>
  <c r="AC334" i="17"/>
  <c r="AC478" i="17"/>
  <c r="AC506" i="17"/>
  <c r="AC203" i="17"/>
  <c r="AC83" i="17"/>
  <c r="AC251" i="17"/>
  <c r="AC5" i="17"/>
  <c r="AC503" i="17"/>
  <c r="AC505" i="17"/>
  <c r="AC74" i="17"/>
  <c r="AC338" i="17"/>
  <c r="AC36" i="17"/>
  <c r="AC243" i="17"/>
  <c r="AC244" i="17"/>
  <c r="AC185" i="17"/>
  <c r="AC473" i="17"/>
  <c r="AC402" i="17"/>
  <c r="AC48" i="17"/>
  <c r="AC229" i="17"/>
  <c r="AC111" i="17"/>
  <c r="AC112" i="17"/>
  <c r="AC400" i="17"/>
  <c r="AC53" i="17"/>
  <c r="AC485" i="17"/>
  <c r="AC126" i="17"/>
  <c r="AC270" i="17"/>
  <c r="AC414" i="17"/>
  <c r="AC55" i="17"/>
  <c r="AC199" i="17"/>
  <c r="AC343" i="17"/>
  <c r="AC487" i="17"/>
  <c r="AC284" i="17"/>
  <c r="AC105" i="17"/>
  <c r="AC249" i="17"/>
  <c r="AC393" i="17"/>
  <c r="AC58" i="17"/>
  <c r="AC202" i="17"/>
  <c r="AC346" i="17"/>
  <c r="AC490" i="17"/>
  <c r="AC275" i="17"/>
  <c r="AC95" i="17"/>
  <c r="AC263" i="17"/>
  <c r="AC86" i="17"/>
  <c r="AC386" i="17"/>
  <c r="AC23" i="17"/>
  <c r="AC180" i="17"/>
  <c r="AC217" i="17"/>
  <c r="AC99" i="17"/>
  <c r="AC100" i="17"/>
  <c r="AC41" i="17"/>
  <c r="AC329" i="17"/>
  <c r="AC258" i="17"/>
  <c r="AC187" i="17"/>
  <c r="AC192" i="17"/>
  <c r="AC85" i="17"/>
  <c r="AC255" i="17"/>
  <c r="AC256" i="17"/>
  <c r="AC197" i="17"/>
  <c r="AC97" i="17"/>
  <c r="AC241" i="17"/>
  <c r="AC385" i="17"/>
  <c r="AC123" i="17"/>
  <c r="AC267" i="17"/>
  <c r="AC124" i="17"/>
  <c r="AC268" i="17"/>
  <c r="AC412" i="17"/>
  <c r="AC65" i="17"/>
  <c r="AC209" i="17"/>
  <c r="AC353" i="17"/>
  <c r="AC497" i="17"/>
  <c r="AC138" i="17"/>
  <c r="AC282" i="17"/>
  <c r="AC67" i="17"/>
  <c r="AC211" i="17"/>
  <c r="AC499" i="17"/>
  <c r="AC140" i="17"/>
  <c r="AC117" i="17"/>
  <c r="AC261" i="17"/>
  <c r="AC405" i="17"/>
  <c r="AC70" i="17"/>
  <c r="AC214" i="17"/>
  <c r="AC358" i="17"/>
  <c r="AC119" i="17"/>
  <c r="AC287" i="17"/>
  <c r="AC50" i="17"/>
  <c r="AC122" i="17"/>
  <c r="AC12" i="17"/>
  <c r="AC26" i="17"/>
  <c r="AC38" i="17"/>
  <c r="AC98" i="17"/>
  <c r="AC469" i="17"/>
  <c r="AC504" i="17"/>
  <c r="AC242" i="17"/>
  <c r="AC311" i="17"/>
  <c r="AC456" i="17"/>
  <c r="AC314" i="17"/>
  <c r="AC218" i="17"/>
  <c r="AC110" i="17"/>
  <c r="AC13" i="17"/>
  <c r="AC157" i="17"/>
  <c r="AC301" i="17"/>
  <c r="AC39" i="17"/>
  <c r="AC183" i="17"/>
  <c r="AC327" i="17"/>
  <c r="AC40" i="17"/>
  <c r="AC184" i="17"/>
  <c r="AC328" i="17"/>
  <c r="AC125" i="17"/>
  <c r="AC269" i="17"/>
  <c r="AC54" i="17"/>
  <c r="AC198" i="17"/>
  <c r="AC342" i="17"/>
  <c r="AC127" i="17"/>
  <c r="AC271" i="17"/>
  <c r="AC415" i="17"/>
  <c r="AC56" i="17"/>
  <c r="AC200" i="17"/>
  <c r="AC356" i="17"/>
  <c r="AC33" i="17"/>
  <c r="AC177" i="17"/>
  <c r="AC321" i="17"/>
  <c r="AC465" i="17"/>
  <c r="AC130" i="17"/>
  <c r="AC274" i="17"/>
  <c r="AC447" i="17"/>
  <c r="AC408" i="17"/>
  <c r="AC179" i="17"/>
  <c r="AC359" i="17"/>
  <c r="AC458" i="17"/>
  <c r="AC443" i="17"/>
  <c r="AC14" i="17"/>
  <c r="AC421" i="17"/>
  <c r="AC326" i="17"/>
  <c r="AC230" i="17"/>
  <c r="AC182" i="17"/>
  <c r="R3" i="17" l="1"/>
  <c r="S3" i="17" s="1"/>
  <c r="E11" i="6" l="1"/>
  <c r="A24" i="16" l="1"/>
  <c r="E15" i="8"/>
  <c r="F5" i="1"/>
  <c r="G5" i="1" s="1"/>
  <c r="H5" i="1" s="1"/>
  <c r="I5" i="1" s="1"/>
  <c r="J5" i="1" s="1"/>
  <c r="K5" i="1" s="1"/>
  <c r="L5" i="1" s="1"/>
  <c r="M5" i="1" s="1"/>
  <c r="F5" i="2"/>
  <c r="G5" i="2" s="1"/>
  <c r="H5" i="2" s="1"/>
  <c r="I5" i="2" s="1"/>
  <c r="J5" i="2" s="1"/>
  <c r="K5" i="2" s="1"/>
  <c r="L5" i="2" s="1"/>
  <c r="M5" i="2" s="1"/>
  <c r="F5" i="15"/>
  <c r="G5" i="15" s="1"/>
  <c r="H5" i="15" s="1"/>
  <c r="I5" i="15" s="1"/>
  <c r="J5" i="15" s="1"/>
  <c r="K5" i="15" s="1"/>
  <c r="L5" i="15" s="1"/>
  <c r="M5" i="15" s="1"/>
  <c r="M8" i="8"/>
  <c r="L8" i="8"/>
  <c r="K8" i="8"/>
  <c r="J8" i="8"/>
  <c r="I8" i="8"/>
  <c r="H8" i="8"/>
  <c r="G8" i="8"/>
  <c r="F8" i="8"/>
  <c r="E8" i="8"/>
  <c r="M8" i="6"/>
  <c r="L8" i="6"/>
  <c r="K8" i="6"/>
  <c r="J8" i="6"/>
  <c r="I8" i="6"/>
  <c r="H8" i="6"/>
  <c r="G8" i="6"/>
  <c r="F8" i="6"/>
  <c r="E8" i="6"/>
  <c r="M8" i="16"/>
  <c r="L8" i="16"/>
  <c r="K8" i="16"/>
  <c r="J8" i="16"/>
  <c r="I8" i="16"/>
  <c r="H8" i="16"/>
  <c r="G8" i="16"/>
  <c r="F8" i="16"/>
  <c r="E8" i="16"/>
  <c r="M8" i="15"/>
  <c r="L8" i="15"/>
  <c r="K8" i="15"/>
  <c r="J8" i="15"/>
  <c r="I8" i="15"/>
  <c r="H8" i="15"/>
  <c r="G8" i="15"/>
  <c r="F8" i="15"/>
  <c r="E8" i="15"/>
  <c r="F5" i="8"/>
  <c r="G5" i="8" s="1"/>
  <c r="H5" i="8" s="1"/>
  <c r="I5" i="8" s="1"/>
  <c r="J5" i="8" s="1"/>
  <c r="K5" i="8" s="1"/>
  <c r="L5" i="8" s="1"/>
  <c r="M5" i="8" s="1"/>
  <c r="M4" i="8"/>
  <c r="L4" i="8"/>
  <c r="K4" i="8"/>
  <c r="J4" i="8"/>
  <c r="I4" i="8"/>
  <c r="H4" i="8"/>
  <c r="G4" i="8"/>
  <c r="F4" i="8"/>
  <c r="E4" i="8"/>
  <c r="M3" i="8"/>
  <c r="L3" i="8"/>
  <c r="K3" i="8"/>
  <c r="J3" i="8"/>
  <c r="I3" i="8"/>
  <c r="H3" i="8"/>
  <c r="G3" i="8"/>
  <c r="F3" i="8"/>
  <c r="E3" i="8"/>
  <c r="F5" i="6"/>
  <c r="G5" i="6" s="1"/>
  <c r="H5" i="6" s="1"/>
  <c r="I5" i="6" s="1"/>
  <c r="J5" i="6" s="1"/>
  <c r="K5" i="6" s="1"/>
  <c r="L5" i="6" s="1"/>
  <c r="M5" i="6" s="1"/>
  <c r="M4" i="6"/>
  <c r="L4" i="6"/>
  <c r="K4" i="6"/>
  <c r="J4" i="6"/>
  <c r="I4" i="6"/>
  <c r="H4" i="6"/>
  <c r="G4" i="6"/>
  <c r="F4" i="6"/>
  <c r="E4" i="6"/>
  <c r="M3" i="6"/>
  <c r="L3" i="6"/>
  <c r="K3" i="6"/>
  <c r="J3" i="6"/>
  <c r="I3" i="6"/>
  <c r="H3" i="6"/>
  <c r="G3" i="6"/>
  <c r="F3" i="6"/>
  <c r="E3" i="6"/>
  <c r="F5" i="16"/>
  <c r="G5" i="16" s="1"/>
  <c r="H5" i="16" s="1"/>
  <c r="I5" i="16" s="1"/>
  <c r="J5" i="16" s="1"/>
  <c r="K5" i="16" s="1"/>
  <c r="L5" i="16" s="1"/>
  <c r="M5" i="16" s="1"/>
  <c r="M4" i="16"/>
  <c r="L4" i="16"/>
  <c r="K4" i="16"/>
  <c r="J4" i="16"/>
  <c r="I4" i="16"/>
  <c r="H4" i="16"/>
  <c r="G4" i="16"/>
  <c r="F4" i="16"/>
  <c r="E4" i="16"/>
  <c r="M3" i="16"/>
  <c r="L3" i="16"/>
  <c r="K3" i="16"/>
  <c r="J3" i="16"/>
  <c r="I3" i="16"/>
  <c r="H3" i="16"/>
  <c r="G3" i="16"/>
  <c r="F3" i="16"/>
  <c r="E3" i="16"/>
  <c r="E5" i="15"/>
  <c r="M4" i="15"/>
  <c r="L4" i="15"/>
  <c r="K4" i="15"/>
  <c r="J4" i="15"/>
  <c r="I4" i="15"/>
  <c r="H4" i="15"/>
  <c r="G4" i="15"/>
  <c r="F4" i="15"/>
  <c r="E4" i="15"/>
  <c r="M3" i="15"/>
  <c r="L3" i="15"/>
  <c r="K3" i="15"/>
  <c r="J3" i="15"/>
  <c r="I3" i="15"/>
  <c r="H3" i="15"/>
  <c r="G3" i="15"/>
  <c r="F3" i="15"/>
  <c r="E3" i="15"/>
  <c r="F8" i="5"/>
  <c r="G8" i="5"/>
  <c r="H8" i="5"/>
  <c r="I8" i="5"/>
  <c r="J8" i="5"/>
  <c r="K8" i="5"/>
  <c r="L8" i="5"/>
  <c r="M8" i="5"/>
  <c r="E8" i="5"/>
  <c r="E4" i="5"/>
  <c r="F4" i="5"/>
  <c r="G4" i="5"/>
  <c r="H4" i="5"/>
  <c r="I4" i="5"/>
  <c r="J4" i="5"/>
  <c r="K4" i="5"/>
  <c r="L4" i="5"/>
  <c r="M4" i="5"/>
  <c r="E5" i="5"/>
  <c r="F5" i="5" s="1"/>
  <c r="G5" i="5" s="1"/>
  <c r="H5" i="5" s="1"/>
  <c r="I5" i="5" s="1"/>
  <c r="J5" i="5" s="1"/>
  <c r="K5" i="5" s="1"/>
  <c r="L5" i="5" s="1"/>
  <c r="M5" i="5" s="1"/>
  <c r="F3" i="5"/>
  <c r="G3" i="5"/>
  <c r="H3" i="5"/>
  <c r="I3" i="5"/>
  <c r="J3" i="5"/>
  <c r="K3" i="5"/>
  <c r="L3" i="5"/>
  <c r="M3" i="5"/>
  <c r="E3" i="5"/>
  <c r="E4" i="2"/>
  <c r="F4" i="2"/>
  <c r="G4" i="2"/>
  <c r="H4" i="2"/>
  <c r="I4" i="2"/>
  <c r="J4" i="2"/>
  <c r="K4" i="2"/>
  <c r="L4" i="2"/>
  <c r="M4" i="2"/>
  <c r="E5" i="2"/>
  <c r="F3" i="2"/>
  <c r="G3" i="2"/>
  <c r="H3" i="2"/>
  <c r="I3" i="2"/>
  <c r="J3" i="2"/>
  <c r="K3" i="2"/>
  <c r="L3" i="2"/>
  <c r="M3" i="2"/>
  <c r="E3" i="2"/>
  <c r="K547" i="8" l="1"/>
  <c r="K546" i="8"/>
  <c r="K545" i="8"/>
  <c r="A23" i="16"/>
  <c r="F280" i="16"/>
  <c r="D280" i="16"/>
  <c r="F279" i="16"/>
  <c r="D279" i="16"/>
  <c r="F278" i="16"/>
  <c r="D278" i="16"/>
  <c r="F277" i="16"/>
  <c r="D277" i="16"/>
  <c r="F276" i="16"/>
  <c r="D276" i="16"/>
  <c r="F275" i="16"/>
  <c r="D275" i="16"/>
  <c r="F274" i="16"/>
  <c r="D274" i="16"/>
  <c r="F273" i="16"/>
  <c r="D273" i="16"/>
  <c r="F272" i="16"/>
  <c r="D272" i="16"/>
  <c r="F271" i="16"/>
  <c r="D271" i="16"/>
  <c r="F270" i="16"/>
  <c r="D270" i="16"/>
  <c r="F269" i="16"/>
  <c r="D269" i="16"/>
  <c r="F268" i="16"/>
  <c r="D268" i="16"/>
  <c r="F267" i="16"/>
  <c r="D267" i="16"/>
  <c r="F266" i="16"/>
  <c r="D266" i="16"/>
  <c r="F265" i="16"/>
  <c r="D265" i="16"/>
  <c r="F264" i="16"/>
  <c r="D264" i="16"/>
  <c r="F263" i="16"/>
  <c r="D263" i="16"/>
  <c r="F262" i="16"/>
  <c r="D262" i="16"/>
  <c r="F261" i="16"/>
  <c r="D261" i="16"/>
  <c r="F260" i="16"/>
  <c r="D260" i="16"/>
  <c r="F259" i="16"/>
  <c r="D259" i="16"/>
  <c r="F258" i="16"/>
  <c r="D258" i="16"/>
  <c r="F257" i="16"/>
  <c r="D257" i="16"/>
  <c r="F256" i="16"/>
  <c r="D256" i="16"/>
  <c r="F255" i="16"/>
  <c r="D255" i="16"/>
  <c r="F254" i="16"/>
  <c r="D254" i="16"/>
  <c r="F253" i="16"/>
  <c r="D253" i="16"/>
  <c r="F252" i="16"/>
  <c r="D252" i="16"/>
  <c r="F251" i="16"/>
  <c r="D251" i="16"/>
  <c r="F250" i="16"/>
  <c r="D250" i="16"/>
  <c r="F249" i="16"/>
  <c r="D249" i="16"/>
  <c r="F248" i="16"/>
  <c r="D248" i="16"/>
  <c r="F247" i="16"/>
  <c r="D247" i="16"/>
  <c r="F246" i="16"/>
  <c r="D246" i="16"/>
  <c r="F245" i="16"/>
  <c r="D245" i="16"/>
  <c r="F244" i="16"/>
  <c r="D244" i="16"/>
  <c r="F243" i="16"/>
  <c r="D243" i="16"/>
  <c r="F242" i="16"/>
  <c r="D242" i="16"/>
  <c r="F241" i="16"/>
  <c r="D241" i="16"/>
  <c r="F240" i="16"/>
  <c r="D240" i="16"/>
  <c r="F239" i="16"/>
  <c r="D239" i="16"/>
  <c r="F238" i="16"/>
  <c r="D238" i="16"/>
  <c r="F237" i="16"/>
  <c r="D237" i="16"/>
  <c r="F236" i="16"/>
  <c r="D236" i="16"/>
  <c r="F235" i="16"/>
  <c r="D235" i="16"/>
  <c r="F234" i="16"/>
  <c r="D234" i="16"/>
  <c r="F233" i="16"/>
  <c r="D233" i="16"/>
  <c r="F232" i="16"/>
  <c r="D232" i="16"/>
  <c r="F231" i="16"/>
  <c r="D231" i="16"/>
  <c r="F230" i="16"/>
  <c r="D230" i="16"/>
  <c r="F229" i="16"/>
  <c r="D229" i="16"/>
  <c r="F228" i="16"/>
  <c r="D228" i="16"/>
  <c r="F227" i="16"/>
  <c r="D227" i="16"/>
  <c r="F226" i="16"/>
  <c r="D226" i="16"/>
  <c r="F225" i="16"/>
  <c r="D225" i="16"/>
  <c r="F224" i="16"/>
  <c r="D224" i="16"/>
  <c r="F223" i="16"/>
  <c r="D223" i="16"/>
  <c r="F222" i="16"/>
  <c r="D222" i="16"/>
  <c r="F221" i="16"/>
  <c r="D221" i="16"/>
  <c r="F220" i="16"/>
  <c r="D220" i="16"/>
  <c r="F219" i="16"/>
  <c r="D219" i="16"/>
  <c r="F218" i="16"/>
  <c r="D218" i="16"/>
  <c r="F217" i="16"/>
  <c r="D217" i="16"/>
  <c r="F216" i="16"/>
  <c r="D216" i="16"/>
  <c r="F215" i="16"/>
  <c r="D215" i="16"/>
  <c r="F214" i="16"/>
  <c r="D214" i="16"/>
  <c r="F213" i="16"/>
  <c r="D213" i="16"/>
  <c r="F212" i="16"/>
  <c r="D212" i="16"/>
  <c r="F211" i="16"/>
  <c r="D211" i="16"/>
  <c r="F210" i="16"/>
  <c r="D210" i="16"/>
  <c r="F209" i="16"/>
  <c r="D209" i="16"/>
  <c r="F208" i="16"/>
  <c r="D208" i="16"/>
  <c r="F207" i="16"/>
  <c r="D207" i="16"/>
  <c r="F206" i="16"/>
  <c r="D206" i="16"/>
  <c r="F205" i="16"/>
  <c r="D205" i="16"/>
  <c r="F204" i="16"/>
  <c r="D204" i="16"/>
  <c r="F203" i="16"/>
  <c r="D203" i="16"/>
  <c r="F202" i="16"/>
  <c r="D202" i="16"/>
  <c r="F201" i="16"/>
  <c r="D201" i="16"/>
  <c r="F200" i="16"/>
  <c r="D200" i="16"/>
  <c r="F199" i="16"/>
  <c r="D199" i="16"/>
  <c r="F198" i="16"/>
  <c r="D198" i="16"/>
  <c r="F197" i="16"/>
  <c r="D197" i="16"/>
  <c r="F196" i="16"/>
  <c r="D196" i="16"/>
  <c r="F195" i="16"/>
  <c r="D195" i="16"/>
  <c r="F194" i="16"/>
  <c r="D194" i="16"/>
  <c r="F193" i="16"/>
  <c r="D193" i="16"/>
  <c r="F192" i="16"/>
  <c r="D192" i="16"/>
  <c r="F191" i="16"/>
  <c r="D191" i="16"/>
  <c r="F190" i="16"/>
  <c r="D190" i="16"/>
  <c r="F189" i="16"/>
  <c r="D189" i="16"/>
  <c r="F188" i="16"/>
  <c r="D188" i="16"/>
  <c r="F187" i="16"/>
  <c r="D187" i="16"/>
  <c r="F186" i="16"/>
  <c r="D186" i="16"/>
  <c r="F185" i="16"/>
  <c r="D185" i="16"/>
  <c r="F184" i="16"/>
  <c r="D184" i="16"/>
  <c r="F183" i="16"/>
  <c r="D183" i="16"/>
  <c r="F182" i="16"/>
  <c r="D182" i="16"/>
  <c r="F181" i="16"/>
  <c r="D181" i="16"/>
  <c r="F180" i="16"/>
  <c r="D180" i="16"/>
  <c r="F179" i="16"/>
  <c r="D179" i="16"/>
  <c r="F178" i="16"/>
  <c r="D178" i="16"/>
  <c r="F177" i="16"/>
  <c r="D177" i="16"/>
  <c r="F176" i="16"/>
  <c r="D176" i="16"/>
  <c r="F175" i="16"/>
  <c r="D175" i="16"/>
  <c r="F174" i="16"/>
  <c r="D174" i="16"/>
  <c r="F173" i="16"/>
  <c r="D173" i="16"/>
  <c r="F172" i="16"/>
  <c r="D172" i="16"/>
  <c r="F171" i="16"/>
  <c r="D171" i="16"/>
  <c r="F170" i="16"/>
  <c r="D170" i="16"/>
  <c r="F169" i="16"/>
  <c r="D169" i="16"/>
  <c r="F168" i="16"/>
  <c r="D168" i="16"/>
  <c r="F167" i="16"/>
  <c r="D167" i="16"/>
  <c r="F166" i="16"/>
  <c r="D166" i="16"/>
  <c r="F165" i="16"/>
  <c r="D165" i="16"/>
  <c r="F164" i="16"/>
  <c r="D164" i="16"/>
  <c r="F163" i="16"/>
  <c r="D163" i="16"/>
  <c r="F162" i="16"/>
  <c r="D162" i="16"/>
  <c r="F161" i="16"/>
  <c r="D161" i="16"/>
  <c r="F160" i="16"/>
  <c r="D160" i="16"/>
  <c r="F159" i="16"/>
  <c r="D159" i="16"/>
  <c r="F158" i="16"/>
  <c r="D158" i="16"/>
  <c r="F157" i="16"/>
  <c r="D157" i="16"/>
  <c r="F156" i="16"/>
  <c r="D156" i="16"/>
  <c r="F155" i="16"/>
  <c r="D155" i="16"/>
  <c r="F154" i="16"/>
  <c r="D154" i="16"/>
  <c r="F153" i="16"/>
  <c r="D153" i="16"/>
  <c r="F152" i="16"/>
  <c r="D152" i="16"/>
  <c r="F151" i="16"/>
  <c r="D151" i="16"/>
  <c r="F150" i="16"/>
  <c r="D150" i="16"/>
  <c r="F149" i="16"/>
  <c r="D149" i="16"/>
  <c r="F148" i="16"/>
  <c r="D148" i="16"/>
  <c r="F147" i="16"/>
  <c r="D147" i="16"/>
  <c r="F146" i="16"/>
  <c r="D146" i="16"/>
  <c r="F145" i="16"/>
  <c r="D145" i="16"/>
  <c r="F144" i="16"/>
  <c r="D144" i="16"/>
  <c r="F143" i="16"/>
  <c r="D143" i="16"/>
  <c r="F142" i="16"/>
  <c r="D142" i="16"/>
  <c r="F141" i="16"/>
  <c r="D141" i="16"/>
  <c r="F140" i="16"/>
  <c r="D140" i="16"/>
  <c r="F139" i="16"/>
  <c r="D139" i="16"/>
  <c r="F138" i="16"/>
  <c r="D138" i="16"/>
  <c r="F137" i="16"/>
  <c r="D137" i="16"/>
  <c r="F136" i="16"/>
  <c r="D136" i="16"/>
  <c r="F135" i="16"/>
  <c r="D135" i="16"/>
  <c r="F134" i="16"/>
  <c r="D134" i="16"/>
  <c r="F133" i="16"/>
  <c r="D133" i="16"/>
  <c r="F132" i="16"/>
  <c r="D132" i="16"/>
  <c r="F131" i="16"/>
  <c r="D131" i="16"/>
  <c r="F130" i="16"/>
  <c r="D130" i="16"/>
  <c r="F129" i="16"/>
  <c r="D129" i="16"/>
  <c r="F128" i="16"/>
  <c r="D128" i="16"/>
  <c r="F127" i="16"/>
  <c r="D127" i="16"/>
  <c r="F126" i="16"/>
  <c r="D126" i="16"/>
  <c r="F125" i="16"/>
  <c r="D125" i="16"/>
  <c r="F124" i="16"/>
  <c r="D124" i="16"/>
  <c r="F123" i="16"/>
  <c r="D123" i="16"/>
  <c r="F122" i="16"/>
  <c r="D122" i="16"/>
  <c r="F121" i="16"/>
  <c r="D121" i="16"/>
  <c r="F120" i="16"/>
  <c r="D120" i="16"/>
  <c r="F119" i="16"/>
  <c r="D119" i="16"/>
  <c r="F118" i="16"/>
  <c r="D118" i="16"/>
  <c r="F117" i="16"/>
  <c r="D117" i="16"/>
  <c r="F116" i="16"/>
  <c r="D116" i="16"/>
  <c r="F115" i="16"/>
  <c r="D115" i="16"/>
  <c r="F114" i="16"/>
  <c r="D114" i="16"/>
  <c r="F113" i="16"/>
  <c r="D113" i="16"/>
  <c r="F112" i="16"/>
  <c r="D112" i="16"/>
  <c r="F111" i="16"/>
  <c r="D111" i="16"/>
  <c r="F110" i="16"/>
  <c r="D110" i="16"/>
  <c r="F109" i="16"/>
  <c r="D109" i="16"/>
  <c r="F108" i="16"/>
  <c r="D108" i="16"/>
  <c r="F107" i="16"/>
  <c r="D107" i="16"/>
  <c r="F106" i="16"/>
  <c r="D106" i="16"/>
  <c r="F105" i="16"/>
  <c r="D105" i="16"/>
  <c r="F104" i="16"/>
  <c r="D104" i="16"/>
  <c r="F103" i="16"/>
  <c r="D103" i="16"/>
  <c r="F102" i="16"/>
  <c r="D102" i="16"/>
  <c r="F101" i="16"/>
  <c r="D101" i="16"/>
  <c r="F100" i="16"/>
  <c r="D100" i="16"/>
  <c r="F99" i="16"/>
  <c r="D99" i="16"/>
  <c r="F98" i="16"/>
  <c r="D98" i="16"/>
  <c r="F97" i="16"/>
  <c r="D97" i="16"/>
  <c r="F96" i="16"/>
  <c r="D96" i="16"/>
  <c r="F95" i="16"/>
  <c r="D95" i="16"/>
  <c r="F94" i="16"/>
  <c r="D94" i="16"/>
  <c r="F93" i="16"/>
  <c r="D93" i="16"/>
  <c r="F92" i="16"/>
  <c r="D92" i="16"/>
  <c r="F91" i="16"/>
  <c r="D91" i="16"/>
  <c r="F90" i="16"/>
  <c r="D90" i="16"/>
  <c r="F89" i="16"/>
  <c r="D89" i="16"/>
  <c r="F88" i="16"/>
  <c r="D88" i="16"/>
  <c r="F87" i="16"/>
  <c r="D87" i="16"/>
  <c r="F86" i="16"/>
  <c r="D86" i="16"/>
  <c r="F85" i="16"/>
  <c r="D85" i="16"/>
  <c r="F84" i="16"/>
  <c r="D84" i="16"/>
  <c r="F83" i="16"/>
  <c r="D83" i="16"/>
  <c r="F82" i="16"/>
  <c r="D82" i="16"/>
  <c r="F81" i="16"/>
  <c r="D81" i="16"/>
  <c r="F80" i="16"/>
  <c r="D80" i="16"/>
  <c r="F79" i="16"/>
  <c r="D79" i="16"/>
  <c r="F78" i="16"/>
  <c r="D78" i="16"/>
  <c r="F77" i="16"/>
  <c r="D77" i="16"/>
  <c r="F76" i="16"/>
  <c r="D76" i="16"/>
  <c r="F75" i="16"/>
  <c r="D75" i="16"/>
  <c r="F74" i="16"/>
  <c r="D74" i="16"/>
  <c r="F73" i="16"/>
  <c r="D73" i="16"/>
  <c r="F72" i="16"/>
  <c r="D72" i="16"/>
  <c r="F71" i="16"/>
  <c r="D71" i="16"/>
  <c r="F70" i="16"/>
  <c r="D70" i="16"/>
  <c r="F69" i="16"/>
  <c r="D69" i="16"/>
  <c r="F68" i="16"/>
  <c r="D68" i="16"/>
  <c r="F67" i="16"/>
  <c r="D67" i="16"/>
  <c r="F66" i="16"/>
  <c r="D66" i="16"/>
  <c r="F65" i="16"/>
  <c r="D65" i="16"/>
  <c r="F64" i="16"/>
  <c r="D64" i="16"/>
  <c r="F63" i="16"/>
  <c r="D63" i="16"/>
  <c r="F62" i="16"/>
  <c r="D62" i="16"/>
  <c r="F61" i="16"/>
  <c r="D61" i="16"/>
  <c r="F60" i="16"/>
  <c r="D60" i="16"/>
  <c r="F59" i="16"/>
  <c r="D59" i="16"/>
  <c r="F58" i="16"/>
  <c r="D58" i="16"/>
  <c r="F57" i="16"/>
  <c r="D57" i="16"/>
  <c r="F56" i="16"/>
  <c r="D56" i="16"/>
  <c r="F55" i="16"/>
  <c r="D55" i="16"/>
  <c r="F54" i="16"/>
  <c r="D54" i="16"/>
  <c r="F53" i="16"/>
  <c r="D53" i="16"/>
  <c r="F52" i="16"/>
  <c r="D52" i="16"/>
  <c r="F51" i="16"/>
  <c r="D51" i="16"/>
  <c r="F50" i="16"/>
  <c r="D50" i="16"/>
  <c r="F49" i="16"/>
  <c r="D49" i="16"/>
  <c r="F48" i="16"/>
  <c r="D48" i="16"/>
  <c r="F47" i="16"/>
  <c r="D47" i="16"/>
  <c r="F46" i="16"/>
  <c r="D46" i="16"/>
  <c r="F45" i="16"/>
  <c r="D45" i="16"/>
  <c r="F44" i="16"/>
  <c r="D44" i="16"/>
  <c r="F43" i="16"/>
  <c r="D43" i="16"/>
  <c r="F42" i="16"/>
  <c r="D42" i="16"/>
  <c r="F41" i="16"/>
  <c r="D41" i="16"/>
  <c r="F40" i="16"/>
  <c r="D40" i="16"/>
  <c r="F39" i="16"/>
  <c r="D39" i="16"/>
  <c r="F38" i="16"/>
  <c r="D38" i="16"/>
  <c r="F37" i="16"/>
  <c r="D37" i="16"/>
  <c r="F36" i="16"/>
  <c r="D36" i="16"/>
  <c r="F35" i="16"/>
  <c r="D35" i="16"/>
  <c r="F34" i="16"/>
  <c r="D34" i="16"/>
  <c r="F33" i="16"/>
  <c r="D33" i="16"/>
  <c r="F32" i="16"/>
  <c r="D32" i="16"/>
  <c r="F31" i="16"/>
  <c r="D31" i="16"/>
  <c r="F30" i="16"/>
  <c r="D30" i="16"/>
  <c r="E9" i="16"/>
  <c r="F10" i="16" s="1"/>
  <c r="F6" i="16"/>
  <c r="G6" i="16" s="1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E9" i="15"/>
  <c r="F10" i="15" s="1"/>
  <c r="F6" i="15"/>
  <c r="G6" i="15" s="1"/>
  <c r="E30" i="15" l="1"/>
  <c r="B22" i="15" s="1"/>
  <c r="E30" i="16"/>
  <c r="B22" i="16" s="1"/>
  <c r="B24" i="16" s="1"/>
  <c r="H6" i="16"/>
  <c r="I6" i="16" s="1"/>
  <c r="J6" i="16" s="1"/>
  <c r="K6" i="16" s="1"/>
  <c r="L6" i="16" s="1"/>
  <c r="M6" i="16" s="1"/>
  <c r="F13" i="16"/>
  <c r="G10" i="16"/>
  <c r="E13" i="16"/>
  <c r="G10" i="15"/>
  <c r="F13" i="15"/>
  <c r="H6" i="15"/>
  <c r="I6" i="15" s="1"/>
  <c r="J6" i="15" s="1"/>
  <c r="K6" i="15" s="1"/>
  <c r="L6" i="15" s="1"/>
  <c r="M6" i="15" s="1"/>
  <c r="E13" i="15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43" i="8"/>
  <c r="AH3" i="6"/>
  <c r="AF2" i="6"/>
  <c r="AE5" i="6" s="1"/>
  <c r="AE3" i="6"/>
  <c r="AE4" i="6"/>
  <c r="U18" i="8"/>
  <c r="U16" i="8"/>
  <c r="X16" i="8"/>
  <c r="E9" i="8"/>
  <c r="F6" i="8"/>
  <c r="G6" i="8" s="1"/>
  <c r="E9" i="6"/>
  <c r="F10" i="6" s="1"/>
  <c r="G10" i="6" s="1"/>
  <c r="F6" i="6"/>
  <c r="G6" i="6" s="1"/>
  <c r="H6" i="6" s="1"/>
  <c r="I6" i="6" s="1"/>
  <c r="J6" i="6" s="1"/>
  <c r="K6" i="6" s="1"/>
  <c r="L6" i="6" s="1"/>
  <c r="M6" i="6" s="1"/>
  <c r="E9" i="5"/>
  <c r="F10" i="5" s="1"/>
  <c r="G10" i="5" s="1"/>
  <c r="H10" i="5" s="1"/>
  <c r="I10" i="5" s="1"/>
  <c r="J10" i="5" s="1"/>
  <c r="F6" i="5"/>
  <c r="G6" i="5" s="1"/>
  <c r="H6" i="5" s="1"/>
  <c r="I6" i="5" s="1"/>
  <c r="J6" i="5" s="1"/>
  <c r="K6" i="5" s="1"/>
  <c r="L6" i="5" s="1"/>
  <c r="M6" i="5" s="1"/>
  <c r="F6" i="2"/>
  <c r="G6" i="2" s="1"/>
  <c r="H6" i="2" s="1"/>
  <c r="I6" i="2" s="1"/>
  <c r="J6" i="2" s="1"/>
  <c r="K6" i="2" s="1"/>
  <c r="L6" i="2" s="1"/>
  <c r="M6" i="2" s="1"/>
  <c r="F10" i="8" l="1"/>
  <c r="G10" i="8" s="1"/>
  <c r="E13" i="8"/>
  <c r="E7" i="16"/>
  <c r="E17" i="16" s="1"/>
  <c r="G13" i="16"/>
  <c r="H10" i="16"/>
  <c r="E7" i="15"/>
  <c r="H10" i="15"/>
  <c r="G13" i="15"/>
  <c r="H6" i="8"/>
  <c r="I6" i="8" s="1"/>
  <c r="J6" i="8" s="1"/>
  <c r="K6" i="8" s="1"/>
  <c r="L6" i="8" s="1"/>
  <c r="M6" i="8" s="1"/>
  <c r="E13" i="6"/>
  <c r="H10" i="6"/>
  <c r="G13" i="6"/>
  <c r="E7" i="6"/>
  <c r="E17" i="6" s="1"/>
  <c r="F13" i="6"/>
  <c r="F13" i="5"/>
  <c r="E7" i="5"/>
  <c r="E13" i="5"/>
  <c r="F13" i="8" l="1"/>
  <c r="E18" i="6"/>
  <c r="E23" i="6" s="1"/>
  <c r="E24" i="6" s="1"/>
  <c r="I10" i="16"/>
  <c r="H13" i="16"/>
  <c r="I10" i="15"/>
  <c r="H13" i="15"/>
  <c r="E7" i="8"/>
  <c r="E17" i="8" s="1"/>
  <c r="G13" i="8"/>
  <c r="H10" i="8"/>
  <c r="I10" i="6"/>
  <c r="H13" i="6"/>
  <c r="G13" i="5"/>
  <c r="AB2" i="6" l="1"/>
  <c r="J10" i="16"/>
  <c r="I13" i="16"/>
  <c r="J10" i="15"/>
  <c r="I13" i="15"/>
  <c r="E18" i="8"/>
  <c r="H13" i="8"/>
  <c r="I10" i="8"/>
  <c r="I13" i="6"/>
  <c r="J10" i="6"/>
  <c r="H13" i="5"/>
  <c r="E19" i="8" l="1"/>
  <c r="E23" i="8"/>
  <c r="E24" i="8" s="1"/>
  <c r="E30" i="18" s="1"/>
  <c r="K10" i="16"/>
  <c r="J13" i="16"/>
  <c r="K10" i="15"/>
  <c r="J13" i="15"/>
  <c r="J10" i="8"/>
  <c r="I13" i="8"/>
  <c r="J13" i="6"/>
  <c r="K10" i="6"/>
  <c r="I13" i="5"/>
  <c r="X17" i="8" l="1"/>
  <c r="C20" i="18"/>
  <c r="S5" i="17"/>
  <c r="L10" i="16"/>
  <c r="K13" i="16"/>
  <c r="L10" i="15"/>
  <c r="K13" i="15"/>
  <c r="K10" i="8"/>
  <c r="J13" i="8"/>
  <c r="L10" i="6"/>
  <c r="K13" i="6"/>
  <c r="J13" i="5"/>
  <c r="K10" i="5"/>
  <c r="E26" i="18" l="1"/>
  <c r="E27" i="18"/>
  <c r="M10" i="16"/>
  <c r="L13" i="16"/>
  <c r="L13" i="15"/>
  <c r="M10" i="15"/>
  <c r="M13" i="15" s="1"/>
  <c r="L10" i="8"/>
  <c r="K13" i="8"/>
  <c r="L13" i="6"/>
  <c r="M10" i="6"/>
  <c r="K13" i="5"/>
  <c r="L10" i="5"/>
  <c r="M13" i="16" l="1"/>
  <c r="E14" i="16" s="1"/>
  <c r="C29" i="16" s="1"/>
  <c r="E11" i="16"/>
  <c r="E11" i="15"/>
  <c r="E12" i="15" s="1"/>
  <c r="B29" i="15" s="1"/>
  <c r="E14" i="15"/>
  <c r="C29" i="15" s="1"/>
  <c r="M10" i="8"/>
  <c r="L13" i="8"/>
  <c r="M13" i="6"/>
  <c r="E14" i="6" s="1"/>
  <c r="M10" i="5"/>
  <c r="L13" i="5"/>
  <c r="E12" i="16" l="1"/>
  <c r="B29" i="16" s="1"/>
  <c r="E16" i="16"/>
  <c r="G29" i="16" s="1"/>
  <c r="M13" i="8"/>
  <c r="E14" i="8" s="1"/>
  <c r="E11" i="8"/>
  <c r="E12" i="6"/>
  <c r="M13" i="5"/>
  <c r="E14" i="5" s="1"/>
  <c r="E11" i="5"/>
  <c r="C43" i="8" l="1"/>
  <c r="D43" i="8"/>
  <c r="E20" i="8"/>
  <c r="C29" i="5"/>
  <c r="E12" i="8"/>
  <c r="B43" i="8" s="1"/>
  <c r="E12" i="5"/>
  <c r="V2" i="17" l="1"/>
  <c r="X2" i="18"/>
  <c r="X2" i="17"/>
  <c r="Z2" i="18"/>
  <c r="W2" i="17"/>
  <c r="R2" i="17" s="1"/>
  <c r="S2" i="17" s="1"/>
  <c r="Y2" i="18"/>
  <c r="B29" i="5"/>
  <c r="E21" i="8"/>
  <c r="F43" i="8" s="1"/>
  <c r="E43" i="8"/>
  <c r="E22" i="8"/>
  <c r="G43" i="8" s="1"/>
  <c r="AC2" i="18" s="1"/>
  <c r="Z2" i="17" l="1"/>
  <c r="AB2" i="18"/>
  <c r="Y2" i="17"/>
  <c r="AA2" i="18"/>
  <c r="E26" i="8"/>
  <c r="E27" i="8" s="1"/>
  <c r="AA2" i="17"/>
  <c r="U17" i="8"/>
  <c r="E28" i="8" l="1"/>
  <c r="R4" i="17"/>
  <c r="S4" i="17" s="1"/>
  <c r="V16" i="8"/>
  <c r="AB38" i="6"/>
  <c r="E30" i="8" l="1"/>
  <c r="C21" i="18"/>
  <c r="V17" i="8"/>
  <c r="AB11" i="6"/>
  <c r="AB56" i="6"/>
  <c r="AB50" i="6"/>
  <c r="AB45" i="6"/>
  <c r="AB23" i="6"/>
  <c r="AB19" i="6"/>
  <c r="AB31" i="6"/>
  <c r="AB43" i="6"/>
  <c r="AB22" i="6"/>
  <c r="AB39" i="6"/>
  <c r="AB25" i="6"/>
  <c r="AB15" i="6"/>
  <c r="AB49" i="6"/>
  <c r="AB41" i="6"/>
  <c r="AB54" i="6"/>
  <c r="AB6" i="6"/>
  <c r="AB57" i="6"/>
  <c r="AB47" i="6"/>
  <c r="AB40" i="6"/>
  <c r="AB28" i="6"/>
  <c r="AB34" i="6"/>
  <c r="AB44" i="6"/>
  <c r="AB4" i="6"/>
  <c r="AB53" i="6"/>
  <c r="AB14" i="6"/>
  <c r="AB42" i="6"/>
  <c r="AB7" i="6"/>
  <c r="AB13" i="6"/>
  <c r="AB51" i="6"/>
  <c r="AB10" i="6"/>
  <c r="AB59" i="6"/>
  <c r="AB32" i="6"/>
  <c r="AB29" i="6"/>
  <c r="AB24" i="6"/>
  <c r="AB36" i="6"/>
  <c r="AB27" i="6"/>
  <c r="AB26" i="6"/>
  <c r="AB33" i="6"/>
  <c r="E19" i="6"/>
  <c r="AH4" i="6" s="1"/>
  <c r="AB35" i="6"/>
  <c r="AB37" i="6"/>
  <c r="AB55" i="6"/>
  <c r="AB20" i="6"/>
  <c r="AB12" i="6"/>
  <c r="AB46" i="6"/>
  <c r="AB3" i="6"/>
  <c r="AB58" i="6"/>
  <c r="AB52" i="6"/>
  <c r="AB16" i="6"/>
  <c r="AB48" i="6"/>
  <c r="AB18" i="6"/>
  <c r="AB9" i="6"/>
  <c r="AB17" i="6"/>
  <c r="AB30" i="6"/>
  <c r="AB21" i="6"/>
  <c r="AB8" i="6"/>
  <c r="AB5" i="6"/>
  <c r="AB3" i="8"/>
  <c r="E25" i="18" l="1"/>
  <c r="D20" i="18"/>
  <c r="E24" i="18"/>
  <c r="AB2" i="8"/>
  <c r="AB53" i="8"/>
  <c r="AB14" i="8"/>
  <c r="AB49" i="8"/>
  <c r="AB38" i="8"/>
  <c r="AB11" i="8"/>
  <c r="AB32" i="8"/>
  <c r="AB41" i="8"/>
  <c r="AB20" i="8"/>
  <c r="AB31" i="8"/>
  <c r="AB42" i="8"/>
  <c r="AB10" i="8"/>
  <c r="AB39" i="8"/>
  <c r="AB23" i="8"/>
  <c r="AB34" i="8"/>
  <c r="AB45" i="8"/>
  <c r="AB56" i="8"/>
  <c r="AB30" i="8"/>
  <c r="AB52" i="8"/>
  <c r="AB47" i="8"/>
  <c r="AB46" i="8"/>
  <c r="AB7" i="8"/>
  <c r="AB27" i="8"/>
  <c r="AB54" i="8"/>
  <c r="AB57" i="8"/>
  <c r="AB9" i="8"/>
  <c r="AB6" i="8"/>
  <c r="AB25" i="8"/>
  <c r="AB35" i="8"/>
  <c r="AB17" i="8"/>
  <c r="AB5" i="8"/>
  <c r="AB50" i="8"/>
  <c r="AB51" i="8"/>
  <c r="AB16" i="8"/>
  <c r="AB59" i="8"/>
  <c r="AB44" i="8"/>
  <c r="AB37" i="8"/>
  <c r="AB15" i="8"/>
  <c r="AB33" i="8"/>
  <c r="AB18" i="8"/>
  <c r="AB43" i="8"/>
  <c r="AB19" i="8"/>
  <c r="AB29" i="8"/>
  <c r="AB48" i="8"/>
  <c r="AB8" i="8"/>
  <c r="AB40" i="8"/>
  <c r="AB28" i="8"/>
  <c r="AB13" i="8"/>
  <c r="AB24" i="8"/>
  <c r="AB21" i="8"/>
  <c r="AB4" i="8"/>
  <c r="AB26" i="8"/>
  <c r="AB58" i="8"/>
  <c r="AB36" i="8"/>
  <c r="AB55" i="8"/>
  <c r="AB22" i="8"/>
  <c r="AB12" i="8"/>
  <c r="E20" i="6" l="1"/>
  <c r="AF3" i="6" s="1"/>
  <c r="E21" i="6" l="1"/>
  <c r="AF4" i="6" s="1"/>
  <c r="E22" i="6"/>
  <c r="E9" i="2" l="1"/>
  <c r="E13" i="2" l="1"/>
  <c r="F10" i="2"/>
  <c r="G10" i="2" l="1"/>
  <c r="F13" i="2"/>
  <c r="F6" i="1"/>
  <c r="E7" i="2" l="1"/>
  <c r="H10" i="2"/>
  <c r="G13" i="2"/>
  <c r="G6" i="1"/>
  <c r="I10" i="2" l="1"/>
  <c r="H13" i="2"/>
  <c r="H6" i="1"/>
  <c r="I6" i="1" s="1"/>
  <c r="J6" i="1" s="1"/>
  <c r="K6" i="1" s="1"/>
  <c r="L6" i="1" s="1"/>
  <c r="J10" i="2" l="1"/>
  <c r="K10" i="2" s="1"/>
  <c r="L10" i="2" s="1"/>
  <c r="I13" i="2"/>
  <c r="M6" i="1"/>
  <c r="E7" i="1" s="1"/>
  <c r="J13" i="2" l="1"/>
  <c r="K13" i="2" l="1"/>
  <c r="L13" i="2" l="1"/>
  <c r="M10" i="2"/>
  <c r="M13" i="2" l="1"/>
  <c r="E14" i="2" s="1"/>
  <c r="E11" i="2"/>
  <c r="E12" i="2" s="1"/>
</calcChain>
</file>

<file path=xl/sharedStrings.xml><?xml version="1.0" encoding="utf-8"?>
<sst xmlns="http://schemas.openxmlformats.org/spreadsheetml/2006/main" count="567" uniqueCount="193">
  <si>
    <t>Parameter</t>
  </si>
  <si>
    <t>At-age - Biological Data (estimated)</t>
  </si>
  <si>
    <t>units</t>
  </si>
  <si>
    <t>Vulnerability (selectivity)</t>
  </si>
  <si>
    <t>-</t>
  </si>
  <si>
    <t>Proportion mature</t>
  </si>
  <si>
    <t>M</t>
  </si>
  <si>
    <t>Unfished survivorship</t>
  </si>
  <si>
    <t>M_age</t>
  </si>
  <si>
    <t>Equilibrium survivorship-at-age:</t>
  </si>
  <si>
    <t>Unfished spawning biomass (or eggs) per recruit</t>
  </si>
  <si>
    <t>w_age</t>
  </si>
  <si>
    <t>m_age</t>
  </si>
  <si>
    <t>v_age</t>
  </si>
  <si>
    <t>Equilibrium spawning biomass per recruit:</t>
  </si>
  <si>
    <t>Comments</t>
  </si>
  <si>
    <t>unfished so use F=0</t>
  </si>
  <si>
    <t>Fished survivorship</t>
  </si>
  <si>
    <t>Fished spawning biomass (or eggs) per recruit</t>
  </si>
  <si>
    <t>F</t>
  </si>
  <si>
    <t>Fishing mortality rate</t>
  </si>
  <si>
    <r>
      <rPr>
        <sz val="11"/>
        <color theme="1"/>
        <rFont val="Calibri"/>
        <family val="2"/>
      </rPr>
      <t>φ</t>
    </r>
    <r>
      <rPr>
        <vertAlign val="subscript"/>
        <sz val="11"/>
        <color theme="1"/>
        <rFont val="Calibri"/>
        <family val="2"/>
        <scheme val="minor"/>
      </rPr>
      <t>0</t>
    </r>
  </si>
  <si>
    <r>
      <t>φ</t>
    </r>
    <r>
      <rPr>
        <vertAlign val="subscript"/>
        <sz val="11"/>
        <color theme="1"/>
        <rFont val="Calibri"/>
        <family val="2"/>
        <scheme val="minor"/>
      </rPr>
      <t>F</t>
    </r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</si>
  <si>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_age</t>
    </r>
  </si>
  <si>
    <r>
      <t>l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_age</t>
    </r>
  </si>
  <si>
    <t>SPR</t>
  </si>
  <si>
    <t>Weight-at-age</t>
  </si>
  <si>
    <t>Steepness</t>
  </si>
  <si>
    <t>h</t>
  </si>
  <si>
    <t>Beverton-Holt a</t>
  </si>
  <si>
    <t>Beverton-Holt b</t>
  </si>
  <si>
    <t>a</t>
  </si>
  <si>
    <t>b</t>
  </si>
  <si>
    <r>
      <t>Beverton-Holt SRR (parameterized in terms of h and 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):</t>
    </r>
  </si>
  <si>
    <t>Beverton-Holt SRR (parameterized in terms of a and b):</t>
  </si>
  <si>
    <t>See Miller and Brooks (2021) for more details</t>
  </si>
  <si>
    <t xml:space="preserve">https://onlinelibrary.wiley.com/doi/full/10.1111/faf.12534 </t>
  </si>
  <si>
    <t>User defined: estimated from biological sampling</t>
  </si>
  <si>
    <t>User defined: model assumption</t>
  </si>
  <si>
    <t xml:space="preserve">Start with F = </t>
  </si>
  <si>
    <t>User defined: Model output</t>
  </si>
  <si>
    <t>Spawning Potential Ratio:</t>
  </si>
  <si>
    <r>
      <t>v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vulnerability-at-age</t>
    </r>
  </si>
  <si>
    <t>Yield Per Recruit :</t>
  </si>
  <si>
    <r>
      <t xml:space="preserve">Ratio of (spawning biomass per recruit in the </t>
    </r>
    <r>
      <rPr>
        <u/>
        <sz val="11"/>
        <color theme="1"/>
        <rFont val="Calibri"/>
        <family val="2"/>
        <scheme val="minor"/>
      </rPr>
      <t xml:space="preserve">fished </t>
    </r>
    <r>
      <rPr>
        <sz val="11"/>
        <color theme="1"/>
        <rFont val="Calibri"/>
        <family val="2"/>
        <scheme val="minor"/>
      </rPr>
      <t xml:space="preserve">state) to (spawning biomass per recruit in the </t>
    </r>
    <r>
      <rPr>
        <u/>
        <sz val="11"/>
        <color theme="1"/>
        <rFont val="Calibri"/>
        <family val="2"/>
        <scheme val="minor"/>
      </rPr>
      <t>unfished</t>
    </r>
    <r>
      <rPr>
        <sz val="11"/>
        <color theme="1"/>
        <rFont val="Calibri"/>
        <family val="2"/>
        <scheme val="minor"/>
      </rPr>
      <t xml:space="preserve"> state)</t>
    </r>
  </si>
  <si>
    <t>Yield per recruit</t>
  </si>
  <si>
    <t>Spawning potential ratio</t>
  </si>
  <si>
    <t>YPR</t>
  </si>
  <si>
    <t>YPR_age</t>
  </si>
  <si>
    <t>Yield per recruit-at-age</t>
  </si>
  <si>
    <t>X =</t>
  </si>
  <si>
    <t>%</t>
  </si>
  <si>
    <t>F=</t>
  </si>
  <si>
    <r>
      <t>A B-H SRR parameterized using h and R0 and be reparmeterized in terms of a and b assuming an equilibrium unfished spawning biomass per recruit (φ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>)</t>
    </r>
  </si>
  <si>
    <t>Recruitment (10^9)</t>
  </si>
  <si>
    <t>SSB (kt)</t>
  </si>
  <si>
    <t>kt</t>
  </si>
  <si>
    <r>
      <t>SSB</t>
    </r>
    <r>
      <rPr>
        <vertAlign val="subscript"/>
        <sz val="11"/>
        <color theme="1"/>
        <rFont val="Calibri"/>
        <family val="2"/>
        <scheme val="minor"/>
      </rPr>
      <t>0</t>
    </r>
  </si>
  <si>
    <t>Equilibrium unfished recruitment</t>
  </si>
  <si>
    <t>Equilibrium fished recruitment</t>
  </si>
  <si>
    <t>Equilibrium unfished SSB</t>
  </si>
  <si>
    <r>
      <t>Eq_rec</t>
    </r>
    <r>
      <rPr>
        <vertAlign val="subscript"/>
        <sz val="11"/>
        <color theme="1"/>
        <rFont val="Calibri"/>
        <family val="2"/>
        <scheme val="minor"/>
      </rPr>
      <t>F</t>
    </r>
  </si>
  <si>
    <t>Equilibrium fished SSB</t>
  </si>
  <si>
    <r>
      <t>Eq_SSB</t>
    </r>
    <r>
      <rPr>
        <vertAlign val="subscript"/>
        <sz val="11"/>
        <color theme="1"/>
        <rFont val="Calibri"/>
        <family val="2"/>
        <scheme val="minor"/>
      </rPr>
      <t>F</t>
    </r>
  </si>
  <si>
    <t>Yield</t>
  </si>
  <si>
    <t>MSY</t>
  </si>
  <si>
    <r>
      <t>F</t>
    </r>
    <r>
      <rPr>
        <vertAlign val="subscript"/>
        <sz val="11"/>
        <color theme="1"/>
        <rFont val="Calibri"/>
        <family val="2"/>
        <scheme val="minor"/>
      </rPr>
      <t>MSY</t>
    </r>
  </si>
  <si>
    <r>
      <t>SSB</t>
    </r>
    <r>
      <rPr>
        <vertAlign val="subscript"/>
        <sz val="11"/>
        <color theme="1"/>
        <rFont val="Calibri"/>
        <family val="2"/>
        <scheme val="minor"/>
      </rPr>
      <t>MSY</t>
    </r>
  </si>
  <si>
    <t>Fishing mortality at MSY</t>
  </si>
  <si>
    <r>
      <t>Equilibrium SSB</t>
    </r>
    <r>
      <rPr>
        <vertAlign val="subscript"/>
        <sz val="11"/>
        <color theme="1"/>
        <rFont val="Calibri"/>
        <family val="2"/>
        <scheme val="minor"/>
      </rPr>
      <t>MSY</t>
    </r>
  </si>
  <si>
    <t>Tab</t>
  </si>
  <si>
    <t>phi0</t>
  </si>
  <si>
    <r>
      <t>Note: h depends on 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(the equilibrium unfished spawning biomass per recruit). The term "equilibrium" is key because 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depends on weight-at-age, maturity-at-age, and M</t>
    </r>
  </si>
  <si>
    <t>Inputs</t>
  </si>
  <si>
    <t>Outputs</t>
  </si>
  <si>
    <t>SRR and Yield</t>
  </si>
  <si>
    <t xml:space="preserve">weight-, maturity-, and natural mortality-at-age </t>
  </si>
  <si>
    <t xml:space="preserve">weight-, maturity-, vulnerability- and natural mortality-at-age </t>
  </si>
  <si>
    <t>Equilibrium spawning biomass at F=F</t>
  </si>
  <si>
    <t>steepness and equilibrium unfished recuitment OR Beverton-Holt a and b</t>
  </si>
  <si>
    <r>
      <t>Equilibrium MSY, F</t>
    </r>
    <r>
      <rPr>
        <vertAlign val="subscript"/>
        <sz val="11"/>
        <color theme="1"/>
        <rFont val="Calibri"/>
        <family val="2"/>
        <scheme val="minor"/>
      </rPr>
      <t>MSY</t>
    </r>
    <r>
      <rPr>
        <sz val="11"/>
        <color theme="1"/>
        <rFont val="Calibri"/>
        <family val="2"/>
        <scheme val="minor"/>
      </rPr>
      <t>, SSB</t>
    </r>
    <r>
      <rPr>
        <vertAlign val="subscript"/>
        <sz val="11"/>
        <color theme="1"/>
        <rFont val="Calibri"/>
        <family val="2"/>
        <scheme val="minor"/>
      </rPr>
      <t>MSY</t>
    </r>
  </si>
  <si>
    <t>Legend for shading:</t>
  </si>
  <si>
    <t>Estimated for F=0 (unfished)</t>
  </si>
  <si>
    <t>Estimated for F=F (fished)</t>
  </si>
  <si>
    <t>Note difference in formula when dragging cells across (first age class and plus group)</t>
  </si>
  <si>
    <t>User defined value (value, biological data, or model output)</t>
  </si>
  <si>
    <t>9+</t>
  </si>
  <si>
    <t>kg</t>
  </si>
  <si>
    <t>kg/recruit</t>
  </si>
  <si>
    <t>10^6 recruits</t>
  </si>
  <si>
    <t>recruit/kg</t>
  </si>
  <si>
    <t>/kg</t>
  </si>
  <si>
    <t>Eq_SSBF</t>
  </si>
  <si>
    <t>SSB0</t>
  </si>
  <si>
    <t>Equilibrium fished SSB (no stock recruitment relationship)</t>
  </si>
  <si>
    <t>F corresponding to max yield</t>
  </si>
  <si>
    <t>Equilibrium SSB from fishing at Fmsy</t>
  </si>
  <si>
    <t>Max yield from what-if analysis table</t>
  </si>
  <si>
    <t>Add stock recruitment relationship</t>
  </si>
  <si>
    <t>No stock recruitment relationship assumed</t>
  </si>
  <si>
    <t>This spreadsheet guides you through some reference point calculations using an example data set with ages 1 to 9+</t>
  </si>
  <si>
    <t>The example data set is for a haddock stock but the calculations are not species specific and the number of age classes can be modified</t>
  </si>
  <si>
    <t>Spawning Potential Ratio (SPR)</t>
  </si>
  <si>
    <t>Yield per Recruit (YPR)</t>
  </si>
  <si>
    <t>calculations over a range of F values</t>
  </si>
  <si>
    <r>
      <t>F</t>
    </r>
    <r>
      <rPr>
        <vertAlign val="subscript"/>
        <sz val="11"/>
        <color theme="1"/>
        <rFont val="Calibri"/>
        <family val="2"/>
        <scheme val="minor"/>
      </rPr>
      <t>X%</t>
    </r>
    <r>
      <rPr>
        <sz val="11"/>
        <color theme="1"/>
        <rFont val="Calibri"/>
        <family val="2"/>
        <scheme val="minor"/>
      </rPr>
      <t xml:space="preserve"> (i.e. F at X% SPR)</t>
    </r>
  </si>
  <si>
    <t>Equations</t>
  </si>
  <si>
    <t>unfished so use F=0 in formulas below</t>
  </si>
  <si>
    <t>Equilibrium eggs per recruit:</t>
  </si>
  <si>
    <r>
      <t>f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relative fecundity (eggs per units mass)</t>
    </r>
  </si>
  <si>
    <t>Note: If fecundity data are available, use equilibrium eggs per recruit. A common assumption is fecundity is proportional to spawning biomass.</t>
  </si>
  <si>
    <r>
      <t xml:space="preserve">1. Calculate </t>
    </r>
    <r>
      <rPr>
        <b/>
        <sz val="11"/>
        <color theme="1"/>
        <rFont val="Calibri"/>
        <family val="2"/>
        <scheme val="minor"/>
      </rPr>
      <t>unfished</t>
    </r>
    <r>
      <rPr>
        <sz val="11"/>
        <color theme="1"/>
        <rFont val="Calibri"/>
        <family val="2"/>
        <scheme val="minor"/>
      </rPr>
      <t xml:space="preserve"> spawning biomass per recruit (φ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</si>
  <si>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r>
      <t>Unfished spawning biomass per recruit (φ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</si>
  <si>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r>
      <t>Fished spawning biomass per recruit (φ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</si>
  <si>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r>
      <t>2. Calculate spawning biomass per recruit (φ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), spawning potential ratio (SPR), and yield per recruit (YPR) for a specified F (e.g. F = 0.1)</t>
    </r>
  </si>
  <si>
    <t>Step 1. Define Column Headers (F, SPR, YPR) in row 27.</t>
  </si>
  <si>
    <t>Step 3. Generate a column of F values (cells A30-A280)</t>
  </si>
  <si>
    <t>Step 2. In the first row enter SPR and YPR from the example above for F = 0.1 (i.e. cell B29=D12, cell C29 = E14)</t>
  </si>
  <si>
    <t>Step 4. Highlight cells A29-C280 and select Data: What-if-analysis: Data Table</t>
  </si>
  <si>
    <t>Step 5. In the Data Table window - enter cell $B$6 which is F</t>
  </si>
  <si>
    <t>Step 6. Click OK</t>
  </si>
  <si>
    <t>3. Calculate SPR and YPR over a range of F values. This is done using a What-If Analysis Data Table in Excel</t>
  </si>
  <si>
    <t>Step 7. Plot SPR and YPR relative to F</t>
  </si>
  <si>
    <t xml:space="preserve">      The Data Table now provides SPR and YPR for each F</t>
  </si>
  <si>
    <t>What-If Analysis  Data Table to calculate SPR and YPR for various F</t>
  </si>
  <si>
    <t>Step 1. Enter X in cell B19</t>
  </si>
  <si>
    <t>abs(SPR-X)</t>
  </si>
  <si>
    <t>Step 2. Find approximate F when SPR = X (i.e. find F where abs(SPR-x%) is at its minimum</t>
  </si>
  <si>
    <t>min[abs(SPR-X)]</t>
  </si>
  <si>
    <r>
      <t>4. Calculate F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% (i.e. F at X% SPR) </t>
    </r>
  </si>
  <si>
    <r>
      <t>Step 1. Equilibrium fished SSB (Eq_SSB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 is the project of the fished spawning biomass per recruit and the number of recruits</t>
    </r>
  </si>
  <si>
    <t>Step 3. Repeat column F beginning in cell F30 to lookup the F corresponding to min[abs(SPR-X)]</t>
  </si>
  <si>
    <t>Step 4. Solution is in cell B20</t>
  </si>
  <si>
    <t>Step 2: Calculate Eq_SSBF for all F in another What-If Analysis Data Table (cell G29)</t>
  </si>
  <si>
    <r>
      <t>6. Add a B-H SRR from steepness (h) and equilibrium unfished recruitment (R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). Or ignore R0 and h and enter a and b if a and b are provided</t>
    </r>
  </si>
  <si>
    <r>
      <t>7. Calculate equilbrium unfished SSB</t>
    </r>
    <r>
      <rPr>
        <vertAlign val="subscript"/>
        <sz val="11"/>
        <color theme="1"/>
        <rFont val="Calibri"/>
        <family val="2"/>
        <scheme val="minor"/>
      </rPr>
      <t>0</t>
    </r>
  </si>
  <si>
    <t>8. Calculate equilibrium fished recruitment, equilibrium fished SSB, and Yield for a specified F (e.g. F = 0.1)</t>
  </si>
  <si>
    <t>Note: Change F in cell B6 to see how the equilibrium fished recruiment and equilibrium fished SSB shift on the SRR</t>
  </si>
  <si>
    <t>Note: Stock recruitment relationship (SRR) plotted in cell T1</t>
  </si>
  <si>
    <t>What-If Analysis  Data Table to calculate metrics for various F</t>
  </si>
  <si>
    <t>What-If Analysis Data Table below</t>
  </si>
  <si>
    <t>Step 1: Find max Yield in Data Table (this is MSY)</t>
  </si>
  <si>
    <t>Step 2: F that corresponds to MSY (vlookup)</t>
  </si>
  <si>
    <r>
      <t>Step 3: Eq_SSB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that corresponds to MSY (vlookup)</t>
    </r>
  </si>
  <si>
    <t>This junk is used for the figure</t>
  </si>
  <si>
    <t>phiF SPR YPR</t>
  </si>
  <si>
    <t>SPR YPR all F</t>
  </si>
  <si>
    <t>X corresponding to X% SPR</t>
  </si>
  <si>
    <t>Fx%SPR</t>
  </si>
  <si>
    <t>SSB at Fx%SPR</t>
  </si>
  <si>
    <r>
      <t>Equilibrium SSB at F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% (i.e. F at X% SPR)</t>
    </r>
  </si>
  <si>
    <t>Yield at F=F</t>
  </si>
  <si>
    <r>
      <t>Equilibrium unfished spawning biomass (SSB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</si>
  <si>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t>Equilibrium recruitment at F=F</t>
  </si>
  <si>
    <t>Note: In the absence of a stock recruitment relationship, recruitment is predicted to be the unfished recruitment regardless of the SSB</t>
  </si>
  <si>
    <t>Equilibrium unfished recruitment (no stock recruitment relationship)</t>
  </si>
  <si>
    <t>User defined: Model output assuming no stock recruitment relationship</t>
  </si>
  <si>
    <t>Rmax</t>
  </si>
  <si>
    <t>Maximum recruitment from SRR</t>
  </si>
  <si>
    <r>
      <t>R</t>
    </r>
    <r>
      <rPr>
        <vertAlign val="subscript"/>
        <sz val="11"/>
        <color rgb="FF000000"/>
        <rFont val="Calibri"/>
        <family val="2"/>
        <scheme val="minor"/>
      </rPr>
      <t>0</t>
    </r>
  </si>
  <si>
    <r>
      <t>SSB</t>
    </r>
    <r>
      <rPr>
        <vertAlign val="subscript"/>
        <sz val="11"/>
        <color theme="1"/>
        <rFont val="Calibri"/>
        <family val="2"/>
        <scheme val="minor"/>
      </rPr>
      <t>Rmax</t>
    </r>
  </si>
  <si>
    <t>Asymptotic recruitment from B-H SRR (a/b)</t>
  </si>
  <si>
    <t>Equilibrium SSB at 50%Rmax</t>
  </si>
  <si>
    <t>10. Add What-If Analysis Data Table to calculate Yield for various F and estimate equilibrium MSY reference points</t>
  </si>
  <si>
    <t>9. Calculate equilibrium SSB at 50% Rmax</t>
  </si>
  <si>
    <r>
      <t xml:space="preserve">Note: Rmax is the asymptotic recruitment (limit as B </t>
    </r>
    <r>
      <rPr>
        <sz val="10"/>
        <color theme="1"/>
        <rFont val="Calibri"/>
        <family val="2"/>
      </rPr>
      <t>approcahses infinte = a/b)</t>
    </r>
  </si>
  <si>
    <t>Asymptotic recruitment from B-H SRR</t>
  </si>
  <si>
    <t>Equilibrium unfished SSB (no stock recruitment relationship)</t>
  </si>
  <si>
    <r>
      <t>5. Calculate equilibrium SSB at F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% (i.e. F at X% SPR) and equilibrium unfished SSB</t>
    </r>
  </si>
  <si>
    <r>
      <t>Ratio SSB</t>
    </r>
    <r>
      <rPr>
        <vertAlign val="subscript"/>
        <sz val="11"/>
        <color theme="1"/>
        <rFont val="Calibri"/>
        <family val="2"/>
        <scheme val="minor"/>
      </rPr>
      <t>MSY</t>
    </r>
    <r>
      <rPr>
        <sz val="11"/>
        <color theme="1"/>
        <rFont val="Calibri"/>
        <family val="2"/>
        <scheme val="minor"/>
      </rPr>
      <t>/SSB</t>
    </r>
    <r>
      <rPr>
        <vertAlign val="subscript"/>
        <sz val="11"/>
        <color theme="1"/>
        <rFont val="Calibri"/>
        <family val="2"/>
        <scheme val="minor"/>
      </rPr>
      <t>0</t>
    </r>
  </si>
  <si>
    <r>
      <t>SSB</t>
    </r>
    <r>
      <rPr>
        <vertAlign val="subscript"/>
        <sz val="11"/>
        <color theme="1"/>
        <rFont val="Calibri"/>
        <family val="2"/>
        <scheme val="minor"/>
      </rPr>
      <t>MSY</t>
    </r>
    <r>
      <rPr>
        <sz val="11"/>
        <color theme="1"/>
        <rFont val="Calibri"/>
        <family val="2"/>
        <scheme val="minor"/>
      </rPr>
      <t>/SSB</t>
    </r>
    <r>
      <rPr>
        <vertAlign val="subscript"/>
        <sz val="11"/>
        <color theme="1"/>
        <rFont val="Calibri"/>
        <family val="2"/>
        <scheme val="minor"/>
      </rPr>
      <t>0</t>
    </r>
  </si>
  <si>
    <t>This is for F in cell B6</t>
  </si>
  <si>
    <r>
      <t>SSB</t>
    </r>
    <r>
      <rPr>
        <vertAlign val="subscript"/>
        <sz val="11"/>
        <color theme="1"/>
        <rFont val="Calibri"/>
        <family val="2"/>
        <scheme val="minor"/>
      </rPr>
      <t>50%Rmax</t>
    </r>
  </si>
  <si>
    <t>Fmax</t>
  </si>
  <si>
    <t>F0.1</t>
  </si>
  <si>
    <t>0.1 slope</t>
  </si>
  <si>
    <t>approx slope</t>
  </si>
  <si>
    <t>FMSY</t>
  </si>
  <si>
    <t>Some F options</t>
  </si>
  <si>
    <t>Eq_SSB</t>
  </si>
  <si>
    <t>F0</t>
  </si>
  <si>
    <t>Metrics</t>
  </si>
  <si>
    <r>
      <t>%SSB</t>
    </r>
    <r>
      <rPr>
        <vertAlign val="subscript"/>
        <sz val="11"/>
        <color theme="1"/>
        <rFont val="Calibri"/>
        <family val="2"/>
        <scheme val="minor"/>
      </rPr>
      <t>MSY</t>
    </r>
  </si>
  <si>
    <t>SSB Value</t>
  </si>
  <si>
    <r>
      <t>%SSB</t>
    </r>
    <r>
      <rPr>
        <vertAlign val="subscript"/>
        <sz val="11"/>
        <color theme="1"/>
        <rFont val="Calibri"/>
        <family val="2"/>
        <scheme val="minor"/>
      </rPr>
      <t>0</t>
    </r>
  </si>
  <si>
    <t>% SPR</t>
  </si>
  <si>
    <t>SPR option1</t>
  </si>
  <si>
    <t>Note: Calculated based on the stock recruitment relationship (not same as tab "SSB at Fx%SPR")</t>
  </si>
  <si>
    <t>LRP Options</t>
  </si>
  <si>
    <t>Label</t>
  </si>
  <si>
    <t>SSB at 50% Rmax</t>
  </si>
  <si>
    <t>50%Rmax</t>
  </si>
  <si>
    <t>Some example plots can be found on the last 2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</si>
</sst>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/>
    <xf numFmtId="0" fontId="0" fillId="0" borderId="0" xfId="0" quotePrefix="1" applyFont="1"/>
    <xf numFmtId="0" fontId="1" fillId="0" borderId="0" xfId="0" quotePrefix="1" applyFont="1"/>
    <xf numFmtId="0" fontId="1" fillId="0" borderId="0" xfId="0" applyFont="1" applyFill="1" applyAlignment="1">
      <alignment vertical="center"/>
    </xf>
    <xf numFmtId="0" fontId="0" fillId="0" borderId="0" xfId="0" quotePrefix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5" borderId="0" xfId="0" applyFont="1" applyFill="1"/>
    <xf numFmtId="0" fontId="0" fillId="5" borderId="0" xfId="0" applyFill="1" applyAlignment="1"/>
    <xf numFmtId="0" fontId="0" fillId="3" borderId="0" xfId="0" applyFont="1" applyFill="1"/>
    <xf numFmtId="0" fontId="0" fillId="3" borderId="0" xfId="0" applyFill="1"/>
    <xf numFmtId="0" fontId="0" fillId="5" borderId="0" xfId="0" applyFill="1"/>
    <xf numFmtId="0" fontId="4" fillId="0" borderId="0" xfId="1"/>
    <xf numFmtId="0" fontId="0" fillId="2" borderId="0" xfId="0" applyFill="1"/>
    <xf numFmtId="0" fontId="1" fillId="5" borderId="0" xfId="0" applyFont="1" applyFill="1"/>
    <xf numFmtId="0" fontId="1" fillId="7" borderId="0" xfId="0" applyFont="1" applyFill="1" applyAlignment="1">
      <alignment vertical="center"/>
    </xf>
    <xf numFmtId="0" fontId="0" fillId="7" borderId="0" xfId="0" applyFill="1"/>
    <xf numFmtId="0" fontId="0" fillId="8" borderId="0" xfId="0" applyFont="1" applyFill="1"/>
    <xf numFmtId="0" fontId="0" fillId="8" borderId="0" xfId="0" applyFill="1"/>
    <xf numFmtId="0" fontId="0" fillId="8" borderId="0" xfId="0" applyFill="1" applyAlignment="1">
      <alignment vertical="center"/>
    </xf>
    <xf numFmtId="0" fontId="0" fillId="0" borderId="0" xfId="0" applyFill="1"/>
    <xf numFmtId="0" fontId="0" fillId="6" borderId="4" xfId="0" applyFill="1" applyBorder="1"/>
    <xf numFmtId="0" fontId="0" fillId="6" borderId="0" xfId="0" applyFill="1" applyBorder="1"/>
    <xf numFmtId="0" fontId="0" fillId="6" borderId="5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right"/>
    </xf>
    <xf numFmtId="0" fontId="0" fillId="0" borderId="0" xfId="0" applyFill="1" applyAlignment="1">
      <alignment horizontal="right" vertical="top" wrapText="1"/>
    </xf>
    <xf numFmtId="0" fontId="7" fillId="0" borderId="0" xfId="0" applyFont="1"/>
    <xf numFmtId="0" fontId="0" fillId="0" borderId="0" xfId="0" applyFont="1" applyFill="1"/>
    <xf numFmtId="2" fontId="0" fillId="0" borderId="0" xfId="0" applyNumberFormat="1"/>
    <xf numFmtId="0" fontId="5" fillId="0" borderId="0" xfId="0" applyFont="1"/>
    <xf numFmtId="0" fontId="1" fillId="3" borderId="0" xfId="0" applyFont="1" applyFill="1"/>
    <xf numFmtId="0" fontId="1" fillId="0" borderId="0" xfId="0" applyFont="1" applyFill="1"/>
    <xf numFmtId="0" fontId="0" fillId="6" borderId="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8" xfId="0" applyFill="1" applyBorder="1"/>
    <xf numFmtId="0" fontId="0" fillId="0" borderId="21" xfId="0" applyBorder="1"/>
    <xf numFmtId="0" fontId="0" fillId="4" borderId="0" xfId="0" applyFill="1"/>
    <xf numFmtId="0" fontId="0" fillId="6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6" borderId="0" xfId="0" applyFont="1" applyFill="1"/>
    <xf numFmtId="0" fontId="0" fillId="9" borderId="17" xfId="0" applyFill="1" applyBorder="1"/>
    <xf numFmtId="0" fontId="0" fillId="9" borderId="15" xfId="0" applyFill="1" applyBorder="1"/>
    <xf numFmtId="0" fontId="0" fillId="9" borderId="19" xfId="0" applyFill="1" applyBorder="1"/>
    <xf numFmtId="0" fontId="0" fillId="6" borderId="0" xfId="0" applyFill="1" applyAlignment="1">
      <alignment horizontal="left"/>
    </xf>
    <xf numFmtId="0" fontId="0" fillId="4" borderId="0" xfId="0" quotePrefix="1" applyFill="1" applyAlignment="1">
      <alignment horizontal="center"/>
    </xf>
    <xf numFmtId="0" fontId="0" fillId="0" borderId="0" xfId="0" applyFill="1" applyAlignment="1">
      <alignment horizontal="center" vertical="top" wrapText="1"/>
    </xf>
    <xf numFmtId="0" fontId="0" fillId="4" borderId="0" xfId="0" applyFill="1" applyAlignment="1">
      <alignment horizontal="center"/>
    </xf>
    <xf numFmtId="0" fontId="0" fillId="0" borderId="0" xfId="0" applyFill="1" applyBorder="1"/>
    <xf numFmtId="0" fontId="0" fillId="6" borderId="0" xfId="0" applyFill="1" applyAlignment="1">
      <alignment vertical="center"/>
    </xf>
    <xf numFmtId="0" fontId="0" fillId="0" borderId="2" xfId="0" applyBorder="1"/>
    <xf numFmtId="0" fontId="0" fillId="6" borderId="22" xfId="0" applyFill="1" applyBorder="1"/>
    <xf numFmtId="0" fontId="0" fillId="0" borderId="3" xfId="0" applyBorder="1"/>
    <xf numFmtId="0" fontId="0" fillId="0" borderId="22" xfId="0" applyBorder="1"/>
    <xf numFmtId="0" fontId="0" fillId="2" borderId="22" xfId="0" applyFill="1" applyBorder="1"/>
    <xf numFmtId="0" fontId="0" fillId="0" borderId="2" xfId="0" applyFill="1" applyBorder="1"/>
    <xf numFmtId="0" fontId="0" fillId="0" borderId="3" xfId="0" applyFill="1" applyBorder="1"/>
    <xf numFmtId="0" fontId="9" fillId="0" borderId="7" xfId="0" applyFont="1" applyBorder="1"/>
    <xf numFmtId="0" fontId="9" fillId="0" borderId="0" xfId="0" applyFont="1" applyBorder="1"/>
    <xf numFmtId="0" fontId="0" fillId="0" borderId="0" xfId="0" applyFont="1" applyBorder="1"/>
    <xf numFmtId="0" fontId="0" fillId="0" borderId="7" xfId="0" applyFont="1" applyBorder="1"/>
    <xf numFmtId="0" fontId="0" fillId="0" borderId="23" xfId="0" applyBorder="1"/>
    <xf numFmtId="0" fontId="0" fillId="0" borderId="24" xfId="0" applyBorder="1"/>
    <xf numFmtId="0" fontId="9" fillId="0" borderId="20" xfId="0" applyFont="1" applyBorder="1"/>
    <xf numFmtId="0" fontId="0" fillId="6" borderId="0" xfId="0" applyFill="1" applyAlignment="1">
      <alignment horizontal="left"/>
    </xf>
    <xf numFmtId="0" fontId="1" fillId="6" borderId="0" xfId="0" applyFont="1" applyFill="1"/>
    <xf numFmtId="0" fontId="0" fillId="10" borderId="0" xfId="0" applyFill="1"/>
    <xf numFmtId="0" fontId="0" fillId="0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9" borderId="1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0" fillId="8" borderId="6" xfId="0" applyFont="1" applyFill="1" applyBorder="1" applyAlignment="1">
      <alignment horizontal="left"/>
    </xf>
    <xf numFmtId="0" fontId="0" fillId="8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'SPR YPR all F'!$A$30:$A$280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'SPR YPR all F'!$B$30:$B$280</c:f>
              <c:numCache>
                <c:formatCode>General</c:formatCode>
                <c:ptCount val="251"/>
                <c:pt idx="0">
                  <c:v>0.99952159084272474</c:v>
                </c:pt>
                <c:pt idx="1">
                  <c:v>0.95448419702497456</c:v>
                </c:pt>
                <c:pt idx="2">
                  <c:v>0.91323765685305125</c:v>
                </c:pt>
                <c:pt idx="3">
                  <c:v>0.87569913806345145</c:v>
                </c:pt>
                <c:pt idx="4">
                  <c:v>0.84140098817357856</c:v>
                </c:pt>
                <c:pt idx="5">
                  <c:v>0.80995044719986264</c:v>
                </c:pt>
                <c:pt idx="6">
                  <c:v>0.78101525965315455</c:v>
                </c:pt>
                <c:pt idx="7">
                  <c:v>0.75431247955756053</c:v>
                </c:pt>
                <c:pt idx="8">
                  <c:v>0.72959967133015535</c:v>
                </c:pt>
                <c:pt idx="9">
                  <c:v>0.7066679289726443</c:v>
                </c:pt>
                <c:pt idx="10">
                  <c:v>0.68533628984063166</c:v>
                </c:pt>
                <c:pt idx="11">
                  <c:v>0.66544722847070559</c:v>
                </c:pt>
                <c:pt idx="12">
                  <c:v>0.64686299448063744</c:v>
                </c:pt>
                <c:pt idx="13">
                  <c:v>0.62946261569958595</c:v>
                </c:pt>
                <c:pt idx="14">
                  <c:v>0.6131394297182754</c:v>
                </c:pt>
                <c:pt idx="15">
                  <c:v>0.59779903828564174</c:v>
                </c:pt>
                <c:pt idx="16">
                  <c:v>0.58335760241424339</c:v>
                </c:pt>
                <c:pt idx="17">
                  <c:v>0.56974041379787388</c:v>
                </c:pt>
                <c:pt idx="18">
                  <c:v>0.55688069168838961</c:v>
                </c:pt>
                <c:pt idx="19">
                  <c:v>0.54471856479999958</c:v>
                </c:pt>
                <c:pt idx="20">
                  <c:v>0.53320020588797934</c:v>
                </c:pt>
                <c:pt idx="21">
                  <c:v>0.52227709295577129</c:v>
                </c:pt>
                <c:pt idx="22">
                  <c:v>0.51190537600119057</c:v>
                </c:pt>
                <c:pt idx="23">
                  <c:v>0.50204533213265934</c:v>
                </c:pt>
                <c:pt idx="24">
                  <c:v>0.4926608950054514</c:v>
                </c:pt>
                <c:pt idx="25">
                  <c:v>0.48371924702369723</c:v>
                </c:pt>
                <c:pt idx="26">
                  <c:v>0.47519046476178278</c:v>
                </c:pt>
                <c:pt idx="27">
                  <c:v>0.46704720968245955</c:v>
                </c:pt>
                <c:pt idx="28">
                  <c:v>0.45926445754849993</c:v>
                </c:pt>
                <c:pt idx="29">
                  <c:v>0.45181926100204461</c:v>
                </c:pt>
                <c:pt idx="30">
                  <c:v>0.44469054066934505</c:v>
                </c:pt>
                <c:pt idx="31">
                  <c:v>0.43785890087636159</c:v>
                </c:pt>
                <c:pt idx="32">
                  <c:v>0.43130646666254246</c:v>
                </c:pt>
                <c:pt idx="33">
                  <c:v>0.42501673927986727</c:v>
                </c:pt>
                <c:pt idx="34">
                  <c:v>0.41897446778074526</c:v>
                </c:pt>
                <c:pt idx="35">
                  <c:v>0.41316553464675532</c:v>
                </c:pt>
                <c:pt idx="36">
                  <c:v>0.40757685370266106</c:v>
                </c:pt>
                <c:pt idx="37">
                  <c:v>0.40219627880642972</c:v>
                </c:pt>
                <c:pt idx="38">
                  <c:v>0.39701252201407877</c:v>
                </c:pt>
                <c:pt idx="39">
                  <c:v>0.3920150800945556</c:v>
                </c:pt>
                <c:pt idx="40">
                  <c:v>0.38719416841978377</c:v>
                </c:pt>
                <c:pt idx="41">
                  <c:v>0.3825406613828321</c:v>
                </c:pt>
                <c:pt idx="42">
                  <c:v>0.37804603860644587</c:v>
                </c:pt>
                <c:pt idx="43">
                  <c:v>0.37370233629784722</c:v>
                </c:pt>
                <c:pt idx="44">
                  <c:v>0.36950210318622317</c:v>
                </c:pt>
                <c:pt idx="45">
                  <c:v>0.36543836054868317</c:v>
                </c:pt>
                <c:pt idx="46">
                  <c:v>0.36150456589037933</c:v>
                </c:pt>
                <c:pt idx="47">
                  <c:v>0.35769457989634645</c:v>
                </c:pt>
                <c:pt idx="48">
                  <c:v>0.35400263631762141</c:v>
                </c:pt>
                <c:pt idx="49">
                  <c:v>0.35042331449334041</c:v>
                </c:pt>
                <c:pt idx="50">
                  <c:v>0.34695151424461262</c:v>
                </c:pt>
                <c:pt idx="51">
                  <c:v>0.34358243290575535</c:v>
                </c:pt>
                <c:pt idx="52">
                  <c:v>0.34031154428453309</c:v>
                </c:pt>
                <c:pt idx="53">
                  <c:v>0.33713457936589597</c:v>
                </c:pt>
                <c:pt idx="54">
                  <c:v>0.3340475085937758</c:v>
                </c:pt>
                <c:pt idx="55">
                  <c:v>0.33104652558316783</c:v>
                </c:pt>
                <c:pt idx="56">
                  <c:v>0.32812803213029046</c:v>
                </c:pt>
                <c:pt idx="57">
                  <c:v>0.32528862440236567</c:v>
                </c:pt>
                <c:pt idx="58">
                  <c:v>0.32252508020073262</c:v>
                </c:pt>
                <c:pt idx="59">
                  <c:v>0.31983434720177595</c:v>
                </c:pt>
                <c:pt idx="60">
                  <c:v>0.31721353208972275</c:v>
                </c:pt>
                <c:pt idx="61">
                  <c:v>0.31465989050385901</c:v>
                </c:pt>
                <c:pt idx="62">
                  <c:v>0.31217081773028965</c:v>
                </c:pt>
                <c:pt idx="63">
                  <c:v>0.30974384007510952</c:v>
                </c:pt>
                <c:pt idx="64">
                  <c:v>0.30737660686187879</c:v>
                </c:pt>
                <c:pt idx="65">
                  <c:v>0.30506688300168544</c:v>
                </c:pt>
                <c:pt idx="66">
                  <c:v>0.3028125420888938</c:v>
                </c:pt>
                <c:pt idx="67">
                  <c:v>0.30061155998000555</c:v>
                </c:pt>
                <c:pt idx="68">
                  <c:v>0.29846200881694074</c:v>
                </c:pt>
                <c:pt idx="69">
                  <c:v>0.29636205145952904</c:v>
                </c:pt>
                <c:pt idx="70">
                  <c:v>0.29430993629514718</c:v>
                </c:pt>
                <c:pt idx="71">
                  <c:v>0.29230399239626115</c:v>
                </c:pt>
                <c:pt idx="72">
                  <c:v>0.29034262499918539</c:v>
                </c:pt>
                <c:pt idx="73">
                  <c:v>0.28842431127967433</c:v>
                </c:pt>
                <c:pt idx="74">
                  <c:v>0.28654759640304611</c:v>
                </c:pt>
                <c:pt idx="75">
                  <c:v>0.28471108982842003</c:v>
                </c:pt>
                <c:pt idx="76">
                  <c:v>0.28291346184836469</c:v>
                </c:pt>
                <c:pt idx="77">
                  <c:v>0.28115344034679329</c:v>
                </c:pt>
                <c:pt idx="78">
                  <c:v>0.27942980775936105</c:v>
                </c:pt>
                <c:pt idx="79">
                  <c:v>0.27774139822188915</c:v>
                </c:pt>
                <c:pt idx="80">
                  <c:v>0.27608709489350897</c:v>
                </c:pt>
                <c:pt idx="81">
                  <c:v>0.27446582744227782</c:v>
                </c:pt>
                <c:pt idx="82">
                  <c:v>0.2728765696819842</c:v>
                </c:pt>
                <c:pt idx="83">
                  <c:v>0.27131833734974026</c:v>
                </c:pt>
                <c:pt idx="84">
                  <c:v>0.26979018601476712</c:v>
                </c:pt>
                <c:pt idx="85">
                  <c:v>0.26829120910951293</c:v>
                </c:pt>
                <c:pt idx="86">
                  <c:v>0.26682053607491374</c:v>
                </c:pt>
                <c:pt idx="87">
                  <c:v>0.26537733061222968</c:v>
                </c:pt>
                <c:pt idx="88">
                  <c:v>0.26396078903444975</c:v>
                </c:pt>
                <c:pt idx="89">
                  <c:v>0.2625701387107745</c:v>
                </c:pt>
                <c:pt idx="90">
                  <c:v>0.26120463659816789</c:v>
                </c:pt>
                <c:pt idx="91">
                  <c:v>0.25986356785439996</c:v>
                </c:pt>
                <c:pt idx="92">
                  <c:v>0.25854624452740771</c:v>
                </c:pt>
                <c:pt idx="93">
                  <c:v>0.25725200431616851</c:v>
                </c:pt>
                <c:pt idx="94">
                  <c:v>0.25598020939862121</c:v>
                </c:pt>
                <c:pt idx="95">
                  <c:v>0.25473024532248623</c:v>
                </c:pt>
                <c:pt idx="96">
                  <c:v>0.25350151995511894</c:v>
                </c:pt>
                <c:pt idx="97">
                  <c:v>0.2522934624888033</c:v>
                </c:pt>
                <c:pt idx="98">
                  <c:v>0.25110552249813722</c:v>
                </c:pt>
                <c:pt idx="99">
                  <c:v>0.24993716904638399</c:v>
                </c:pt>
                <c:pt idx="100">
                  <c:v>0.24878788983788414</c:v>
                </c:pt>
                <c:pt idx="101">
                  <c:v>0.24765719041380529</c:v>
                </c:pt>
                <c:pt idx="102">
                  <c:v>0.24654459338869789</c:v>
                </c:pt>
                <c:pt idx="103">
                  <c:v>0.24544963772548459</c:v>
                </c:pt>
                <c:pt idx="104">
                  <c:v>0.24437187804666854</c:v>
                </c:pt>
                <c:pt idx="105">
                  <c:v>0.243310883979691</c:v>
                </c:pt>
                <c:pt idx="106">
                  <c:v>0.24226623953449766</c:v>
                </c:pt>
                <c:pt idx="107">
                  <c:v>0.24123754251150048</c:v>
                </c:pt>
                <c:pt idx="108">
                  <c:v>0.24022440393823571</c:v>
                </c:pt>
                <c:pt idx="109">
                  <c:v>0.23922644753312411</c:v>
                </c:pt>
                <c:pt idx="110">
                  <c:v>0.2382433091948403</c:v>
                </c:pt>
                <c:pt idx="111">
                  <c:v>0.23727463651589242</c:v>
                </c:pt>
                <c:pt idx="112">
                  <c:v>0.23632008831909385</c:v>
                </c:pt>
                <c:pt idx="113">
                  <c:v>0.23537933421569526</c:v>
                </c:pt>
                <c:pt idx="114">
                  <c:v>0.23445205418401688</c:v>
                </c:pt>
                <c:pt idx="115">
                  <c:v>0.23353793816749024</c:v>
                </c:pt>
                <c:pt idx="116">
                  <c:v>0.23263668569108592</c:v>
                </c:pt>
                <c:pt idx="117">
                  <c:v>0.23174800549516245</c:v>
                </c:pt>
                <c:pt idx="118">
                  <c:v>0.23087161518582994</c:v>
                </c:pt>
                <c:pt idx="119">
                  <c:v>0.23000724090097513</c:v>
                </c:pt>
                <c:pt idx="120">
                  <c:v>0.22915461699114162</c:v>
                </c:pt>
                <c:pt idx="121">
                  <c:v>0.22831348571450999</c:v>
                </c:pt>
                <c:pt idx="122">
                  <c:v>0.22748359694526149</c:v>
                </c:pt>
                <c:pt idx="123">
                  <c:v>0.2266647078946521</c:v>
                </c:pt>
                <c:pt idx="124">
                  <c:v>0.22585658284416293</c:v>
                </c:pt>
                <c:pt idx="125">
                  <c:v>0.22505899289012465</c:v>
                </c:pt>
                <c:pt idx="126">
                  <c:v>0.22427171569925192</c:v>
                </c:pt>
                <c:pt idx="127">
                  <c:v>0.22349453527455171</c:v>
                </c:pt>
                <c:pt idx="128">
                  <c:v>0.2227272417311007</c:v>
                </c:pt>
                <c:pt idx="129">
                  <c:v>0.22196963108121426</c:v>
                </c:pt>
                <c:pt idx="130">
                  <c:v>0.22122150502855434</c:v>
                </c:pt>
                <c:pt idx="131">
                  <c:v>0.22048267077075084</c:v>
                </c:pt>
                <c:pt idx="132">
                  <c:v>0.21975294081013066</c:v>
                </c:pt>
                <c:pt idx="133">
                  <c:v>0.2190321327721724</c:v>
                </c:pt>
                <c:pt idx="134">
                  <c:v>0.21832006923132488</c:v>
                </c:pt>
                <c:pt idx="135">
                  <c:v>0.21761657754384495</c:v>
                </c:pt>
                <c:pt idx="136">
                  <c:v>0.21692148968733141</c:v>
                </c:pt>
                <c:pt idx="137">
                  <c:v>0.2162346421066447</c:v>
                </c:pt>
                <c:pt idx="138">
                  <c:v>0.21555587556592173</c:v>
                </c:pt>
                <c:pt idx="139">
                  <c:v>0.21488503500640771</c:v>
                </c:pt>
                <c:pt idx="140">
                  <c:v>0.21422196940984226</c:v>
                </c:pt>
                <c:pt idx="141">
                  <c:v>0.21356653166715087</c:v>
                </c:pt>
                <c:pt idx="142">
                  <c:v>0.21291857845220305</c:v>
                </c:pt>
                <c:pt idx="143">
                  <c:v>0.21227797010041399</c:v>
                </c:pt>
                <c:pt idx="144">
                  <c:v>0.21164457049197488</c:v>
                </c:pt>
                <c:pt idx="145">
                  <c:v>0.21101824693950885</c:v>
                </c:pt>
                <c:pt idx="146">
                  <c:v>0.21039887007995942</c:v>
                </c:pt>
                <c:pt idx="147">
                  <c:v>0.20978631377052842</c:v>
                </c:pt>
                <c:pt idx="148">
                  <c:v>0.20918045498848767</c:v>
                </c:pt>
                <c:pt idx="149">
                  <c:v>0.20858117373469906</c:v>
                </c:pt>
                <c:pt idx="150">
                  <c:v>0.20798835294068493</c:v>
                </c:pt>
                <c:pt idx="151">
                  <c:v>0.20740187837909746</c:v>
                </c:pt>
                <c:pt idx="152">
                  <c:v>0.20682163857744484</c:v>
                </c:pt>
                <c:pt idx="153">
                  <c:v>0.20624752473493652</c:v>
                </c:pt>
                <c:pt idx="154">
                  <c:v>0.20567943064231864</c:v>
                </c:pt>
                <c:pt idx="155">
                  <c:v>0.20511725260457475</c:v>
                </c:pt>
                <c:pt idx="156">
                  <c:v>0.20456088936637412</c:v>
                </c:pt>
                <c:pt idx="157">
                  <c:v>0.20401024204015508</c:v>
                </c:pt>
                <c:pt idx="158">
                  <c:v>0.20346521403673554</c:v>
                </c:pt>
                <c:pt idx="159">
                  <c:v>0.20292571099834836</c:v>
                </c:pt>
                <c:pt idx="160">
                  <c:v>0.20239164073400459</c:v>
                </c:pt>
                <c:pt idx="161">
                  <c:v>0.20186291315708896</c:v>
                </c:pt>
                <c:pt idx="162">
                  <c:v>0.20133944022510139</c:v>
                </c:pt>
                <c:pt idx="163">
                  <c:v>0.20082113588145756</c:v>
                </c:pt>
                <c:pt idx="164">
                  <c:v>0.20030791599926717</c:v>
                </c:pt>
                <c:pt idx="165">
                  <c:v>0.19979969832701328</c:v>
                </c:pt>
                <c:pt idx="166">
                  <c:v>0.1992964024360577</c:v>
                </c:pt>
                <c:pt idx="167">
                  <c:v>0.1987979496699018</c:v>
                </c:pt>
                <c:pt idx="168">
                  <c:v>0.19830426309513469</c:v>
                </c:pt>
                <c:pt idx="169">
                  <c:v>0.19781526745400385</c:v>
                </c:pt>
                <c:pt idx="170">
                  <c:v>0.1973308891185466</c:v>
                </c:pt>
                <c:pt idx="171">
                  <c:v>0.19685105604622252</c:v>
                </c:pt>
                <c:pt idx="172">
                  <c:v>0.19637569773699026</c:v>
                </c:pt>
                <c:pt idx="173">
                  <c:v>0.19590474519177409</c:v>
                </c:pt>
                <c:pt idx="174">
                  <c:v>0.19543813087226836</c:v>
                </c:pt>
                <c:pt idx="175">
                  <c:v>0.19497578866203025</c:v>
                </c:pt>
                <c:pt idx="176">
                  <c:v>0.19451765382881223</c:v>
                </c:pt>
                <c:pt idx="177">
                  <c:v>0.19406366298808897</c:v>
                </c:pt>
                <c:pt idx="178">
                  <c:v>0.19361375406773551</c:v>
                </c:pt>
                <c:pt idx="179">
                  <c:v>0.19316786627381274</c:v>
                </c:pt>
                <c:pt idx="180">
                  <c:v>0.1927259400574225</c:v>
                </c:pt>
                <c:pt idx="181">
                  <c:v>0.19228791708259099</c:v>
                </c:pt>
                <c:pt idx="182">
                  <c:v>0.19185374019514573</c:v>
                </c:pt>
                <c:pt idx="183">
                  <c:v>0.19142335339254885</c:v>
                </c:pt>
                <c:pt idx="184">
                  <c:v>0.19099670179465358</c:v>
                </c:pt>
                <c:pt idx="185">
                  <c:v>0.19057373161535066</c:v>
                </c:pt>
                <c:pt idx="186">
                  <c:v>0.19015439013507379</c:v>
                </c:pt>
                <c:pt idx="187">
                  <c:v>0.18973862567413327</c:v>
                </c:pt>
                <c:pt idx="188">
                  <c:v>0.18932638756684964</c:v>
                </c:pt>
                <c:pt idx="189">
                  <c:v>0.18891762613645882</c:v>
                </c:pt>
                <c:pt idx="190">
                  <c:v>0.18851229267076222</c:v>
                </c:pt>
                <c:pt idx="191">
                  <c:v>0.18811033939849681</c:v>
                </c:pt>
                <c:pt idx="192">
                  <c:v>0.18771171946639917</c:v>
                </c:pt>
                <c:pt idx="193">
                  <c:v>0.18731638691694127</c:v>
                </c:pt>
                <c:pt idx="194">
                  <c:v>0.18692429666671428</c:v>
                </c:pt>
                <c:pt idx="195">
                  <c:v>0.18653540448543784</c:v>
                </c:pt>
                <c:pt idx="196">
                  <c:v>0.18614966697557628</c:v>
                </c:pt>
                <c:pt idx="197">
                  <c:v>0.18576704155253804</c:v>
                </c:pt>
                <c:pt idx="198">
                  <c:v>0.18538748642544212</c:v>
                </c:pt>
                <c:pt idx="199">
                  <c:v>0.18501096057842967</c:v>
                </c:pt>
                <c:pt idx="200">
                  <c:v>0.18463742375250583</c:v>
                </c:pt>
                <c:pt idx="201">
                  <c:v>0.18426683642789146</c:v>
                </c:pt>
                <c:pt idx="202">
                  <c:v>0.18389915980687038</c:v>
                </c:pt>
                <c:pt idx="203">
                  <c:v>0.18353435579711447</c:v>
                </c:pt>
                <c:pt idx="204">
                  <c:v>0.18317238699547211</c:v>
                </c:pt>
                <c:pt idx="205">
                  <c:v>0.18281321667220407</c:v>
                </c:pt>
                <c:pt idx="206">
                  <c:v>0.18245680875565323</c:v>
                </c:pt>
                <c:pt idx="207">
                  <c:v>0.18210312781733473</c:v>
                </c:pt>
                <c:pt idx="208">
                  <c:v>0.18175213905743073</c:v>
                </c:pt>
                <c:pt idx="209">
                  <c:v>0.18140380829068042</c:v>
                </c:pt>
                <c:pt idx="210">
                  <c:v>0.1810581019326501</c:v>
                </c:pt>
                <c:pt idx="211">
                  <c:v>0.18071498698637242</c:v>
                </c:pt>
                <c:pt idx="212">
                  <c:v>0.18037443102934322</c:v>
                </c:pt>
                <c:pt idx="213">
                  <c:v>0.180036402200865</c:v>
                </c:pt>
                <c:pt idx="214">
                  <c:v>0.17970086918972533</c:v>
                </c:pt>
                <c:pt idx="215">
                  <c:v>0.17936780122220169</c:v>
                </c:pt>
                <c:pt idx="216">
                  <c:v>0.17903716805038003</c:v>
                </c:pt>
                <c:pt idx="217">
                  <c:v>0.17870893994078052</c:v>
                </c:pt>
                <c:pt idx="218">
                  <c:v>0.17838308766327837</c:v>
                </c:pt>
                <c:pt idx="219">
                  <c:v>0.17805958248031289</c:v>
                </c:pt>
                <c:pt idx="220">
                  <c:v>0.1777383961363744</c:v>
                </c:pt>
                <c:pt idx="221">
                  <c:v>0.17741950084776195</c:v>
                </c:pt>
                <c:pt idx="222">
                  <c:v>0.17710286929260316</c:v>
                </c:pt>
                <c:pt idx="223">
                  <c:v>0.17678847460112776</c:v>
                </c:pt>
                <c:pt idx="224">
                  <c:v>0.17647629034618892</c:v>
                </c:pt>
                <c:pt idx="225">
                  <c:v>0.17616629053402327</c:v>
                </c:pt>
                <c:pt idx="226">
                  <c:v>0.17585844959524363</c:v>
                </c:pt>
                <c:pt idx="227">
                  <c:v>0.1755527423760572</c:v>
                </c:pt>
                <c:pt idx="228">
                  <c:v>0.17524914412970322</c:v>
                </c:pt>
                <c:pt idx="229">
                  <c:v>0.17494763050810253</c:v>
                </c:pt>
                <c:pt idx="230">
                  <c:v>0.17464817755371459</c:v>
                </c:pt>
                <c:pt idx="231">
                  <c:v>0.17435076169159369</c:v>
                </c:pt>
                <c:pt idx="232">
                  <c:v>0.17405535972164157</c:v>
                </c:pt>
                <c:pt idx="233">
                  <c:v>0.17376194881104792</c:v>
                </c:pt>
                <c:pt idx="234">
                  <c:v>0.173470506486915</c:v>
                </c:pt>
                <c:pt idx="235">
                  <c:v>0.17318101062906152</c:v>
                </c:pt>
                <c:pt idx="236">
                  <c:v>0.17289343946299918</c:v>
                </c:pt>
                <c:pt idx="237">
                  <c:v>0.17260777155307835</c:v>
                </c:pt>
                <c:pt idx="238">
                  <c:v>0.17232398579579764</c:v>
                </c:pt>
                <c:pt idx="239">
                  <c:v>0.17204206141327241</c:v>
                </c:pt>
                <c:pt idx="240">
                  <c:v>0.1717619779468591</c:v>
                </c:pt>
                <c:pt idx="241">
                  <c:v>0.17148371525092945</c:v>
                </c:pt>
                <c:pt idx="242">
                  <c:v>0.17120725348679094</c:v>
                </c:pt>
                <c:pt idx="243">
                  <c:v>0.17093257311675078</c:v>
                </c:pt>
                <c:pt idx="244">
                  <c:v>0.17065965489831747</c:v>
                </c:pt>
                <c:pt idx="245">
                  <c:v>0.17038847987853742</c:v>
                </c:pt>
                <c:pt idx="246">
                  <c:v>0.17011902938846288</c:v>
                </c:pt>
                <c:pt idx="247">
                  <c:v>0.16985128503774724</c:v>
                </c:pt>
                <c:pt idx="248">
                  <c:v>0.16958522870936446</c:v>
                </c:pt>
                <c:pt idx="249">
                  <c:v>0.16932084255444962</c:v>
                </c:pt>
                <c:pt idx="250">
                  <c:v>0.16905810898725607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B-468D-81CC-9217FE86B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'SPR YPR all F'!$A$30:$A$280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'SPR YPR all F'!$C$30:$C$280</c:f>
              <c:numCache>
                <c:formatCode>General</c:formatCode>
                <c:ptCount val="251"/>
                <c:pt idx="0">
                  <c:v>6.8128969288715636E-4</c:v>
                </c:pt>
                <c:pt idx="1">
                  <c:v>6.43343462730398E-2</c:v>
                </c:pt>
                <c:pt idx="2">
                  <c:v>0.12173192642859101</c:v>
                </c:pt>
                <c:pt idx="3">
                  <c:v>0.17314724253319588</c:v>
                </c:pt>
                <c:pt idx="4">
                  <c:v>0.21937345502736541</c:v>
                </c:pt>
                <c:pt idx="5">
                  <c:v>0.26107472664256853</c:v>
                </c:pt>
                <c:pt idx="6">
                  <c:v>0.29881110713728715</c:v>
                </c:pt>
                <c:pt idx="7">
                  <c:v>0.33305789025881521</c:v>
                </c:pt>
                <c:pt idx="8">
                  <c:v>0.36422082325420319</c:v>
                </c:pt>
                <c:pt idx="9">
                  <c:v>0.39264816896870791</c:v>
                </c:pt>
                <c:pt idx="10">
                  <c:v>0.41864035422401591</c:v>
                </c:pt>
                <c:pt idx="11">
                  <c:v>0.44245774905277546</c:v>
                </c:pt>
                <c:pt idx="12">
                  <c:v>0.46432698537526651</c:v>
                </c:pt>
                <c:pt idx="13">
                  <c:v>0.48444612475875548</c:v>
                </c:pt>
                <c:pt idx="14">
                  <c:v>0.50298891211688024</c:v>
                </c:pt>
                <c:pt idx="15">
                  <c:v>0.52010829811866577</c:v>
                </c:pt>
                <c:pt idx="16">
                  <c:v>0.53593937249685797</c:v>
                </c:pt>
                <c:pt idx="17">
                  <c:v>0.55060181972622135</c:v>
                </c:pt>
                <c:pt idx="18">
                  <c:v>0.56420198509193298</c:v>
                </c:pt>
                <c:pt idx="19">
                  <c:v>0.57683462112432093</c:v>
                </c:pt>
                <c:pt idx="20">
                  <c:v>0.5885843703885929</c:v>
                </c:pt>
                <c:pt idx="21">
                  <c:v>0.59952702969842908</c:v>
                </c:pt>
                <c:pt idx="22">
                  <c:v>0.60973063224063184</c:v>
                </c:pt>
                <c:pt idx="23">
                  <c:v>0.6192563773111408</c:v>
                </c:pt>
                <c:pt idx="24">
                  <c:v>0.62815943196308066</c:v>
                </c:pt>
                <c:pt idx="25">
                  <c:v>0.63648962454709368</c:v>
                </c:pt>
                <c:pt idx="26">
                  <c:v>0.64429204664858242</c:v>
                </c:pt>
                <c:pt idx="27">
                  <c:v>0.65160757711605088</c:v>
                </c:pt>
                <c:pt idx="28">
                  <c:v>0.65847333959100185</c:v>
                </c:pt>
                <c:pt idx="29">
                  <c:v>0.66492310308541891</c:v>
                </c:pt>
                <c:pt idx="30">
                  <c:v>0.67098763362390867</c:v>
                </c:pt>
                <c:pt idx="31">
                  <c:v>0.67669500370839575</c:v>
                </c:pt>
                <c:pt idx="32">
                  <c:v>0.68207086532196659</c:v>
                </c:pt>
                <c:pt idx="33">
                  <c:v>0.68713869132399574</c:v>
                </c:pt>
                <c:pt idx="34">
                  <c:v>0.69191998936830301</c:v>
                </c:pt>
                <c:pt idx="35">
                  <c:v>0.69643449187361295</c:v>
                </c:pt>
                <c:pt idx="36">
                  <c:v>0.70070032506996671</c:v>
                </c:pt>
                <c:pt idx="37">
                  <c:v>0.70473415971899789</c:v>
                </c:pt>
                <c:pt idx="38">
                  <c:v>0.70855134574633194</c:v>
                </c:pt>
                <c:pt idx="39">
                  <c:v>0.71216603271964074</c:v>
                </c:pt>
                <c:pt idx="40">
                  <c:v>0.71559127784690002</c:v>
                </c:pt>
                <c:pt idx="41">
                  <c:v>0.71883914294866724</c:v>
                </c:pt>
                <c:pt idx="42">
                  <c:v>0.72192078166957041</c:v>
                </c:pt>
                <c:pt idx="43">
                  <c:v>0.72484651803252975</c:v>
                </c:pt>
                <c:pt idx="44">
                  <c:v>0.72762591730038206</c:v>
                </c:pt>
                <c:pt idx="45">
                  <c:v>0.73026784998995797</c:v>
                </c:pt>
                <c:pt idx="46">
                  <c:v>0.73278054978041451</c:v>
                </c:pt>
                <c:pt idx="47">
                  <c:v>0.73517166596827765</c:v>
                </c:pt>
                <c:pt idx="48">
                  <c:v>0.73744831104416164</c:v>
                </c:pt>
                <c:pt idx="49">
                  <c:v>0.73961710389878788</c:v>
                </c:pt>
                <c:pt idx="50">
                  <c:v>0.7416842091072724</c:v>
                </c:pt>
                <c:pt idx="51">
                  <c:v>0.74365537268946535</c:v>
                </c:pt>
                <c:pt idx="52">
                  <c:v>0.74553595469935863</c:v>
                </c:pt>
                <c:pt idx="53">
                  <c:v>0.74733095895737112</c:v>
                </c:pt>
                <c:pt idx="54">
                  <c:v>0.74904506020489758</c:v>
                </c:pt>
                <c:pt idx="55">
                  <c:v>0.75068262893023951</c:v>
                </c:pt>
                <c:pt idx="56">
                  <c:v>0.75224775408838829</c:v>
                </c:pt>
                <c:pt idx="57">
                  <c:v>0.75374426391359517</c:v>
                </c:pt>
                <c:pt idx="58">
                  <c:v>0.75517574500289719</c:v>
                </c:pt>
                <c:pt idx="59">
                  <c:v>0.75654555983034633</c:v>
                </c:pt>
                <c:pt idx="60">
                  <c:v>0.75785686283539866</c:v>
                </c:pt>
                <c:pt idx="61">
                  <c:v>0.75911261521442286</c:v>
                </c:pt>
                <c:pt idx="62">
                  <c:v>0.76031559853142527</c:v>
                </c:pt>
                <c:pt idx="63">
                  <c:v>0.76146842725260622</c:v>
                </c:pt>
                <c:pt idx="64">
                  <c:v>0.76257356029915857</c:v>
                </c:pt>
                <c:pt idx="65">
                  <c:v>0.76363331170357773</c:v>
                </c:pt>
                <c:pt idx="66">
                  <c:v>0.76464986044659855</c:v>
                </c:pt>
                <c:pt idx="67">
                  <c:v>0.76562525954456917</c:v>
                </c:pt>
                <c:pt idx="68">
                  <c:v>0.76656144445053254</c:v>
                </c:pt>
                <c:pt idx="69">
                  <c:v>0.76746024082639364</c:v>
                </c:pt>
                <c:pt idx="70">
                  <c:v>0.76832337173830079</c:v>
                </c:pt>
                <c:pt idx="71">
                  <c:v>0.76915246432259821</c:v>
                </c:pt>
                <c:pt idx="72">
                  <c:v>0.76994905596544971</c:v>
                </c:pt>
                <c:pt idx="73">
                  <c:v>0.77071460003537207</c:v>
                </c:pt>
                <c:pt idx="74">
                  <c:v>0.77145047120445109</c:v>
                </c:pt>
                <c:pt idx="75">
                  <c:v>0.77215797039086076</c:v>
                </c:pt>
                <c:pt idx="76">
                  <c:v>0.77283832935248276</c:v>
                </c:pt>
                <c:pt idx="77">
                  <c:v>0.7734927149588372</c:v>
                </c:pt>
                <c:pt idx="78">
                  <c:v>0.77412223316622819</c:v>
                </c:pt>
                <c:pt idx="79">
                  <c:v>0.77472793271887741</c:v>
                </c:pt>
                <c:pt idx="80">
                  <c:v>0.77531080859692181</c:v>
                </c:pt>
                <c:pt idx="81">
                  <c:v>0.77587180523039656</c:v>
                </c:pt>
                <c:pt idx="82">
                  <c:v>0.77641181949675209</c:v>
                </c:pt>
                <c:pt idx="83">
                  <c:v>0.77693170351801288</c:v>
                </c:pt>
                <c:pt idx="84">
                  <c:v>0.7774322672723738</c:v>
                </c:pt>
                <c:pt idx="85">
                  <c:v>0.77791428103382987</c:v>
                </c:pt>
                <c:pt idx="86">
                  <c:v>0.77837847765236123</c:v>
                </c:pt>
                <c:pt idx="87">
                  <c:v>0.77882555468617642</c:v>
                </c:pt>
                <c:pt idx="88">
                  <c:v>0.77925617639663602</c:v>
                </c:pt>
                <c:pt idx="89">
                  <c:v>0.77967097561561727</c:v>
                </c:pt>
                <c:pt idx="90">
                  <c:v>0.78007055549435156</c:v>
                </c:pt>
                <c:pt idx="91">
                  <c:v>0.78045549114204249</c:v>
                </c:pt>
                <c:pt idx="92">
                  <c:v>0.7808263311619531</c:v>
                </c:pt>
                <c:pt idx="93">
                  <c:v>0.78118359909206103</c:v>
                </c:pt>
                <c:pt idx="94">
                  <c:v>0.78152779475683642</c:v>
                </c:pt>
                <c:pt idx="95">
                  <c:v>0.78185939553621842</c:v>
                </c:pt>
                <c:pt idx="96">
                  <c:v>0.7821788575574028</c:v>
                </c:pt>
                <c:pt idx="97">
                  <c:v>0.78248661681464127</c:v>
                </c:pt>
                <c:pt idx="98">
                  <c:v>0.78278309022187265</c:v>
                </c:pt>
                <c:pt idx="99">
                  <c:v>0.78306867660264945</c:v>
                </c:pt>
                <c:pt idx="100">
                  <c:v>0.78334375762150366</c:v>
                </c:pt>
                <c:pt idx="101">
                  <c:v>0.78360869866059335</c:v>
                </c:pt>
                <c:pt idx="102">
                  <c:v>0.78386384964519984</c:v>
                </c:pt>
                <c:pt idx="103">
                  <c:v>0.78410954582138837</c:v>
                </c:pt>
                <c:pt idx="104">
                  <c:v>0.7843461084889104</c:v>
                </c:pt>
                <c:pt idx="105">
                  <c:v>0.78457384569221311</c:v>
                </c:pt>
                <c:pt idx="106">
                  <c:v>0.78479305287221657</c:v>
                </c:pt>
                <c:pt idx="107">
                  <c:v>0.78500401348133952</c:v>
                </c:pt>
                <c:pt idx="108">
                  <c:v>0.78520699956407713</c:v>
                </c:pt>
                <c:pt idx="109">
                  <c:v>0.78540227230528181</c:v>
                </c:pt>
                <c:pt idx="110">
                  <c:v>0.78559008254815044</c:v>
                </c:pt>
                <c:pt idx="111">
                  <c:v>0.78577067128378231</c:v>
                </c:pt>
                <c:pt idx="112">
                  <c:v>0.78594427011404733</c:v>
                </c:pt>
                <c:pt idx="113">
                  <c:v>0.78611110168939635</c:v>
                </c:pt>
                <c:pt idx="114">
                  <c:v>0.78627138012311693</c:v>
                </c:pt>
                <c:pt idx="115">
                  <c:v>0.78642531138346472</c:v>
                </c:pt>
                <c:pt idx="116">
                  <c:v>0.78657309366497985</c:v>
                </c:pt>
                <c:pt idx="117">
                  <c:v>0.78671491774023528</c:v>
                </c:pt>
                <c:pt idx="118">
                  <c:v>0.78685096729316295</c:v>
                </c:pt>
                <c:pt idx="119">
                  <c:v>0.7869814192350475</c:v>
                </c:pt>
                <c:pt idx="120">
                  <c:v>0.78710644400419216</c:v>
                </c:pt>
                <c:pt idx="121">
                  <c:v>0.78722620585020631</c:v>
                </c:pt>
                <c:pt idx="122">
                  <c:v>0.78734086310380158</c:v>
                </c:pt>
                <c:pt idx="123">
                  <c:v>0.7874505684329236</c:v>
                </c:pt>
                <c:pt idx="124">
                  <c:v>0.78755546908600349</c:v>
                </c:pt>
                <c:pt idx="125">
                  <c:v>0.78765570712304978</c:v>
                </c:pt>
                <c:pt idx="126">
                  <c:v>0.78775141963527506</c:v>
                </c:pt>
                <c:pt idx="127">
                  <c:v>0.7878427389538889</c:v>
                </c:pt>
                <c:pt idx="128">
                  <c:v>0.7879297928486676</c:v>
                </c:pt>
                <c:pt idx="129">
                  <c:v>0.78801270471685891</c:v>
                </c:pt>
                <c:pt idx="130">
                  <c:v>0.78809159376296167</c:v>
                </c:pt>
                <c:pt idx="131">
                  <c:v>0.78816657516986643</c:v>
                </c:pt>
                <c:pt idx="132">
                  <c:v>0.78823776026184045</c:v>
                </c:pt>
                <c:pt idx="133">
                  <c:v>0.78830525665978612</c:v>
                </c:pt>
                <c:pt idx="134">
                  <c:v>0.78836916842919158</c:v>
                </c:pt>
                <c:pt idx="135">
                  <c:v>0.78842959622116482</c:v>
                </c:pt>
                <c:pt idx="136">
                  <c:v>0.78848663740691616</c:v>
                </c:pt>
                <c:pt idx="137">
                  <c:v>0.78854038620603628</c:v>
                </c:pt>
                <c:pt idx="138">
                  <c:v>0.78859093380888945</c:v>
                </c:pt>
                <c:pt idx="139">
                  <c:v>0.78863836849343905</c:v>
                </c:pt>
                <c:pt idx="140">
                  <c:v>0.78868277573678158</c:v>
                </c:pt>
                <c:pt idx="141">
                  <c:v>0.78872423832167271</c:v>
                </c:pt>
                <c:pt idx="142">
                  <c:v>0.78876283643829193</c:v>
                </c:pt>
                <c:pt idx="143">
                  <c:v>0.788798647781497</c:v>
                </c:pt>
                <c:pt idx="144">
                  <c:v>0.78883174764378861</c:v>
                </c:pt>
                <c:pt idx="145">
                  <c:v>0.78886220900420689</c:v>
                </c:pt>
                <c:pt idx="146">
                  <c:v>0.78889010261335923</c:v>
                </c:pt>
                <c:pt idx="147">
                  <c:v>0.78891549707477393</c:v>
                </c:pt>
                <c:pt idx="148">
                  <c:v>0.78893845892276049</c:v>
                </c:pt>
                <c:pt idx="149">
                  <c:v>0.78895905269694677</c:v>
                </c:pt>
                <c:pt idx="150">
                  <c:v>0.78897734101365913</c:v>
                </c:pt>
                <c:pt idx="151">
                  <c:v>0.78899338463429225</c:v>
                </c:pt>
                <c:pt idx="152">
                  <c:v>0.78900724253082388</c:v>
                </c:pt>
                <c:pt idx="153">
                  <c:v>0.78901897194859683</c:v>
                </c:pt>
                <c:pt idx="154">
                  <c:v>0.78902862846651822</c:v>
                </c:pt>
                <c:pt idx="155">
                  <c:v>0.78903626605477506</c:v>
                </c:pt>
                <c:pt idx="156">
                  <c:v>0.78904193713020665</c:v>
                </c:pt>
                <c:pt idx="157">
                  <c:v>0.78904569260942403</c:v>
                </c:pt>
                <c:pt idx="158">
                  <c:v>0.7890475819597963</c:v>
                </c:pt>
                <c:pt idx="159">
                  <c:v>0.78904765324838999</c:v>
                </c:pt>
                <c:pt idx="160">
                  <c:v>0.78904595318896831</c:v>
                </c:pt>
                <c:pt idx="161">
                  <c:v>0.78904252718712631</c:v>
                </c:pt>
                <c:pt idx="162">
                  <c:v>0.78903741938365779</c:v>
                </c:pt>
                <c:pt idx="163">
                  <c:v>0.78903067269622773</c:v>
                </c:pt>
                <c:pt idx="164">
                  <c:v>0.78902232885942603</c:v>
                </c:pt>
                <c:pt idx="165">
                  <c:v>0.78901242846328024</c:v>
                </c:pt>
                <c:pt idx="166">
                  <c:v>0.78900101099028941</c:v>
                </c:pt>
                <c:pt idx="167">
                  <c:v>0.78898811485104847</c:v>
                </c:pt>
                <c:pt idx="168">
                  <c:v>0.7889737774185257</c:v>
                </c:pt>
                <c:pt idx="169">
                  <c:v>0.78895803506104578</c:v>
                </c:pt>
                <c:pt idx="170">
                  <c:v>0.78894092317404563</c:v>
                </c:pt>
                <c:pt idx="171">
                  <c:v>0.78892247621064227</c:v>
                </c:pt>
                <c:pt idx="172">
                  <c:v>0.78890272771107861</c:v>
                </c:pt>
                <c:pt idx="173">
                  <c:v>0.7888817103310809</c:v>
                </c:pt>
                <c:pt idx="174">
                  <c:v>0.78885945586918504</c:v>
                </c:pt>
                <c:pt idx="175">
                  <c:v>0.78883599529306825</c:v>
                </c:pt>
                <c:pt idx="176">
                  <c:v>0.78881135876493236</c:v>
                </c:pt>
                <c:pt idx="177">
                  <c:v>0.78878557566597496</c:v>
                </c:pt>
                <c:pt idx="178">
                  <c:v>0.78875867461998772</c:v>
                </c:pt>
                <c:pt idx="179">
                  <c:v>0.78873068351611819</c:v>
                </c:pt>
                <c:pt idx="180">
                  <c:v>0.78870162953082934</c:v>
                </c:pt>
                <c:pt idx="181">
                  <c:v>0.78867153914908716</c:v>
                </c:pt>
                <c:pt idx="182">
                  <c:v>0.78864043818481255</c:v>
                </c:pt>
                <c:pt idx="183">
                  <c:v>0.78860835180062205</c:v>
                </c:pt>
                <c:pt idx="184">
                  <c:v>0.78857530452688818</c:v>
                </c:pt>
                <c:pt idx="185">
                  <c:v>0.78854132028014834</c:v>
                </c:pt>
                <c:pt idx="186">
                  <c:v>0.78850642238088287</c:v>
                </c:pt>
                <c:pt idx="187">
                  <c:v>0.78847063357069458</c:v>
                </c:pt>
                <c:pt idx="188">
                  <c:v>0.78843397602890408</c:v>
                </c:pt>
                <c:pt idx="189">
                  <c:v>0.78839647138859448</c:v>
                </c:pt>
                <c:pt idx="190">
                  <c:v>0.78835814075211508</c:v>
                </c:pt>
                <c:pt idx="191">
                  <c:v>0.78831900470607597</c:v>
                </c:pt>
                <c:pt idx="192">
                  <c:v>0.78827908333584451</c:v>
                </c:pt>
                <c:pt idx="193">
                  <c:v>0.78823839623956682</c:v>
                </c:pt>
                <c:pt idx="194">
                  <c:v>0.78819696254173366</c:v>
                </c:pt>
                <c:pt idx="195">
                  <c:v>0.78815480090630219</c:v>
                </c:pt>
                <c:pt idx="196">
                  <c:v>0.78811192954939779</c:v>
                </c:pt>
                <c:pt idx="197">
                  <c:v>0.78806836625160415</c:v>
                </c:pt>
                <c:pt idx="198">
                  <c:v>0.78802412836986357</c:v>
                </c:pt>
                <c:pt idx="199">
                  <c:v>0.78797923284899629</c:v>
                </c:pt>
                <c:pt idx="200">
                  <c:v>0.7879336962328567</c:v>
                </c:pt>
                <c:pt idx="201">
                  <c:v>0.78788753467513917</c:v>
                </c:pt>
                <c:pt idx="202">
                  <c:v>0.7878407639498427</c:v>
                </c:pt>
                <c:pt idx="203">
                  <c:v>0.78779339946141114</c:v>
                </c:pt>
                <c:pt idx="204">
                  <c:v>0.78774545625456127</c:v>
                </c:pt>
                <c:pt idx="205">
                  <c:v>0.78769694902380227</c:v>
                </c:pt>
                <c:pt idx="206">
                  <c:v>0.78764789212266639</c:v>
                </c:pt>
                <c:pt idx="207">
                  <c:v>0.78759829957265814</c:v>
                </c:pt>
                <c:pt idx="208">
                  <c:v>0.78754818507192936</c:v>
                </c:pt>
                <c:pt idx="209">
                  <c:v>0.78749756200369181</c:v>
                </c:pt>
                <c:pt idx="210">
                  <c:v>0.78744644344437909</c:v>
                </c:pt>
                <c:pt idx="211">
                  <c:v>0.78739484217155842</c:v>
                </c:pt>
                <c:pt idx="212">
                  <c:v>0.78734277067161385</c:v>
                </c:pt>
                <c:pt idx="213">
                  <c:v>0.78729024114719393</c:v>
                </c:pt>
                <c:pt idx="214">
                  <c:v>0.78723726552444329</c:v>
                </c:pt>
                <c:pt idx="215">
                  <c:v>0.78718385546002245</c:v>
                </c:pt>
                <c:pt idx="216">
                  <c:v>0.78713002234791696</c:v>
                </c:pt>
                <c:pt idx="217">
                  <c:v>0.78707577732605394</c:v>
                </c:pt>
                <c:pt idx="218">
                  <c:v>0.78702113128272311</c:v>
                </c:pt>
                <c:pt idx="219">
                  <c:v>0.78696609486281166</c:v>
                </c:pt>
                <c:pt idx="220">
                  <c:v>0.78691067847386331</c:v>
                </c:pt>
                <c:pt idx="221">
                  <c:v>0.78685489229195915</c:v>
                </c:pt>
                <c:pt idx="222">
                  <c:v>0.78679874626743673</c:v>
                </c:pt>
                <c:pt idx="223">
                  <c:v>0.78674225013043819</c:v>
                </c:pt>
                <c:pt idx="224">
                  <c:v>0.78668541339631171</c:v>
                </c:pt>
                <c:pt idx="225">
                  <c:v>0.78662824537085341</c:v>
                </c:pt>
                <c:pt idx="226">
                  <c:v>0.78657075515540464</c:v>
                </c:pt>
                <c:pt idx="227">
                  <c:v>0.78651295165180735</c:v>
                </c:pt>
                <c:pt idx="228">
                  <c:v>0.78645484356722251</c:v>
                </c:pt>
                <c:pt idx="229">
                  <c:v>0.7863964394188121</c:v>
                </c:pt>
                <c:pt idx="230">
                  <c:v>0.78633774753829766</c:v>
                </c:pt>
                <c:pt idx="231">
                  <c:v>0.78627877607638619</c:v>
                </c:pt>
                <c:pt idx="232">
                  <c:v>0.78621953300708092</c:v>
                </c:pt>
                <c:pt idx="233">
                  <c:v>0.78616002613187375</c:v>
                </c:pt>
                <c:pt idx="234">
                  <c:v>0.78610026308382142</c:v>
                </c:pt>
                <c:pt idx="235">
                  <c:v>0.78604025133151478</c:v>
                </c:pt>
                <c:pt idx="236">
                  <c:v>0.78597999818293751</c:v>
                </c:pt>
                <c:pt idx="237">
                  <c:v>0.7859195107892275</c:v>
                </c:pt>
                <c:pt idx="238">
                  <c:v>0.78585879614832999</c:v>
                </c:pt>
                <c:pt idx="239">
                  <c:v>0.78579786110856054</c:v>
                </c:pt>
                <c:pt idx="240">
                  <c:v>0.78573671237206877</c:v>
                </c:pt>
                <c:pt idx="241">
                  <c:v>0.78567535649821485</c:v>
                </c:pt>
                <c:pt idx="242">
                  <c:v>0.78561379990685309</c:v>
                </c:pt>
                <c:pt idx="243">
                  <c:v>0.78555204888153252</c:v>
                </c:pt>
                <c:pt idx="244">
                  <c:v>0.78549010957261378</c:v>
                </c:pt>
                <c:pt idx="245">
                  <c:v>0.785427988000302</c:v>
                </c:pt>
                <c:pt idx="246">
                  <c:v>0.78536569005760648</c:v>
                </c:pt>
                <c:pt idx="247">
                  <c:v>0.78530322151321796</c:v>
                </c:pt>
                <c:pt idx="248">
                  <c:v>0.78524058801431784</c:v>
                </c:pt>
                <c:pt idx="249">
                  <c:v>0.78517779508931074</c:v>
                </c:pt>
                <c:pt idx="250">
                  <c:v>0.78511484815048893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5-4555-A495-09A70BA92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'Fx%SPR'!$A$30:$A$280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'Fx%SPR'!$B$30:$B$280</c:f>
              <c:numCache>
                <c:formatCode>General</c:formatCode>
                <c:ptCount val="251"/>
                <c:pt idx="0">
                  <c:v>0.99952159084272474</c:v>
                </c:pt>
                <c:pt idx="1">
                  <c:v>0.95448419702497456</c:v>
                </c:pt>
                <c:pt idx="2">
                  <c:v>0.91323765685305125</c:v>
                </c:pt>
                <c:pt idx="3">
                  <c:v>0.87569913806345145</c:v>
                </c:pt>
                <c:pt idx="4">
                  <c:v>0.84140098817357856</c:v>
                </c:pt>
                <c:pt idx="5">
                  <c:v>0.80995044719986264</c:v>
                </c:pt>
                <c:pt idx="6">
                  <c:v>0.78101525965315455</c:v>
                </c:pt>
                <c:pt idx="7">
                  <c:v>0.75431247955756053</c:v>
                </c:pt>
                <c:pt idx="8">
                  <c:v>0.72959967133015535</c:v>
                </c:pt>
                <c:pt idx="9">
                  <c:v>0.7066679289726443</c:v>
                </c:pt>
                <c:pt idx="10">
                  <c:v>0.68533628984063166</c:v>
                </c:pt>
                <c:pt idx="11">
                  <c:v>0.66544722847070559</c:v>
                </c:pt>
                <c:pt idx="12">
                  <c:v>0.64686299448063744</c:v>
                </c:pt>
                <c:pt idx="13">
                  <c:v>0.62946261569958595</c:v>
                </c:pt>
                <c:pt idx="14">
                  <c:v>0.6131394297182754</c:v>
                </c:pt>
                <c:pt idx="15">
                  <c:v>0.59779903828564174</c:v>
                </c:pt>
                <c:pt idx="16">
                  <c:v>0.58335760241424339</c:v>
                </c:pt>
                <c:pt idx="17">
                  <c:v>0.56974041379787388</c:v>
                </c:pt>
                <c:pt idx="18">
                  <c:v>0.55688069168838961</c:v>
                </c:pt>
                <c:pt idx="19">
                  <c:v>0.54471856479999958</c:v>
                </c:pt>
                <c:pt idx="20">
                  <c:v>0.53320020588797934</c:v>
                </c:pt>
                <c:pt idx="21">
                  <c:v>0.52227709295577129</c:v>
                </c:pt>
                <c:pt idx="22">
                  <c:v>0.51190537600119057</c:v>
                </c:pt>
                <c:pt idx="23">
                  <c:v>0.50204533213265934</c:v>
                </c:pt>
                <c:pt idx="24">
                  <c:v>0.4926608950054514</c:v>
                </c:pt>
                <c:pt idx="25">
                  <c:v>0.48371924702369723</c:v>
                </c:pt>
                <c:pt idx="26">
                  <c:v>0.47519046476178278</c:v>
                </c:pt>
                <c:pt idx="27">
                  <c:v>0.46704720968245955</c:v>
                </c:pt>
                <c:pt idx="28">
                  <c:v>0.45926445754849993</c:v>
                </c:pt>
                <c:pt idx="29">
                  <c:v>0.45181926100204461</c:v>
                </c:pt>
                <c:pt idx="30">
                  <c:v>0.44469054066934505</c:v>
                </c:pt>
                <c:pt idx="31">
                  <c:v>0.43785890087636159</c:v>
                </c:pt>
                <c:pt idx="32">
                  <c:v>0.43130646666254246</c:v>
                </c:pt>
                <c:pt idx="33">
                  <c:v>0.42501673927986727</c:v>
                </c:pt>
                <c:pt idx="34">
                  <c:v>0.41897446778074526</c:v>
                </c:pt>
                <c:pt idx="35">
                  <c:v>0.41316553464675532</c:v>
                </c:pt>
                <c:pt idx="36">
                  <c:v>0.40757685370266106</c:v>
                </c:pt>
                <c:pt idx="37">
                  <c:v>0.40219627880642972</c:v>
                </c:pt>
                <c:pt idx="38">
                  <c:v>0.39701252201407877</c:v>
                </c:pt>
                <c:pt idx="39">
                  <c:v>0.3920150800945556</c:v>
                </c:pt>
                <c:pt idx="40">
                  <c:v>0.38719416841978377</c:v>
                </c:pt>
                <c:pt idx="41">
                  <c:v>0.3825406613828321</c:v>
                </c:pt>
                <c:pt idx="42">
                  <c:v>0.37804603860644587</c:v>
                </c:pt>
                <c:pt idx="43">
                  <c:v>0.37370233629784722</c:v>
                </c:pt>
                <c:pt idx="44">
                  <c:v>0.36950210318622317</c:v>
                </c:pt>
                <c:pt idx="45">
                  <c:v>0.36543836054868317</c:v>
                </c:pt>
                <c:pt idx="46">
                  <c:v>0.36150456589037933</c:v>
                </c:pt>
                <c:pt idx="47">
                  <c:v>0.35769457989634645</c:v>
                </c:pt>
                <c:pt idx="48">
                  <c:v>0.35400263631762141</c:v>
                </c:pt>
                <c:pt idx="49">
                  <c:v>0.35042331449334041</c:v>
                </c:pt>
                <c:pt idx="50">
                  <c:v>0.34695151424461262</c:v>
                </c:pt>
                <c:pt idx="51">
                  <c:v>0.34358243290575535</c:v>
                </c:pt>
                <c:pt idx="52">
                  <c:v>0.34031154428453309</c:v>
                </c:pt>
                <c:pt idx="53">
                  <c:v>0.33713457936589597</c:v>
                </c:pt>
                <c:pt idx="54">
                  <c:v>0.3340475085937758</c:v>
                </c:pt>
                <c:pt idx="55">
                  <c:v>0.33104652558316783</c:v>
                </c:pt>
                <c:pt idx="56">
                  <c:v>0.32812803213029046</c:v>
                </c:pt>
                <c:pt idx="57">
                  <c:v>0.32528862440236567</c:v>
                </c:pt>
                <c:pt idx="58">
                  <c:v>0.32252508020073262</c:v>
                </c:pt>
                <c:pt idx="59">
                  <c:v>0.31983434720177595</c:v>
                </c:pt>
                <c:pt idx="60">
                  <c:v>0.31721353208972275</c:v>
                </c:pt>
                <c:pt idx="61">
                  <c:v>0.31465989050385901</c:v>
                </c:pt>
                <c:pt idx="62">
                  <c:v>0.31217081773028965</c:v>
                </c:pt>
                <c:pt idx="63">
                  <c:v>0.30974384007510952</c:v>
                </c:pt>
                <c:pt idx="64">
                  <c:v>0.30737660686187879</c:v>
                </c:pt>
                <c:pt idx="65">
                  <c:v>0.30506688300168544</c:v>
                </c:pt>
                <c:pt idx="66">
                  <c:v>0.3028125420888938</c:v>
                </c:pt>
                <c:pt idx="67">
                  <c:v>0.30061155998000555</c:v>
                </c:pt>
                <c:pt idx="68">
                  <c:v>0.29846200881694074</c:v>
                </c:pt>
                <c:pt idx="69">
                  <c:v>0.29636205145952904</c:v>
                </c:pt>
                <c:pt idx="70">
                  <c:v>0.29430993629514718</c:v>
                </c:pt>
                <c:pt idx="71">
                  <c:v>0.29230399239626115</c:v>
                </c:pt>
                <c:pt idx="72">
                  <c:v>0.29034262499918539</c:v>
                </c:pt>
                <c:pt idx="73">
                  <c:v>0.28842431127967433</c:v>
                </c:pt>
                <c:pt idx="74">
                  <c:v>0.28654759640304611</c:v>
                </c:pt>
                <c:pt idx="75">
                  <c:v>0.28471108982842003</c:v>
                </c:pt>
                <c:pt idx="76">
                  <c:v>0.28291346184836469</c:v>
                </c:pt>
                <c:pt idx="77">
                  <c:v>0.28115344034679329</c:v>
                </c:pt>
                <c:pt idx="78">
                  <c:v>0.27942980775936105</c:v>
                </c:pt>
                <c:pt idx="79">
                  <c:v>0.27774139822188915</c:v>
                </c:pt>
                <c:pt idx="80">
                  <c:v>0.27608709489350897</c:v>
                </c:pt>
                <c:pt idx="81">
                  <c:v>0.27446582744227782</c:v>
                </c:pt>
                <c:pt idx="82">
                  <c:v>0.2728765696819842</c:v>
                </c:pt>
                <c:pt idx="83">
                  <c:v>0.27131833734974026</c:v>
                </c:pt>
                <c:pt idx="84">
                  <c:v>0.26979018601476712</c:v>
                </c:pt>
                <c:pt idx="85">
                  <c:v>0.26829120910951293</c:v>
                </c:pt>
                <c:pt idx="86">
                  <c:v>0.26682053607491374</c:v>
                </c:pt>
                <c:pt idx="87">
                  <c:v>0.26537733061222968</c:v>
                </c:pt>
                <c:pt idx="88">
                  <c:v>0.26396078903444975</c:v>
                </c:pt>
                <c:pt idx="89">
                  <c:v>0.2625701387107745</c:v>
                </c:pt>
                <c:pt idx="90">
                  <c:v>0.26120463659816789</c:v>
                </c:pt>
                <c:pt idx="91">
                  <c:v>0.25986356785439996</c:v>
                </c:pt>
                <c:pt idx="92">
                  <c:v>0.25854624452740771</c:v>
                </c:pt>
                <c:pt idx="93">
                  <c:v>0.25725200431616851</c:v>
                </c:pt>
                <c:pt idx="94">
                  <c:v>0.25598020939862121</c:v>
                </c:pt>
                <c:pt idx="95">
                  <c:v>0.25473024532248623</c:v>
                </c:pt>
                <c:pt idx="96">
                  <c:v>0.25350151995511894</c:v>
                </c:pt>
                <c:pt idx="97">
                  <c:v>0.2522934624888033</c:v>
                </c:pt>
                <c:pt idx="98">
                  <c:v>0.25110552249813722</c:v>
                </c:pt>
                <c:pt idx="99">
                  <c:v>0.24993716904638399</c:v>
                </c:pt>
                <c:pt idx="100">
                  <c:v>0.24878788983788414</c:v>
                </c:pt>
                <c:pt idx="101">
                  <c:v>0.24765719041380529</c:v>
                </c:pt>
                <c:pt idx="102">
                  <c:v>0.24654459338869789</c:v>
                </c:pt>
                <c:pt idx="103">
                  <c:v>0.24544963772548459</c:v>
                </c:pt>
                <c:pt idx="104">
                  <c:v>0.24437187804666854</c:v>
                </c:pt>
                <c:pt idx="105">
                  <c:v>0.243310883979691</c:v>
                </c:pt>
                <c:pt idx="106">
                  <c:v>0.24226623953449766</c:v>
                </c:pt>
                <c:pt idx="107">
                  <c:v>0.24123754251150048</c:v>
                </c:pt>
                <c:pt idx="108">
                  <c:v>0.24022440393823571</c:v>
                </c:pt>
                <c:pt idx="109">
                  <c:v>0.23922644753312411</c:v>
                </c:pt>
                <c:pt idx="110">
                  <c:v>0.2382433091948403</c:v>
                </c:pt>
                <c:pt idx="111">
                  <c:v>0.23727463651589242</c:v>
                </c:pt>
                <c:pt idx="112">
                  <c:v>0.23632008831909385</c:v>
                </c:pt>
                <c:pt idx="113">
                  <c:v>0.23537933421569526</c:v>
                </c:pt>
                <c:pt idx="114">
                  <c:v>0.23445205418401688</c:v>
                </c:pt>
                <c:pt idx="115">
                  <c:v>0.23353793816749024</c:v>
                </c:pt>
                <c:pt idx="116">
                  <c:v>0.23263668569108592</c:v>
                </c:pt>
                <c:pt idx="117">
                  <c:v>0.23174800549516245</c:v>
                </c:pt>
                <c:pt idx="118">
                  <c:v>0.23087161518582994</c:v>
                </c:pt>
                <c:pt idx="119">
                  <c:v>0.23000724090097513</c:v>
                </c:pt>
                <c:pt idx="120">
                  <c:v>0.22915461699114162</c:v>
                </c:pt>
                <c:pt idx="121">
                  <c:v>0.22831348571450999</c:v>
                </c:pt>
                <c:pt idx="122">
                  <c:v>0.22748359694526149</c:v>
                </c:pt>
                <c:pt idx="123">
                  <c:v>0.2266647078946521</c:v>
                </c:pt>
                <c:pt idx="124">
                  <c:v>0.22585658284416293</c:v>
                </c:pt>
                <c:pt idx="125">
                  <c:v>0.22505899289012465</c:v>
                </c:pt>
                <c:pt idx="126">
                  <c:v>0.22427171569925192</c:v>
                </c:pt>
                <c:pt idx="127">
                  <c:v>0.22349453527455171</c:v>
                </c:pt>
                <c:pt idx="128">
                  <c:v>0.2227272417311007</c:v>
                </c:pt>
                <c:pt idx="129">
                  <c:v>0.22196963108121426</c:v>
                </c:pt>
                <c:pt idx="130">
                  <c:v>0.22122150502855434</c:v>
                </c:pt>
                <c:pt idx="131">
                  <c:v>0.22048267077075084</c:v>
                </c:pt>
                <c:pt idx="132">
                  <c:v>0.21975294081013066</c:v>
                </c:pt>
                <c:pt idx="133">
                  <c:v>0.2190321327721724</c:v>
                </c:pt>
                <c:pt idx="134">
                  <c:v>0.21832006923132488</c:v>
                </c:pt>
                <c:pt idx="135">
                  <c:v>0.21761657754384495</c:v>
                </c:pt>
                <c:pt idx="136">
                  <c:v>0.21692148968733141</c:v>
                </c:pt>
                <c:pt idx="137">
                  <c:v>0.2162346421066447</c:v>
                </c:pt>
                <c:pt idx="138">
                  <c:v>0.21555587556592173</c:v>
                </c:pt>
                <c:pt idx="139">
                  <c:v>0.21488503500640771</c:v>
                </c:pt>
                <c:pt idx="140">
                  <c:v>0.21422196940984226</c:v>
                </c:pt>
                <c:pt idx="141">
                  <c:v>0.21356653166715087</c:v>
                </c:pt>
                <c:pt idx="142">
                  <c:v>0.21291857845220305</c:v>
                </c:pt>
                <c:pt idx="143">
                  <c:v>0.21227797010041399</c:v>
                </c:pt>
                <c:pt idx="144">
                  <c:v>0.21164457049197488</c:v>
                </c:pt>
                <c:pt idx="145">
                  <c:v>0.21101824693950885</c:v>
                </c:pt>
                <c:pt idx="146">
                  <c:v>0.21039887007995942</c:v>
                </c:pt>
                <c:pt idx="147">
                  <c:v>0.20978631377052842</c:v>
                </c:pt>
                <c:pt idx="148">
                  <c:v>0.20918045498848767</c:v>
                </c:pt>
                <c:pt idx="149">
                  <c:v>0.20858117373469906</c:v>
                </c:pt>
                <c:pt idx="150">
                  <c:v>0.20798835294068493</c:v>
                </c:pt>
                <c:pt idx="151">
                  <c:v>0.20740187837909746</c:v>
                </c:pt>
                <c:pt idx="152">
                  <c:v>0.20682163857744484</c:v>
                </c:pt>
                <c:pt idx="153">
                  <c:v>0.20624752473493652</c:v>
                </c:pt>
                <c:pt idx="154">
                  <c:v>0.20567943064231864</c:v>
                </c:pt>
                <c:pt idx="155">
                  <c:v>0.20511725260457475</c:v>
                </c:pt>
                <c:pt idx="156">
                  <c:v>0.20456088936637412</c:v>
                </c:pt>
                <c:pt idx="157">
                  <c:v>0.20401024204015508</c:v>
                </c:pt>
                <c:pt idx="158">
                  <c:v>0.20346521403673554</c:v>
                </c:pt>
                <c:pt idx="159">
                  <c:v>0.20292571099834836</c:v>
                </c:pt>
                <c:pt idx="160">
                  <c:v>0.20239164073400459</c:v>
                </c:pt>
                <c:pt idx="161">
                  <c:v>0.20186291315708896</c:v>
                </c:pt>
                <c:pt idx="162">
                  <c:v>0.20133944022510139</c:v>
                </c:pt>
                <c:pt idx="163">
                  <c:v>0.20082113588145756</c:v>
                </c:pt>
                <c:pt idx="164">
                  <c:v>0.20030791599926717</c:v>
                </c:pt>
                <c:pt idx="165">
                  <c:v>0.19979969832701328</c:v>
                </c:pt>
                <c:pt idx="166">
                  <c:v>0.1992964024360577</c:v>
                </c:pt>
                <c:pt idx="167">
                  <c:v>0.1987979496699018</c:v>
                </c:pt>
                <c:pt idx="168">
                  <c:v>0.19830426309513469</c:v>
                </c:pt>
                <c:pt idx="169">
                  <c:v>0.19781526745400385</c:v>
                </c:pt>
                <c:pt idx="170">
                  <c:v>0.1973308891185466</c:v>
                </c:pt>
                <c:pt idx="171">
                  <c:v>0.19685105604622252</c:v>
                </c:pt>
                <c:pt idx="172">
                  <c:v>0.19637569773699026</c:v>
                </c:pt>
                <c:pt idx="173">
                  <c:v>0.19590474519177409</c:v>
                </c:pt>
                <c:pt idx="174">
                  <c:v>0.19543813087226836</c:v>
                </c:pt>
                <c:pt idx="175">
                  <c:v>0.19497578866203025</c:v>
                </c:pt>
                <c:pt idx="176">
                  <c:v>0.19451765382881223</c:v>
                </c:pt>
                <c:pt idx="177">
                  <c:v>0.19406366298808897</c:v>
                </c:pt>
                <c:pt idx="178">
                  <c:v>0.19361375406773551</c:v>
                </c:pt>
                <c:pt idx="179">
                  <c:v>0.19316786627381274</c:v>
                </c:pt>
                <c:pt idx="180">
                  <c:v>0.1927259400574225</c:v>
                </c:pt>
                <c:pt idx="181">
                  <c:v>0.19228791708259099</c:v>
                </c:pt>
                <c:pt idx="182">
                  <c:v>0.19185374019514573</c:v>
                </c:pt>
                <c:pt idx="183">
                  <c:v>0.19142335339254885</c:v>
                </c:pt>
                <c:pt idx="184">
                  <c:v>0.19099670179465358</c:v>
                </c:pt>
                <c:pt idx="185">
                  <c:v>0.19057373161535066</c:v>
                </c:pt>
                <c:pt idx="186">
                  <c:v>0.19015439013507379</c:v>
                </c:pt>
                <c:pt idx="187">
                  <c:v>0.18973862567413327</c:v>
                </c:pt>
                <c:pt idx="188">
                  <c:v>0.18932638756684964</c:v>
                </c:pt>
                <c:pt idx="189">
                  <c:v>0.18891762613645882</c:v>
                </c:pt>
                <c:pt idx="190">
                  <c:v>0.18851229267076222</c:v>
                </c:pt>
                <c:pt idx="191">
                  <c:v>0.18811033939849681</c:v>
                </c:pt>
                <c:pt idx="192">
                  <c:v>0.18771171946639917</c:v>
                </c:pt>
                <c:pt idx="193">
                  <c:v>0.18731638691694127</c:v>
                </c:pt>
                <c:pt idx="194">
                  <c:v>0.18692429666671428</c:v>
                </c:pt>
                <c:pt idx="195">
                  <c:v>0.18653540448543784</c:v>
                </c:pt>
                <c:pt idx="196">
                  <c:v>0.18614966697557628</c:v>
                </c:pt>
                <c:pt idx="197">
                  <c:v>0.18576704155253804</c:v>
                </c:pt>
                <c:pt idx="198">
                  <c:v>0.18538748642544212</c:v>
                </c:pt>
                <c:pt idx="199">
                  <c:v>0.18501096057842967</c:v>
                </c:pt>
                <c:pt idx="200">
                  <c:v>0.18463742375250583</c:v>
                </c:pt>
                <c:pt idx="201">
                  <c:v>0.18426683642789146</c:v>
                </c:pt>
                <c:pt idx="202">
                  <c:v>0.18389915980687038</c:v>
                </c:pt>
                <c:pt idx="203">
                  <c:v>0.18353435579711447</c:v>
                </c:pt>
                <c:pt idx="204">
                  <c:v>0.18317238699547211</c:v>
                </c:pt>
                <c:pt idx="205">
                  <c:v>0.18281321667220407</c:v>
                </c:pt>
                <c:pt idx="206">
                  <c:v>0.18245680875565323</c:v>
                </c:pt>
                <c:pt idx="207">
                  <c:v>0.18210312781733473</c:v>
                </c:pt>
                <c:pt idx="208">
                  <c:v>0.18175213905743073</c:v>
                </c:pt>
                <c:pt idx="209">
                  <c:v>0.18140380829068042</c:v>
                </c:pt>
                <c:pt idx="210">
                  <c:v>0.1810581019326501</c:v>
                </c:pt>
                <c:pt idx="211">
                  <c:v>0.18071498698637242</c:v>
                </c:pt>
                <c:pt idx="212">
                  <c:v>0.18037443102934322</c:v>
                </c:pt>
                <c:pt idx="213">
                  <c:v>0.180036402200865</c:v>
                </c:pt>
                <c:pt idx="214">
                  <c:v>0.17970086918972533</c:v>
                </c:pt>
                <c:pt idx="215">
                  <c:v>0.17936780122220169</c:v>
                </c:pt>
                <c:pt idx="216">
                  <c:v>0.17903716805038003</c:v>
                </c:pt>
                <c:pt idx="217">
                  <c:v>0.17870893994078052</c:v>
                </c:pt>
                <c:pt idx="218">
                  <c:v>0.17838308766327837</c:v>
                </c:pt>
                <c:pt idx="219">
                  <c:v>0.17805958248031289</c:v>
                </c:pt>
                <c:pt idx="220">
                  <c:v>0.1777383961363744</c:v>
                </c:pt>
                <c:pt idx="221">
                  <c:v>0.17741950084776195</c:v>
                </c:pt>
                <c:pt idx="222">
                  <c:v>0.17710286929260316</c:v>
                </c:pt>
                <c:pt idx="223">
                  <c:v>0.17678847460112776</c:v>
                </c:pt>
                <c:pt idx="224">
                  <c:v>0.17647629034618892</c:v>
                </c:pt>
                <c:pt idx="225">
                  <c:v>0.17616629053402327</c:v>
                </c:pt>
                <c:pt idx="226">
                  <c:v>0.17585844959524363</c:v>
                </c:pt>
                <c:pt idx="227">
                  <c:v>0.1755527423760572</c:v>
                </c:pt>
                <c:pt idx="228">
                  <c:v>0.17524914412970322</c:v>
                </c:pt>
                <c:pt idx="229">
                  <c:v>0.17494763050810253</c:v>
                </c:pt>
                <c:pt idx="230">
                  <c:v>0.17464817755371459</c:v>
                </c:pt>
                <c:pt idx="231">
                  <c:v>0.17435076169159369</c:v>
                </c:pt>
                <c:pt idx="232">
                  <c:v>0.17405535972164157</c:v>
                </c:pt>
                <c:pt idx="233">
                  <c:v>0.17376194881104792</c:v>
                </c:pt>
                <c:pt idx="234">
                  <c:v>0.173470506486915</c:v>
                </c:pt>
                <c:pt idx="235">
                  <c:v>0.17318101062906152</c:v>
                </c:pt>
                <c:pt idx="236">
                  <c:v>0.17289343946299918</c:v>
                </c:pt>
                <c:pt idx="237">
                  <c:v>0.17260777155307835</c:v>
                </c:pt>
                <c:pt idx="238">
                  <c:v>0.17232398579579764</c:v>
                </c:pt>
                <c:pt idx="239">
                  <c:v>0.17204206141327241</c:v>
                </c:pt>
                <c:pt idx="240">
                  <c:v>0.1717619779468591</c:v>
                </c:pt>
                <c:pt idx="241">
                  <c:v>0.17148371525092945</c:v>
                </c:pt>
                <c:pt idx="242">
                  <c:v>0.17120725348679094</c:v>
                </c:pt>
                <c:pt idx="243">
                  <c:v>0.17093257311675078</c:v>
                </c:pt>
                <c:pt idx="244">
                  <c:v>0.17065965489831747</c:v>
                </c:pt>
                <c:pt idx="245">
                  <c:v>0.17038847987853742</c:v>
                </c:pt>
                <c:pt idx="246">
                  <c:v>0.17011902938846288</c:v>
                </c:pt>
                <c:pt idx="247">
                  <c:v>0.16985128503774724</c:v>
                </c:pt>
                <c:pt idx="248">
                  <c:v>0.16958522870936446</c:v>
                </c:pt>
                <c:pt idx="249">
                  <c:v>0.16932084255444962</c:v>
                </c:pt>
                <c:pt idx="250">
                  <c:v>0.16905810898725607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E-4DC0-A33D-6EAD95C5E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'Fx%SPR'!$A$30:$A$280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'Fx%SPR'!$C$30:$C$280</c:f>
              <c:numCache>
                <c:formatCode>General</c:formatCode>
                <c:ptCount val="251"/>
                <c:pt idx="0">
                  <c:v>6.8128969288715636E-4</c:v>
                </c:pt>
                <c:pt idx="1">
                  <c:v>6.43343462730398E-2</c:v>
                </c:pt>
                <c:pt idx="2">
                  <c:v>0.12173192642859101</c:v>
                </c:pt>
                <c:pt idx="3">
                  <c:v>0.17314724253319588</c:v>
                </c:pt>
                <c:pt idx="4">
                  <c:v>0.21937345502736541</c:v>
                </c:pt>
                <c:pt idx="5">
                  <c:v>0.26107472664256853</c:v>
                </c:pt>
                <c:pt idx="6">
                  <c:v>0.29881110713728715</c:v>
                </c:pt>
                <c:pt idx="7">
                  <c:v>0.33305789025881521</c:v>
                </c:pt>
                <c:pt idx="8">
                  <c:v>0.36422082325420319</c:v>
                </c:pt>
                <c:pt idx="9">
                  <c:v>0.39264816896870791</c:v>
                </c:pt>
                <c:pt idx="10">
                  <c:v>0.41864035422401591</c:v>
                </c:pt>
                <c:pt idx="11">
                  <c:v>0.44245774905277546</c:v>
                </c:pt>
                <c:pt idx="12">
                  <c:v>0.46432698537526651</c:v>
                </c:pt>
                <c:pt idx="13">
                  <c:v>0.48444612475875548</c:v>
                </c:pt>
                <c:pt idx="14">
                  <c:v>0.50298891211688024</c:v>
                </c:pt>
                <c:pt idx="15">
                  <c:v>0.52010829811866577</c:v>
                </c:pt>
                <c:pt idx="16">
                  <c:v>0.53593937249685797</c:v>
                </c:pt>
                <c:pt idx="17">
                  <c:v>0.55060181972622135</c:v>
                </c:pt>
                <c:pt idx="18">
                  <c:v>0.56420198509193298</c:v>
                </c:pt>
                <c:pt idx="19">
                  <c:v>0.57683462112432093</c:v>
                </c:pt>
                <c:pt idx="20">
                  <c:v>0.5885843703885929</c:v>
                </c:pt>
                <c:pt idx="21">
                  <c:v>0.59952702969842908</c:v>
                </c:pt>
                <c:pt idx="22">
                  <c:v>0.60973063224063184</c:v>
                </c:pt>
                <c:pt idx="23">
                  <c:v>0.6192563773111408</c:v>
                </c:pt>
                <c:pt idx="24">
                  <c:v>0.62815943196308066</c:v>
                </c:pt>
                <c:pt idx="25">
                  <c:v>0.63648962454709368</c:v>
                </c:pt>
                <c:pt idx="26">
                  <c:v>0.64429204664858242</c:v>
                </c:pt>
                <c:pt idx="27">
                  <c:v>0.65160757711605088</c:v>
                </c:pt>
                <c:pt idx="28">
                  <c:v>0.65847333959100185</c:v>
                </c:pt>
                <c:pt idx="29">
                  <c:v>0.66492310308541891</c:v>
                </c:pt>
                <c:pt idx="30">
                  <c:v>0.67098763362390867</c:v>
                </c:pt>
                <c:pt idx="31">
                  <c:v>0.67669500370839575</c:v>
                </c:pt>
                <c:pt idx="32">
                  <c:v>0.68207086532196659</c:v>
                </c:pt>
                <c:pt idx="33">
                  <c:v>0.68713869132399574</c:v>
                </c:pt>
                <c:pt idx="34">
                  <c:v>0.69191998936830301</c:v>
                </c:pt>
                <c:pt idx="35">
                  <c:v>0.69643449187361295</c:v>
                </c:pt>
                <c:pt idx="36">
                  <c:v>0.70070032506996671</c:v>
                </c:pt>
                <c:pt idx="37">
                  <c:v>0.70473415971899789</c:v>
                </c:pt>
                <c:pt idx="38">
                  <c:v>0.70855134574633194</c:v>
                </c:pt>
                <c:pt idx="39">
                  <c:v>0.71216603271964074</c:v>
                </c:pt>
                <c:pt idx="40">
                  <c:v>0.71559127784690002</c:v>
                </c:pt>
                <c:pt idx="41">
                  <c:v>0.71883914294866724</c:v>
                </c:pt>
                <c:pt idx="42">
                  <c:v>0.72192078166957041</c:v>
                </c:pt>
                <c:pt idx="43">
                  <c:v>0.72484651803252975</c:v>
                </c:pt>
                <c:pt idx="44">
                  <c:v>0.72762591730038206</c:v>
                </c:pt>
                <c:pt idx="45">
                  <c:v>0.73026784998995797</c:v>
                </c:pt>
                <c:pt idx="46">
                  <c:v>0.73278054978041451</c:v>
                </c:pt>
                <c:pt idx="47">
                  <c:v>0.73517166596827765</c:v>
                </c:pt>
                <c:pt idx="48">
                  <c:v>0.73744831104416164</c:v>
                </c:pt>
                <c:pt idx="49">
                  <c:v>0.73961710389878788</c:v>
                </c:pt>
                <c:pt idx="50">
                  <c:v>0.7416842091072724</c:v>
                </c:pt>
                <c:pt idx="51">
                  <c:v>0.74365537268946535</c:v>
                </c:pt>
                <c:pt idx="52">
                  <c:v>0.74553595469935863</c:v>
                </c:pt>
                <c:pt idx="53">
                  <c:v>0.74733095895737112</c:v>
                </c:pt>
                <c:pt idx="54">
                  <c:v>0.74904506020489758</c:v>
                </c:pt>
                <c:pt idx="55">
                  <c:v>0.75068262893023951</c:v>
                </c:pt>
                <c:pt idx="56">
                  <c:v>0.75224775408838829</c:v>
                </c:pt>
                <c:pt idx="57">
                  <c:v>0.75374426391359517</c:v>
                </c:pt>
                <c:pt idx="58">
                  <c:v>0.75517574500289719</c:v>
                </c:pt>
                <c:pt idx="59">
                  <c:v>0.75654555983034633</c:v>
                </c:pt>
                <c:pt idx="60">
                  <c:v>0.75785686283539866</c:v>
                </c:pt>
                <c:pt idx="61">
                  <c:v>0.75911261521442286</c:v>
                </c:pt>
                <c:pt idx="62">
                  <c:v>0.76031559853142527</c:v>
                </c:pt>
                <c:pt idx="63">
                  <c:v>0.76146842725260622</c:v>
                </c:pt>
                <c:pt idx="64">
                  <c:v>0.76257356029915857</c:v>
                </c:pt>
                <c:pt idx="65">
                  <c:v>0.76363331170357773</c:v>
                </c:pt>
                <c:pt idx="66">
                  <c:v>0.76464986044659855</c:v>
                </c:pt>
                <c:pt idx="67">
                  <c:v>0.76562525954456917</c:v>
                </c:pt>
                <c:pt idx="68">
                  <c:v>0.76656144445053254</c:v>
                </c:pt>
                <c:pt idx="69">
                  <c:v>0.76746024082639364</c:v>
                </c:pt>
                <c:pt idx="70">
                  <c:v>0.76832337173830079</c:v>
                </c:pt>
                <c:pt idx="71">
                  <c:v>0.76915246432259821</c:v>
                </c:pt>
                <c:pt idx="72">
                  <c:v>0.76994905596544971</c:v>
                </c:pt>
                <c:pt idx="73">
                  <c:v>0.77071460003537207</c:v>
                </c:pt>
                <c:pt idx="74">
                  <c:v>0.77145047120445109</c:v>
                </c:pt>
                <c:pt idx="75">
                  <c:v>0.77215797039086076</c:v>
                </c:pt>
                <c:pt idx="76">
                  <c:v>0.77283832935248276</c:v>
                </c:pt>
                <c:pt idx="77">
                  <c:v>0.7734927149588372</c:v>
                </c:pt>
                <c:pt idx="78">
                  <c:v>0.77412223316622819</c:v>
                </c:pt>
                <c:pt idx="79">
                  <c:v>0.77472793271887741</c:v>
                </c:pt>
                <c:pt idx="80">
                  <c:v>0.77531080859692181</c:v>
                </c:pt>
                <c:pt idx="81">
                  <c:v>0.77587180523039656</c:v>
                </c:pt>
                <c:pt idx="82">
                  <c:v>0.77641181949675209</c:v>
                </c:pt>
                <c:pt idx="83">
                  <c:v>0.77693170351801288</c:v>
                </c:pt>
                <c:pt idx="84">
                  <c:v>0.7774322672723738</c:v>
                </c:pt>
                <c:pt idx="85">
                  <c:v>0.77791428103382987</c:v>
                </c:pt>
                <c:pt idx="86">
                  <c:v>0.77837847765236123</c:v>
                </c:pt>
                <c:pt idx="87">
                  <c:v>0.77882555468617642</c:v>
                </c:pt>
                <c:pt idx="88">
                  <c:v>0.77925617639663602</c:v>
                </c:pt>
                <c:pt idx="89">
                  <c:v>0.77967097561561727</c:v>
                </c:pt>
                <c:pt idx="90">
                  <c:v>0.78007055549435156</c:v>
                </c:pt>
                <c:pt idx="91">
                  <c:v>0.78045549114204249</c:v>
                </c:pt>
                <c:pt idx="92">
                  <c:v>0.7808263311619531</c:v>
                </c:pt>
                <c:pt idx="93">
                  <c:v>0.78118359909206103</c:v>
                </c:pt>
                <c:pt idx="94">
                  <c:v>0.78152779475683642</c:v>
                </c:pt>
                <c:pt idx="95">
                  <c:v>0.78185939553621842</c:v>
                </c:pt>
                <c:pt idx="96">
                  <c:v>0.7821788575574028</c:v>
                </c:pt>
                <c:pt idx="97">
                  <c:v>0.78248661681464127</c:v>
                </c:pt>
                <c:pt idx="98">
                  <c:v>0.78278309022187265</c:v>
                </c:pt>
                <c:pt idx="99">
                  <c:v>0.78306867660264945</c:v>
                </c:pt>
                <c:pt idx="100">
                  <c:v>0.78334375762150366</c:v>
                </c:pt>
                <c:pt idx="101">
                  <c:v>0.78360869866059335</c:v>
                </c:pt>
                <c:pt idx="102">
                  <c:v>0.78386384964519984</c:v>
                </c:pt>
                <c:pt idx="103">
                  <c:v>0.78410954582138837</c:v>
                </c:pt>
                <c:pt idx="104">
                  <c:v>0.7843461084889104</c:v>
                </c:pt>
                <c:pt idx="105">
                  <c:v>0.78457384569221311</c:v>
                </c:pt>
                <c:pt idx="106">
                  <c:v>0.78479305287221657</c:v>
                </c:pt>
                <c:pt idx="107">
                  <c:v>0.78500401348133952</c:v>
                </c:pt>
                <c:pt idx="108">
                  <c:v>0.78520699956407713</c:v>
                </c:pt>
                <c:pt idx="109">
                  <c:v>0.78540227230528181</c:v>
                </c:pt>
                <c:pt idx="110">
                  <c:v>0.78559008254815044</c:v>
                </c:pt>
                <c:pt idx="111">
                  <c:v>0.78577067128378231</c:v>
                </c:pt>
                <c:pt idx="112">
                  <c:v>0.78594427011404733</c:v>
                </c:pt>
                <c:pt idx="113">
                  <c:v>0.78611110168939635</c:v>
                </c:pt>
                <c:pt idx="114">
                  <c:v>0.78627138012311693</c:v>
                </c:pt>
                <c:pt idx="115">
                  <c:v>0.78642531138346472</c:v>
                </c:pt>
                <c:pt idx="116">
                  <c:v>0.78657309366497985</c:v>
                </c:pt>
                <c:pt idx="117">
                  <c:v>0.78671491774023528</c:v>
                </c:pt>
                <c:pt idx="118">
                  <c:v>0.78685096729316295</c:v>
                </c:pt>
                <c:pt idx="119">
                  <c:v>0.7869814192350475</c:v>
                </c:pt>
                <c:pt idx="120">
                  <c:v>0.78710644400419216</c:v>
                </c:pt>
                <c:pt idx="121">
                  <c:v>0.78722620585020631</c:v>
                </c:pt>
                <c:pt idx="122">
                  <c:v>0.78734086310380158</c:v>
                </c:pt>
                <c:pt idx="123">
                  <c:v>0.7874505684329236</c:v>
                </c:pt>
                <c:pt idx="124">
                  <c:v>0.78755546908600349</c:v>
                </c:pt>
                <c:pt idx="125">
                  <c:v>0.78765570712304978</c:v>
                </c:pt>
                <c:pt idx="126">
                  <c:v>0.78775141963527506</c:v>
                </c:pt>
                <c:pt idx="127">
                  <c:v>0.7878427389538889</c:v>
                </c:pt>
                <c:pt idx="128">
                  <c:v>0.7879297928486676</c:v>
                </c:pt>
                <c:pt idx="129">
                  <c:v>0.78801270471685891</c:v>
                </c:pt>
                <c:pt idx="130">
                  <c:v>0.78809159376296167</c:v>
                </c:pt>
                <c:pt idx="131">
                  <c:v>0.78816657516986643</c:v>
                </c:pt>
                <c:pt idx="132">
                  <c:v>0.78823776026184045</c:v>
                </c:pt>
                <c:pt idx="133">
                  <c:v>0.78830525665978612</c:v>
                </c:pt>
                <c:pt idx="134">
                  <c:v>0.78836916842919158</c:v>
                </c:pt>
                <c:pt idx="135">
                  <c:v>0.78842959622116482</c:v>
                </c:pt>
                <c:pt idx="136">
                  <c:v>0.78848663740691616</c:v>
                </c:pt>
                <c:pt idx="137">
                  <c:v>0.78854038620603628</c:v>
                </c:pt>
                <c:pt idx="138">
                  <c:v>0.78859093380888945</c:v>
                </c:pt>
                <c:pt idx="139">
                  <c:v>0.78863836849343905</c:v>
                </c:pt>
                <c:pt idx="140">
                  <c:v>0.78868277573678158</c:v>
                </c:pt>
                <c:pt idx="141">
                  <c:v>0.78872423832167271</c:v>
                </c:pt>
                <c:pt idx="142">
                  <c:v>0.78876283643829193</c:v>
                </c:pt>
                <c:pt idx="143">
                  <c:v>0.788798647781497</c:v>
                </c:pt>
                <c:pt idx="144">
                  <c:v>0.78883174764378861</c:v>
                </c:pt>
                <c:pt idx="145">
                  <c:v>0.78886220900420689</c:v>
                </c:pt>
                <c:pt idx="146">
                  <c:v>0.78889010261335923</c:v>
                </c:pt>
                <c:pt idx="147">
                  <c:v>0.78891549707477393</c:v>
                </c:pt>
                <c:pt idx="148">
                  <c:v>0.78893845892276049</c:v>
                </c:pt>
                <c:pt idx="149">
                  <c:v>0.78895905269694677</c:v>
                </c:pt>
                <c:pt idx="150">
                  <c:v>0.78897734101365913</c:v>
                </c:pt>
                <c:pt idx="151">
                  <c:v>0.78899338463429225</c:v>
                </c:pt>
                <c:pt idx="152">
                  <c:v>0.78900724253082388</c:v>
                </c:pt>
                <c:pt idx="153">
                  <c:v>0.78901897194859683</c:v>
                </c:pt>
                <c:pt idx="154">
                  <c:v>0.78902862846651822</c:v>
                </c:pt>
                <c:pt idx="155">
                  <c:v>0.78903626605477506</c:v>
                </c:pt>
                <c:pt idx="156">
                  <c:v>0.78904193713020665</c:v>
                </c:pt>
                <c:pt idx="157">
                  <c:v>0.78904569260942403</c:v>
                </c:pt>
                <c:pt idx="158">
                  <c:v>0.7890475819597963</c:v>
                </c:pt>
                <c:pt idx="159">
                  <c:v>0.78904765324838999</c:v>
                </c:pt>
                <c:pt idx="160">
                  <c:v>0.78904595318896831</c:v>
                </c:pt>
                <c:pt idx="161">
                  <c:v>0.78904252718712631</c:v>
                </c:pt>
                <c:pt idx="162">
                  <c:v>0.78903741938365779</c:v>
                </c:pt>
                <c:pt idx="163">
                  <c:v>0.78903067269622773</c:v>
                </c:pt>
                <c:pt idx="164">
                  <c:v>0.78902232885942603</c:v>
                </c:pt>
                <c:pt idx="165">
                  <c:v>0.78901242846328024</c:v>
                </c:pt>
                <c:pt idx="166">
                  <c:v>0.78900101099028941</c:v>
                </c:pt>
                <c:pt idx="167">
                  <c:v>0.78898811485104847</c:v>
                </c:pt>
                <c:pt idx="168">
                  <c:v>0.7889737774185257</c:v>
                </c:pt>
                <c:pt idx="169">
                  <c:v>0.78895803506104578</c:v>
                </c:pt>
                <c:pt idx="170">
                  <c:v>0.78894092317404563</c:v>
                </c:pt>
                <c:pt idx="171">
                  <c:v>0.78892247621064227</c:v>
                </c:pt>
                <c:pt idx="172">
                  <c:v>0.78890272771107861</c:v>
                </c:pt>
                <c:pt idx="173">
                  <c:v>0.7888817103310809</c:v>
                </c:pt>
                <c:pt idx="174">
                  <c:v>0.78885945586918504</c:v>
                </c:pt>
                <c:pt idx="175">
                  <c:v>0.78883599529306825</c:v>
                </c:pt>
                <c:pt idx="176">
                  <c:v>0.78881135876493236</c:v>
                </c:pt>
                <c:pt idx="177">
                  <c:v>0.78878557566597496</c:v>
                </c:pt>
                <c:pt idx="178">
                  <c:v>0.78875867461998772</c:v>
                </c:pt>
                <c:pt idx="179">
                  <c:v>0.78873068351611819</c:v>
                </c:pt>
                <c:pt idx="180">
                  <c:v>0.78870162953082934</c:v>
                </c:pt>
                <c:pt idx="181">
                  <c:v>0.78867153914908716</c:v>
                </c:pt>
                <c:pt idx="182">
                  <c:v>0.78864043818481255</c:v>
                </c:pt>
                <c:pt idx="183">
                  <c:v>0.78860835180062205</c:v>
                </c:pt>
                <c:pt idx="184">
                  <c:v>0.78857530452688818</c:v>
                </c:pt>
                <c:pt idx="185">
                  <c:v>0.78854132028014834</c:v>
                </c:pt>
                <c:pt idx="186">
                  <c:v>0.78850642238088287</c:v>
                </c:pt>
                <c:pt idx="187">
                  <c:v>0.78847063357069458</c:v>
                </c:pt>
                <c:pt idx="188">
                  <c:v>0.78843397602890408</c:v>
                </c:pt>
                <c:pt idx="189">
                  <c:v>0.78839647138859448</c:v>
                </c:pt>
                <c:pt idx="190">
                  <c:v>0.78835814075211508</c:v>
                </c:pt>
                <c:pt idx="191">
                  <c:v>0.78831900470607597</c:v>
                </c:pt>
                <c:pt idx="192">
                  <c:v>0.78827908333584451</c:v>
                </c:pt>
                <c:pt idx="193">
                  <c:v>0.78823839623956682</c:v>
                </c:pt>
                <c:pt idx="194">
                  <c:v>0.78819696254173366</c:v>
                </c:pt>
                <c:pt idx="195">
                  <c:v>0.78815480090630219</c:v>
                </c:pt>
                <c:pt idx="196">
                  <c:v>0.78811192954939779</c:v>
                </c:pt>
                <c:pt idx="197">
                  <c:v>0.78806836625160415</c:v>
                </c:pt>
                <c:pt idx="198">
                  <c:v>0.78802412836986357</c:v>
                </c:pt>
                <c:pt idx="199">
                  <c:v>0.78797923284899629</c:v>
                </c:pt>
                <c:pt idx="200">
                  <c:v>0.7879336962328567</c:v>
                </c:pt>
                <c:pt idx="201">
                  <c:v>0.78788753467513917</c:v>
                </c:pt>
                <c:pt idx="202">
                  <c:v>0.7878407639498427</c:v>
                </c:pt>
                <c:pt idx="203">
                  <c:v>0.78779339946141114</c:v>
                </c:pt>
                <c:pt idx="204">
                  <c:v>0.78774545625456127</c:v>
                </c:pt>
                <c:pt idx="205">
                  <c:v>0.78769694902380227</c:v>
                </c:pt>
                <c:pt idx="206">
                  <c:v>0.78764789212266639</c:v>
                </c:pt>
                <c:pt idx="207">
                  <c:v>0.78759829957265814</c:v>
                </c:pt>
                <c:pt idx="208">
                  <c:v>0.78754818507192936</c:v>
                </c:pt>
                <c:pt idx="209">
                  <c:v>0.78749756200369181</c:v>
                </c:pt>
                <c:pt idx="210">
                  <c:v>0.78744644344437909</c:v>
                </c:pt>
                <c:pt idx="211">
                  <c:v>0.78739484217155842</c:v>
                </c:pt>
                <c:pt idx="212">
                  <c:v>0.78734277067161385</c:v>
                </c:pt>
                <c:pt idx="213">
                  <c:v>0.78729024114719393</c:v>
                </c:pt>
                <c:pt idx="214">
                  <c:v>0.78723726552444329</c:v>
                </c:pt>
                <c:pt idx="215">
                  <c:v>0.78718385546002245</c:v>
                </c:pt>
                <c:pt idx="216">
                  <c:v>0.78713002234791696</c:v>
                </c:pt>
                <c:pt idx="217">
                  <c:v>0.78707577732605394</c:v>
                </c:pt>
                <c:pt idx="218">
                  <c:v>0.78702113128272311</c:v>
                </c:pt>
                <c:pt idx="219">
                  <c:v>0.78696609486281166</c:v>
                </c:pt>
                <c:pt idx="220">
                  <c:v>0.78691067847386331</c:v>
                </c:pt>
                <c:pt idx="221">
                  <c:v>0.78685489229195915</c:v>
                </c:pt>
                <c:pt idx="222">
                  <c:v>0.78679874626743673</c:v>
                </c:pt>
                <c:pt idx="223">
                  <c:v>0.78674225013043819</c:v>
                </c:pt>
                <c:pt idx="224">
                  <c:v>0.78668541339631171</c:v>
                </c:pt>
                <c:pt idx="225">
                  <c:v>0.78662824537085341</c:v>
                </c:pt>
                <c:pt idx="226">
                  <c:v>0.78657075515540464</c:v>
                </c:pt>
                <c:pt idx="227">
                  <c:v>0.78651295165180735</c:v>
                </c:pt>
                <c:pt idx="228">
                  <c:v>0.78645484356722251</c:v>
                </c:pt>
                <c:pt idx="229">
                  <c:v>0.7863964394188121</c:v>
                </c:pt>
                <c:pt idx="230">
                  <c:v>0.78633774753829766</c:v>
                </c:pt>
                <c:pt idx="231">
                  <c:v>0.78627877607638619</c:v>
                </c:pt>
                <c:pt idx="232">
                  <c:v>0.78621953300708092</c:v>
                </c:pt>
                <c:pt idx="233">
                  <c:v>0.78616002613187375</c:v>
                </c:pt>
                <c:pt idx="234">
                  <c:v>0.78610026308382142</c:v>
                </c:pt>
                <c:pt idx="235">
                  <c:v>0.78604025133151478</c:v>
                </c:pt>
                <c:pt idx="236">
                  <c:v>0.78597999818293751</c:v>
                </c:pt>
                <c:pt idx="237">
                  <c:v>0.7859195107892275</c:v>
                </c:pt>
                <c:pt idx="238">
                  <c:v>0.78585879614832999</c:v>
                </c:pt>
                <c:pt idx="239">
                  <c:v>0.78579786110856054</c:v>
                </c:pt>
                <c:pt idx="240">
                  <c:v>0.78573671237206877</c:v>
                </c:pt>
                <c:pt idx="241">
                  <c:v>0.78567535649821485</c:v>
                </c:pt>
                <c:pt idx="242">
                  <c:v>0.78561379990685309</c:v>
                </c:pt>
                <c:pt idx="243">
                  <c:v>0.78555204888153252</c:v>
                </c:pt>
                <c:pt idx="244">
                  <c:v>0.78549010957261378</c:v>
                </c:pt>
                <c:pt idx="245">
                  <c:v>0.785427988000302</c:v>
                </c:pt>
                <c:pt idx="246">
                  <c:v>0.78536569005760648</c:v>
                </c:pt>
                <c:pt idx="247">
                  <c:v>0.78530322151321796</c:v>
                </c:pt>
                <c:pt idx="248">
                  <c:v>0.78524058801431784</c:v>
                </c:pt>
                <c:pt idx="249">
                  <c:v>0.78517779508931074</c:v>
                </c:pt>
                <c:pt idx="250">
                  <c:v>0.78511484815048893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9-4EBE-A19E-FE248EED2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'SRR and Yield'!$AC$2:$AC$294</c:f>
              <c:numCache>
                <c:formatCode>General</c:formatCode>
                <c:ptCount val="29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</c:numCache>
            </c:numRef>
          </c:xVal>
          <c:yVal>
            <c:numRef>
              <c:f>'SRR and Yield'!$AB$2:$AB$294</c:f>
              <c:numCache>
                <c:formatCode>General</c:formatCode>
                <c:ptCount val="293"/>
                <c:pt idx="0">
                  <c:v>8.4453279423370956E-2</c:v>
                </c:pt>
                <c:pt idx="1">
                  <c:v>0.39524377753933354</c:v>
                </c:pt>
                <c:pt idx="2">
                  <c:v>0.73193779610648491</c:v>
                </c:pt>
                <c:pt idx="3">
                  <c:v>1.2750021151947388</c:v>
                </c:pt>
                <c:pt idx="4">
                  <c:v>1.6939454190602172</c:v>
                </c:pt>
                <c:pt idx="5">
                  <c:v>2.0269565880963025</c:v>
                </c:pt>
                <c:pt idx="6">
                  <c:v>2.2980154295621702</c:v>
                </c:pt>
                <c:pt idx="7">
                  <c:v>2.5229388025018666</c:v>
                </c:pt>
                <c:pt idx="8">
                  <c:v>2.7125816328134724</c:v>
                </c:pt>
                <c:pt idx="9">
                  <c:v>2.8746411788307462</c:v>
                </c:pt>
                <c:pt idx="10">
                  <c:v>3.0147273863259021</c:v>
                </c:pt>
                <c:pt idx="11">
                  <c:v>3.1370255037745949</c:v>
                </c:pt>
                <c:pt idx="12">
                  <c:v>3.2447213508625108</c:v>
                </c:pt>
                <c:pt idx="13">
                  <c:v>3.3402828388086236</c:v>
                </c:pt>
                <c:pt idx="14">
                  <c:v>3.425651406885077</c:v>
                </c:pt>
                <c:pt idx="15">
                  <c:v>3.5023753026618314</c:v>
                </c:pt>
                <c:pt idx="16">
                  <c:v>3.5717043244291462</c:v>
                </c:pt>
                <c:pt idx="17">
                  <c:v>3.6346584284546708</c:v>
                </c:pt>
                <c:pt idx="18">
                  <c:v>3.6920782424658598</c:v>
                </c:pt>
                <c:pt idx="19">
                  <c:v>3.7446628181335258</c:v>
                </c:pt>
                <c:pt idx="20">
                  <c:v>3.7929982316459756</c:v>
                </c:pt>
                <c:pt idx="21">
                  <c:v>3.8375795202171474</c:v>
                </c:pt>
                <c:pt idx="22">
                  <c:v>3.878827698359832</c:v>
                </c:pt>
                <c:pt idx="23">
                  <c:v>3.9171030950392023</c:v>
                </c:pt>
                <c:pt idx="24">
                  <c:v>3.9527159074747984</c:v>
                </c:pt>
                <c:pt idx="25">
                  <c:v>3.9859346264848261</c:v>
                </c:pt>
                <c:pt idx="26">
                  <c:v>4.0169928178909018</c:v>
                </c:pt>
                <c:pt idx="27">
                  <c:v>4.046094622420159</c:v>
                </c:pt>
                <c:pt idx="28">
                  <c:v>4.0734192480089959</c:v>
                </c:pt>
                <c:pt idx="29">
                  <c:v>4.0991246634883494</c:v>
                </c:pt>
                <c:pt idx="30">
                  <c:v>4.1233506545206664</c:v>
                </c:pt>
                <c:pt idx="31">
                  <c:v>4.14622136666042</c:v>
                </c:pt>
                <c:pt idx="32">
                  <c:v>4.1678474332274096</c:v>
                </c:pt>
                <c:pt idx="33">
                  <c:v>4.1883277649800803</c:v>
                </c:pt>
                <c:pt idx="34">
                  <c:v>4.2077510626821448</c:v>
                </c:pt>
                <c:pt idx="35">
                  <c:v>4.2261971013604933</c:v>
                </c:pt>
                <c:pt idx="36">
                  <c:v>4.2437378254725244</c:v>
                </c:pt>
                <c:pt idx="37">
                  <c:v>4.2604382866862718</c:v>
                </c:pt>
                <c:pt idx="38">
                  <c:v>4.2763574500440056</c:v>
                </c:pt>
                <c:pt idx="39">
                  <c:v>4.2915488895676646</c:v>
                </c:pt>
                <c:pt idx="40">
                  <c:v>4.3060613905999388</c:v>
                </c:pt>
                <c:pt idx="41">
                  <c:v>4.3199394731507557</c:v>
                </c:pt>
                <c:pt idx="42">
                  <c:v>4.3332238480771261</c:v>
                </c:pt>
                <c:pt idx="43">
                  <c:v>4.3459518159426249</c:v>
                </c:pt>
                <c:pt idx="44">
                  <c:v>4.3581576167870466</c:v>
                </c:pt>
                <c:pt idx="45">
                  <c:v>4.3698727377132611</c:v>
                </c:pt>
                <c:pt idx="46">
                  <c:v>4.3811261841095215</c:v>
                </c:pt>
                <c:pt idx="47">
                  <c:v>4.3919447194260517</c:v>
                </c:pt>
                <c:pt idx="48">
                  <c:v>4.4023530776787512</c:v>
                </c:pt>
                <c:pt idx="49">
                  <c:v>4.4123741522318198</c:v>
                </c:pt>
                <c:pt idx="50">
                  <c:v>4.4220291638920699</c:v>
                </c:pt>
                <c:pt idx="51">
                  <c:v>4.4313378109125621</c:v>
                </c:pt>
                <c:pt idx="52">
                  <c:v>4.4403184031369856</c:v>
                </c:pt>
                <c:pt idx="53">
                  <c:v>4.4489879822070879</c:v>
                </c:pt>
                <c:pt idx="54">
                  <c:v>4.4573624294937249</c:v>
                </c:pt>
                <c:pt idx="55">
                  <c:v>4.4654565631897452</c:v>
                </c:pt>
                <c:pt idx="56">
                  <c:v>4.4732842258135426</c:v>
                </c:pt>
                <c:pt idx="57">
                  <c:v>4.4808583632103192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34-45F3-B285-211484EBBAC9}"/>
            </c:ext>
          </c:extLst>
        </c:ser>
        <c:ser>
          <c:idx val="1"/>
          <c:order val="1"/>
          <c:tx>
            <c:v>hor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Yield'!$F$19,'SRR and Yield'!$E$19)</c:f>
              <c:numCache>
                <c:formatCode>General</c:formatCode>
                <c:ptCount val="2"/>
                <c:pt idx="0">
                  <c:v>0</c:v>
                </c:pt>
                <c:pt idx="1">
                  <c:v>36.967898517909518</c:v>
                </c:pt>
              </c:numCache>
            </c:numRef>
          </c:xVal>
          <c:yVal>
            <c:numRef>
              <c:f>('SRR and Yield'!$E$15,'SRR and Yield'!$E$15)</c:f>
              <c:numCache>
                <c:formatCode>General</c:formatCode>
                <c:ptCount val="2"/>
                <c:pt idx="0">
                  <c:v>4.2758580000000004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4-45F3-B285-211484EBBAC9}"/>
            </c:ext>
          </c:extLst>
        </c:ser>
        <c:ser>
          <c:idx val="2"/>
          <c:order val="2"/>
          <c:tx>
            <c:v>vert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Yield'!$E$19,'SRR and Yield'!$E$19)</c:f>
              <c:numCache>
                <c:formatCode>General</c:formatCode>
                <c:ptCount val="2"/>
                <c:pt idx="0">
                  <c:v>36.967898517909518</c:v>
                </c:pt>
                <c:pt idx="1">
                  <c:v>36.967898517909518</c:v>
                </c:pt>
              </c:numCache>
            </c:numRef>
          </c:xVal>
          <c:yVal>
            <c:numRef>
              <c:f>('SRR and Yield'!$AG$3,'SRR and Yield'!$AH$3)</c:f>
              <c:numCache>
                <c:formatCode>General</c:formatCode>
                <c:ptCount val="2"/>
                <c:pt idx="0">
                  <c:v>0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34-45F3-B285-211484EBBAC9}"/>
            </c:ext>
          </c:extLst>
        </c:ser>
        <c:ser>
          <c:idx val="3"/>
          <c:order val="3"/>
          <c:tx>
            <c:v>point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'SRR and Yield'!$E$19</c:f>
              <c:numCache>
                <c:formatCode>General</c:formatCode>
                <c:ptCount val="1"/>
                <c:pt idx="0">
                  <c:v>36.967898517909518</c:v>
                </c:pt>
              </c:numCache>
            </c:numRef>
          </c:xVal>
          <c:yVal>
            <c:numRef>
              <c:f>'SRR and Yield'!$E$15</c:f>
              <c:numCache>
                <c:formatCode>General</c:formatCode>
                <c:ptCount val="1"/>
                <c:pt idx="0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34-45F3-B285-211484EBBAC9}"/>
            </c:ext>
          </c:extLst>
        </c:ser>
        <c:ser>
          <c:idx val="4"/>
          <c:order val="4"/>
          <c:tx>
            <c:v>hor2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Yield'!$AG$3,'SRR and Yield'!$AF$4)</c:f>
              <c:numCache>
                <c:formatCode>General</c:formatCode>
                <c:ptCount val="2"/>
                <c:pt idx="0">
                  <c:v>0</c:v>
                </c:pt>
                <c:pt idx="1">
                  <c:v>23.525949241667259</c:v>
                </c:pt>
              </c:numCache>
            </c:numRef>
          </c:xVal>
          <c:yVal>
            <c:numRef>
              <c:f>('SRR and Yield'!$AF$3,'SRR and Yield'!$AF$3)</c:f>
              <c:numCache>
                <c:formatCode>General</c:formatCode>
                <c:ptCount val="2"/>
                <c:pt idx="0">
                  <c:v>3.9704701670849145</c:v>
                </c:pt>
                <c:pt idx="1">
                  <c:v>3.9704701670849145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34-45F3-B285-211484EBBAC9}"/>
            </c:ext>
          </c:extLst>
        </c:ser>
        <c:ser>
          <c:idx val="5"/>
          <c:order val="5"/>
          <c:tx>
            <c:v>vert2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A434-45F3-B285-211484EBBAC9}"/>
              </c:ext>
            </c:extLst>
          </c:dPt>
          <c:xVal>
            <c:numRef>
              <c:f>('SRR and Yield'!$AF$4,'SRR and Yield'!$AF$4)</c:f>
              <c:numCache>
                <c:formatCode>General</c:formatCode>
                <c:ptCount val="2"/>
                <c:pt idx="0">
                  <c:v>23.525949241667259</c:v>
                </c:pt>
                <c:pt idx="1">
                  <c:v>23.525949241667259</c:v>
                </c:pt>
              </c:numCache>
            </c:numRef>
          </c:xVal>
          <c:yVal>
            <c:numRef>
              <c:f>('SRR and Yield'!$AG$3,'SRR and Yield'!$AF$3)</c:f>
              <c:numCache>
                <c:formatCode>General</c:formatCode>
                <c:ptCount val="2"/>
                <c:pt idx="0">
                  <c:v>0</c:v>
                </c:pt>
                <c:pt idx="1">
                  <c:v>3.9704701670849145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434-45F3-B285-211484EBBAC9}"/>
            </c:ext>
          </c:extLst>
        </c:ser>
        <c:ser>
          <c:idx val="6"/>
          <c:order val="6"/>
          <c:tx>
            <c:v>point2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('SRR and Yield'!$AF$4,'SRR and Yield'!$AF$4)</c:f>
              <c:numCache>
                <c:formatCode>General</c:formatCode>
                <c:ptCount val="2"/>
                <c:pt idx="0">
                  <c:v>23.525949241667259</c:v>
                </c:pt>
                <c:pt idx="1">
                  <c:v>23.525949241667259</c:v>
                </c:pt>
              </c:numCache>
            </c:numRef>
          </c:xVal>
          <c:yVal>
            <c:numRef>
              <c:f>('SRR and Yield'!$AF$3,'SRR and Yield'!$AF$3)</c:f>
              <c:numCache>
                <c:formatCode>General</c:formatCode>
                <c:ptCount val="2"/>
                <c:pt idx="0">
                  <c:v>3.9704701670849145</c:v>
                </c:pt>
                <c:pt idx="1">
                  <c:v>3.9704701670849145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34-45F3-B285-211484E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</c:scaling>
        <c:delete val="0"/>
        <c:axPos val="b"/>
        <c:title>
          <c:tx>
            <c:strRef>
              <c:f>'SRR and Yield'!$AC$1</c:f>
              <c:strCache>
                <c:ptCount val="1"/>
                <c:pt idx="0">
                  <c:v>SSB (kt)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5"/>
        </c:scaling>
        <c:delete val="0"/>
        <c:axPos val="l"/>
        <c:title>
          <c:tx>
            <c:strRef>
              <c:f>'SRR and Yield'!$AB$1</c:f>
              <c:strCache>
                <c:ptCount val="1"/>
                <c:pt idx="0">
                  <c:v>Recruitment (10^9)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MSY!$AC$2:$AC$294</c:f>
              <c:numCache>
                <c:formatCode>General</c:formatCode>
                <c:ptCount val="29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</c:numCache>
            </c:numRef>
          </c:xVal>
          <c:yVal>
            <c:numRef>
              <c:f>MSY!$AB$2:$AB$294</c:f>
              <c:numCache>
                <c:formatCode>General</c:formatCode>
                <c:ptCount val="293"/>
                <c:pt idx="0">
                  <c:v>8.4453279423370956E-2</c:v>
                </c:pt>
                <c:pt idx="1">
                  <c:v>0.39524377753933354</c:v>
                </c:pt>
                <c:pt idx="2">
                  <c:v>0.73193779610648491</c:v>
                </c:pt>
                <c:pt idx="3">
                  <c:v>1.2750021151947388</c:v>
                </c:pt>
                <c:pt idx="4">
                  <c:v>1.6939454190602172</c:v>
                </c:pt>
                <c:pt idx="5">
                  <c:v>2.0269565880963025</c:v>
                </c:pt>
                <c:pt idx="6">
                  <c:v>2.2980154295621702</c:v>
                </c:pt>
                <c:pt idx="7">
                  <c:v>2.5229388025018666</c:v>
                </c:pt>
                <c:pt idx="8">
                  <c:v>2.7125816328134724</c:v>
                </c:pt>
                <c:pt idx="9">
                  <c:v>2.8746411788307462</c:v>
                </c:pt>
                <c:pt idx="10">
                  <c:v>3.0147273863259021</c:v>
                </c:pt>
                <c:pt idx="11">
                  <c:v>3.1370255037745949</c:v>
                </c:pt>
                <c:pt idx="12">
                  <c:v>3.2447213508625108</c:v>
                </c:pt>
                <c:pt idx="13">
                  <c:v>3.3402828388086236</c:v>
                </c:pt>
                <c:pt idx="14">
                  <c:v>3.425651406885077</c:v>
                </c:pt>
                <c:pt idx="15">
                  <c:v>3.5023753026618314</c:v>
                </c:pt>
                <c:pt idx="16">
                  <c:v>3.5717043244291462</c:v>
                </c:pt>
                <c:pt idx="17">
                  <c:v>3.6346584284546708</c:v>
                </c:pt>
                <c:pt idx="18">
                  <c:v>3.6920782424658598</c:v>
                </c:pt>
                <c:pt idx="19">
                  <c:v>3.7446628181335258</c:v>
                </c:pt>
                <c:pt idx="20">
                  <c:v>3.7929982316459756</c:v>
                </c:pt>
                <c:pt idx="21">
                  <c:v>3.8375795202171474</c:v>
                </c:pt>
                <c:pt idx="22">
                  <c:v>3.878827698359832</c:v>
                </c:pt>
                <c:pt idx="23">
                  <c:v>3.9171030950392023</c:v>
                </c:pt>
                <c:pt idx="24">
                  <c:v>3.9527159074747984</c:v>
                </c:pt>
                <c:pt idx="25">
                  <c:v>3.9859346264848261</c:v>
                </c:pt>
                <c:pt idx="26">
                  <c:v>4.0169928178909018</c:v>
                </c:pt>
                <c:pt idx="27">
                  <c:v>4.046094622420159</c:v>
                </c:pt>
                <c:pt idx="28">
                  <c:v>4.0734192480089959</c:v>
                </c:pt>
                <c:pt idx="29">
                  <c:v>4.0991246634883494</c:v>
                </c:pt>
                <c:pt idx="30">
                  <c:v>4.1233506545206664</c:v>
                </c:pt>
                <c:pt idx="31">
                  <c:v>4.14622136666042</c:v>
                </c:pt>
                <c:pt idx="32">
                  <c:v>4.1678474332274096</c:v>
                </c:pt>
                <c:pt idx="33">
                  <c:v>4.1883277649800803</c:v>
                </c:pt>
                <c:pt idx="34">
                  <c:v>4.2077510626821448</c:v>
                </c:pt>
                <c:pt idx="35">
                  <c:v>4.2261971013604933</c:v>
                </c:pt>
                <c:pt idx="36">
                  <c:v>4.2437378254725244</c:v>
                </c:pt>
                <c:pt idx="37">
                  <c:v>4.2604382866862718</c:v>
                </c:pt>
                <c:pt idx="38">
                  <c:v>4.2763574500440056</c:v>
                </c:pt>
                <c:pt idx="39">
                  <c:v>4.2915488895676646</c:v>
                </c:pt>
                <c:pt idx="40">
                  <c:v>4.3060613905999388</c:v>
                </c:pt>
                <c:pt idx="41">
                  <c:v>4.3199394731507557</c:v>
                </c:pt>
                <c:pt idx="42">
                  <c:v>4.3332238480771261</c:v>
                </c:pt>
                <c:pt idx="43">
                  <c:v>4.3459518159426249</c:v>
                </c:pt>
                <c:pt idx="44">
                  <c:v>4.3581576167870466</c:v>
                </c:pt>
                <c:pt idx="45">
                  <c:v>4.3698727377132611</c:v>
                </c:pt>
                <c:pt idx="46">
                  <c:v>4.3811261841095215</c:v>
                </c:pt>
                <c:pt idx="47">
                  <c:v>4.3919447194260517</c:v>
                </c:pt>
                <c:pt idx="48">
                  <c:v>4.4023530776787512</c:v>
                </c:pt>
                <c:pt idx="49">
                  <c:v>4.4123741522318198</c:v>
                </c:pt>
                <c:pt idx="50">
                  <c:v>4.4220291638920699</c:v>
                </c:pt>
                <c:pt idx="51">
                  <c:v>4.4313378109125621</c:v>
                </c:pt>
                <c:pt idx="52">
                  <c:v>4.4403184031369856</c:v>
                </c:pt>
                <c:pt idx="53">
                  <c:v>4.4489879822070879</c:v>
                </c:pt>
                <c:pt idx="54">
                  <c:v>4.4573624294937249</c:v>
                </c:pt>
                <c:pt idx="55">
                  <c:v>4.4654565631897452</c:v>
                </c:pt>
                <c:pt idx="56">
                  <c:v>4.4732842258135426</c:v>
                </c:pt>
                <c:pt idx="57">
                  <c:v>4.4808583632103192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F-4F66-97B3-360FC5E52D07}"/>
            </c:ext>
          </c:extLst>
        </c:ser>
        <c:ser>
          <c:idx val="1"/>
          <c:order val="1"/>
          <c:tx>
            <c:v>hor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(MSY!$F$19,MSY!$E$19)</c:f>
              <c:numCache>
                <c:formatCode>General</c:formatCode>
                <c:ptCount val="2"/>
                <c:pt idx="0">
                  <c:v>0</c:v>
                </c:pt>
                <c:pt idx="1">
                  <c:v>36.967898517909518</c:v>
                </c:pt>
              </c:numCache>
            </c:numRef>
          </c:xVal>
          <c:yVal>
            <c:numRef>
              <c:f>(MSY!$E$15,MSY!$E$15)</c:f>
              <c:numCache>
                <c:formatCode>General</c:formatCode>
                <c:ptCount val="2"/>
                <c:pt idx="0">
                  <c:v>4.2758580000000004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F-4F66-97B3-360FC5E52D07}"/>
            </c:ext>
          </c:extLst>
        </c:ser>
        <c:ser>
          <c:idx val="2"/>
          <c:order val="2"/>
          <c:tx>
            <c:v>vert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(MSY!$E$19,MSY!$E$19)</c:f>
              <c:numCache>
                <c:formatCode>General</c:formatCode>
                <c:ptCount val="2"/>
                <c:pt idx="0">
                  <c:v>36.967898517909518</c:v>
                </c:pt>
                <c:pt idx="1">
                  <c:v>36.967898517909518</c:v>
                </c:pt>
              </c:numCache>
            </c:numRef>
          </c:xVal>
          <c:yVal>
            <c:numRef>
              <c:f>MSY!$W$16:$X$16</c:f>
              <c:numCache>
                <c:formatCode>General</c:formatCode>
                <c:ptCount val="2"/>
                <c:pt idx="0">
                  <c:v>0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CF-4F66-97B3-360FC5E52D07}"/>
            </c:ext>
          </c:extLst>
        </c:ser>
        <c:ser>
          <c:idx val="3"/>
          <c:order val="3"/>
          <c:tx>
            <c:v>point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MSY!$E$19</c:f>
              <c:numCache>
                <c:formatCode>General</c:formatCode>
                <c:ptCount val="1"/>
                <c:pt idx="0">
                  <c:v>36.967898517909518</c:v>
                </c:pt>
              </c:numCache>
            </c:numRef>
          </c:xVal>
          <c:yVal>
            <c:numRef>
              <c:f>MSY!$E$15</c:f>
              <c:numCache>
                <c:formatCode>General</c:formatCode>
                <c:ptCount val="1"/>
                <c:pt idx="0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CF-4F66-97B3-360FC5E52D07}"/>
            </c:ext>
          </c:extLst>
        </c:ser>
        <c:ser>
          <c:idx val="4"/>
          <c:order val="4"/>
          <c:tx>
            <c:v>hor2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(MSY!$W$16,MSY!$V$17)</c:f>
              <c:numCache>
                <c:formatCode>General</c:formatCode>
                <c:ptCount val="2"/>
                <c:pt idx="0">
                  <c:v>0</c:v>
                </c:pt>
                <c:pt idx="1">
                  <c:v>12.147382264741063</c:v>
                </c:pt>
              </c:numCache>
            </c:numRef>
          </c:xVal>
          <c:yVal>
            <c:numRef>
              <c:f>(MSY!$V$16,MSY!$V$16)</c:f>
              <c:numCache>
                <c:formatCode>General</c:formatCode>
                <c:ptCount val="2"/>
                <c:pt idx="0">
                  <c:v>3.3534640209256543</c:v>
                </c:pt>
                <c:pt idx="1">
                  <c:v>3.3534640209256543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CF-4F66-97B3-360FC5E52D07}"/>
            </c:ext>
          </c:extLst>
        </c:ser>
        <c:ser>
          <c:idx val="5"/>
          <c:order val="5"/>
          <c:tx>
            <c:v>vert2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01CF-4F66-97B3-360FC5E52D07}"/>
              </c:ext>
            </c:extLst>
          </c:dPt>
          <c:xVal>
            <c:numRef>
              <c:f>(MSY!$V$17,MSY!$V$17)</c:f>
              <c:numCache>
                <c:formatCode>General</c:formatCode>
                <c:ptCount val="2"/>
                <c:pt idx="0">
                  <c:v>12.147382264741063</c:v>
                </c:pt>
                <c:pt idx="1">
                  <c:v>12.147382264741063</c:v>
                </c:pt>
              </c:numCache>
            </c:numRef>
          </c:xVal>
          <c:yVal>
            <c:numRef>
              <c:f>(MSY!$W$16,MSY!$V$16)</c:f>
              <c:numCache>
                <c:formatCode>General</c:formatCode>
                <c:ptCount val="2"/>
                <c:pt idx="0">
                  <c:v>0</c:v>
                </c:pt>
                <c:pt idx="1">
                  <c:v>3.3534640209256543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CF-4F66-97B3-360FC5E52D07}"/>
            </c:ext>
          </c:extLst>
        </c:ser>
        <c:ser>
          <c:idx val="6"/>
          <c:order val="6"/>
          <c:tx>
            <c:v>point2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(MSY!$V$17,MSY!$V$17)</c:f>
              <c:numCache>
                <c:formatCode>General</c:formatCode>
                <c:ptCount val="2"/>
                <c:pt idx="0">
                  <c:v>12.147382264741063</c:v>
                </c:pt>
                <c:pt idx="1">
                  <c:v>12.147382264741063</c:v>
                </c:pt>
              </c:numCache>
            </c:numRef>
          </c:xVal>
          <c:yVal>
            <c:numRef>
              <c:f>(MSY!$V$16,MSY!$V$16)</c:f>
              <c:numCache>
                <c:formatCode>General</c:formatCode>
                <c:ptCount val="2"/>
                <c:pt idx="0">
                  <c:v>3.3534640209256543</c:v>
                </c:pt>
                <c:pt idx="1">
                  <c:v>3.3534640209256543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CF-4F66-97B3-360FC5E5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</c:scaling>
        <c:delete val="0"/>
        <c:axPos val="b"/>
        <c:title>
          <c:tx>
            <c:strRef>
              <c:f>'SRR and Yield'!$AC$1</c:f>
              <c:strCache>
                <c:ptCount val="1"/>
                <c:pt idx="0">
                  <c:v>SSB (kt)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5"/>
        </c:scaling>
        <c:delete val="0"/>
        <c:axPos val="l"/>
        <c:title>
          <c:tx>
            <c:strRef>
              <c:f>'SRR and Yield'!$AB$1</c:f>
              <c:strCache>
                <c:ptCount val="1"/>
                <c:pt idx="0">
                  <c:v>Recruitment (10^9)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MSY!$F$44:$F$547</c:f>
              <c:numCache>
                <c:formatCode>General</c:formatCode>
                <c:ptCount val="504"/>
                <c:pt idx="0">
                  <c:v>36.967694044555962</c:v>
                </c:pt>
                <c:pt idx="1">
                  <c:v>35.023533485958886</c:v>
                </c:pt>
                <c:pt idx="2">
                  <c:v>33.261544788467582</c:v>
                </c:pt>
                <c:pt idx="3">
                  <c:v>31.65795705596577</c:v>
                </c:pt>
                <c:pt idx="4">
                  <c:v>30.192792894343413</c:v>
                </c:pt>
                <c:pt idx="5">
                  <c:v>28.849274201752682</c:v>
                </c:pt>
                <c:pt idx="6">
                  <c:v>27.613207535201237</c:v>
                </c:pt>
                <c:pt idx="7">
                  <c:v>26.472505878191477</c:v>
                </c:pt>
                <c:pt idx="8">
                  <c:v>25.416812755848127</c:v>
                </c:pt>
                <c:pt idx="9">
                  <c:v>24.437204025532836</c:v>
                </c:pt>
                <c:pt idx="10">
                  <c:v>23.525949241667259</c:v>
                </c:pt>
                <c:pt idx="11">
                  <c:v>22.676319158963373</c:v>
                </c:pt>
                <c:pt idx="12">
                  <c:v>21.88242929315776</c:v>
                </c:pt>
                <c:pt idx="13">
                  <c:v>21.139111899347601</c:v>
                </c:pt>
                <c:pt idx="14">
                  <c:v>20.441810523614382</c:v>
                </c:pt>
                <c:pt idx="15">
                  <c:v>19.786492617997865</c:v>
                </c:pt>
                <c:pt idx="16">
                  <c:v>19.169576710023843</c:v>
                </c:pt>
                <c:pt idx="17">
                  <c:v>18.587871375863898</c:v>
                </c:pt>
                <c:pt idx="18">
                  <c:v>18.03852384476566</c:v>
                </c:pt>
                <c:pt idx="19">
                  <c:v>17.51897650757142</c:v>
                </c:pt>
                <c:pt idx="20">
                  <c:v>17.02692994725307</c:v>
                </c:pt>
                <c:pt idx="21">
                  <c:v>16.560311378816806</c:v>
                </c:pt>
                <c:pt idx="22">
                  <c:v>16.11724759767597</c:v>
                </c:pt>
                <c:pt idx="23">
                  <c:v>15.696041703055343</c:v>
                </c:pt>
                <c:pt idx="24">
                  <c:v>15.29515299623203</c:v>
                </c:pt>
                <c:pt idx="25">
                  <c:v>14.913179560032866</c:v>
                </c:pt>
                <c:pt idx="26">
                  <c:v>14.54884311178243</c:v>
                </c:pt>
                <c:pt idx="27">
                  <c:v>14.200975791256885</c:v>
                </c:pt>
                <c:pt idx="28">
                  <c:v>13.86850860156645</c:v>
                </c:pt>
                <c:pt idx="29">
                  <c:v>13.550461266910602</c:v>
                </c:pt>
                <c:pt idx="30">
                  <c:v>13.245933308894308</c:v>
                </c:pt>
                <c:pt idx="31">
                  <c:v>12.954096174182045</c:v>
                </c:pt>
                <c:pt idx="32">
                  <c:v>12.674186271977357</c:v>
                </c:pt>
                <c:pt idx="33">
                  <c:v>12.405498801164498</c:v>
                </c:pt>
                <c:pt idx="34">
                  <c:v>12.147382264741063</c:v>
                </c:pt>
                <c:pt idx="35">
                  <c:v>11.899233584053899</c:v>
                </c:pt>
                <c:pt idx="36">
                  <c:v>11.660493737842945</c:v>
                </c:pt>
                <c:pt idx="37">
                  <c:v>11.430643861619425</c:v>
                </c:pt>
                <c:pt idx="38">
                  <c:v>11.209201751794087</c:v>
                </c:pt>
                <c:pt idx="39">
                  <c:v>10.995718726505999</c:v>
                </c:pt>
                <c:pt idx="40">
                  <c:v>10.789776801507063</c:v>
                </c:pt>
                <c:pt idx="41">
                  <c:v>10.590986144917974</c:v>
                </c:pt>
                <c:pt idx="42">
                  <c:v>10.398982779339436</c:v>
                </c:pt>
                <c:pt idx="43">
                  <c:v>10.213426503804175</c:v>
                </c:pt>
                <c:pt idx="44">
                  <c:v>10.033999011494213</c:v>
                </c:pt>
                <c:pt idx="45">
                  <c:v>9.8604021821113488</c:v>
                </c:pt>
                <c:pt idx="46">
                  <c:v>9.6923565303477819</c:v>
                </c:pt>
                <c:pt idx="47">
                  <c:v>9.5295997941196227</c:v>
                </c:pt>
                <c:pt idx="48">
                  <c:v>9.3718856481482433</c:v>
                </c:pt>
                <c:pt idx="49">
                  <c:v>9.2189825301465955</c:v>
                </c:pt>
                <c:pt idx="50">
                  <c:v>9.0706725683241558</c:v>
                </c:pt>
                <c:pt idx="51">
                  <c:v>8.9267506001966002</c:v>
                </c:pt>
                <c:pt idx="52">
                  <c:v>8.7870232737996758</c:v>
                </c:pt>
                <c:pt idx="53">
                  <c:v>8.6513082233825429</c:v>
                </c:pt>
                <c:pt idx="54">
                  <c:v>8.5194333125134314</c:v>
                </c:pt>
                <c:pt idx="55">
                  <c:v>8.39123593828484</c:v>
                </c:pt>
                <c:pt idx="56">
                  <c:v>8.2665623909706198</c:v>
                </c:pt>
                <c:pt idx="57">
                  <c:v>8.145267264074656</c:v>
                </c:pt>
                <c:pt idx="58">
                  <c:v>8.0272129102307002</c:v>
                </c:pt>
                <c:pt idx="59">
                  <c:v>7.9122689388729395</c:v>
                </c:pt>
                <c:pt idx="60">
                  <c:v>7.8003117520057694</c:v>
                </c:pt>
                <c:pt idx="61">
                  <c:v>7.6912241147644185</c:v>
                </c:pt>
                <c:pt idx="62">
                  <c:v>7.584894757781214</c:v>
                </c:pt>
                <c:pt idx="63">
                  <c:v>7.4812180086607452</c:v>
                </c:pt>
                <c:pt idx="64">
                  <c:v>7.3800934501243711</c:v>
                </c:pt>
                <c:pt idx="65">
                  <c:v>7.2814256026146635</c:v>
                </c:pt>
                <c:pt idx="66">
                  <c:v>7.1851236293564282</c:v>
                </c:pt>
                <c:pt idx="67">
                  <c:v>7.0911010620555874</c:v>
                </c:pt>
                <c:pt idx="68">
                  <c:v>6.9992755455828739</c:v>
                </c:pt>
                <c:pt idx="69">
                  <c:v>6.9095686001384689</c:v>
                </c:pt>
                <c:pt idx="70">
                  <c:v>6.8219053995276981</c:v>
                </c:pt>
                <c:pt idx="71">
                  <c:v>6.7362145642986979</c:v>
                </c:pt>
                <c:pt idx="72">
                  <c:v>6.652427968601935</c:v>
                </c:pt>
                <c:pt idx="73">
                  <c:v>6.5704805597300089</c:v>
                </c:pt>
                <c:pt idx="74">
                  <c:v>6.4903101893850099</c:v>
                </c:pt>
                <c:pt idx="75">
                  <c:v>6.4118574558012575</c:v>
                </c:pt>
                <c:pt idx="76">
                  <c:v>6.3350655559243378</c:v>
                </c:pt>
                <c:pt idx="77">
                  <c:v>6.2598801469134449</c:v>
                </c:pt>
                <c:pt idx="78">
                  <c:v>6.186249216294188</c:v>
                </c:pt>
                <c:pt idx="79">
                  <c:v>6.1141229601436899</c:v>
                </c:pt>
                <c:pt idx="80">
                  <c:v>6.043453668739402</c:v>
                </c:pt>
                <c:pt idx="81">
                  <c:v>5.9741956191485182</c:v>
                </c:pt>
                <c:pt idx="82">
                  <c:v>5.9063049742758631</c:v>
                </c:pt>
                <c:pt idx="83">
                  <c:v>5.8397396879261372</c:v>
                </c:pt>
                <c:pt idx="84">
                  <c:v>5.774459415470421</c:v>
                </c:pt>
                <c:pt idx="85">
                  <c:v>5.7104254297385415</c:v>
                </c:pt>
                <c:pt idx="86">
                  <c:v>5.6476005417874999</c:v>
                </c:pt>
                <c:pt idx="87">
                  <c:v>5.5859490262226164</c:v>
                </c:pt>
                <c:pt idx="88">
                  <c:v>5.5254365507720431</c:v>
                </c:pt>
                <c:pt idx="89">
                  <c:v>5.4660301098374875</c:v>
                </c:pt>
                <c:pt idx="90">
                  <c:v>5.4076979617643417</c:v>
                </c:pt>
                <c:pt idx="91">
                  <c:v>5.3504095695930518</c:v>
                </c:pt>
                <c:pt idx="92">
                  <c:v>5.2941355450705867</c:v>
                </c:pt>
                <c:pt idx="93">
                  <c:v>5.2388475957168401</c:v>
                </c:pt>
                <c:pt idx="94">
                  <c:v>5.1845184747553104</c:v>
                </c:pt>
                <c:pt idx="95">
                  <c:v>5.1311219337305429</c:v>
                </c:pt>
                <c:pt idx="96">
                  <c:v>5.0786326776475299</c:v>
                </c:pt>
                <c:pt idx="97">
                  <c:v>5.0270263224794238</c:v>
                </c:pt>
                <c:pt idx="98">
                  <c:v>4.9762793549003961</c:v>
                </c:pt>
                <c:pt idx="99">
                  <c:v>4.9263690941104397</c:v>
                </c:pt>
                <c:pt idx="100">
                  <c:v>4.8772736556276559</c:v>
                </c:pt>
                <c:pt idx="101">
                  <c:v>4.8289719169319358</c:v>
                </c:pt>
                <c:pt idx="102">
                  <c:v>4.7814434848518053</c:v>
                </c:pt>
                <c:pt idx="103">
                  <c:v>4.7346686645930793</c:v>
                </c:pt>
                <c:pt idx="104">
                  <c:v>4.6886284303147541</c:v>
                </c:pt>
                <c:pt idx="105">
                  <c:v>4.6433043971636705</c:v>
                </c:pt>
                <c:pt idx="106">
                  <c:v>4.5986787946851244</c:v>
                </c:pt>
                <c:pt idx="107">
                  <c:v>4.5547344415318909</c:v>
                </c:pt>
                <c:pt idx="108">
                  <c:v>4.5114547213991445</c:v>
                </c:pt>
                <c:pt idx="109">
                  <c:v>4.4688235601170954</c:v>
                </c:pt>
                <c:pt idx="110">
                  <c:v>4.426825403837662</c:v>
                </c:pt>
                <c:pt idx="111">
                  <c:v>4.3854451982553124</c:v>
                </c:pt>
                <c:pt idx="112">
                  <c:v>4.3446683688058769</c:v>
                </c:pt>
                <c:pt idx="113">
                  <c:v>4.304480801790616</c:v>
                </c:pt>
                <c:pt idx="114">
                  <c:v>4.2648688263760377</c:v>
                </c:pt>
                <c:pt idx="115">
                  <c:v>4.2258191974228669</c:v>
                </c:pt>
                <c:pt idx="116">
                  <c:v>4.1873190791004227</c:v>
                </c:pt>
                <c:pt idx="117">
                  <c:v>4.1493560292452152</c:v>
                </c:pt>
                <c:pt idx="118">
                  <c:v>4.1119179844250127</c:v>
                </c:pt>
                <c:pt idx="119">
                  <c:v>4.0749932456719424</c:v>
                </c:pt>
                <c:pt idx="120">
                  <c:v>4.0385704648501921</c:v>
                </c:pt>
                <c:pt idx="121">
                  <c:v>4.002638631626029</c:v>
                </c:pt>
                <c:pt idx="122">
                  <c:v>3.9671870610095361</c:v>
                </c:pt>
                <c:pt idx="123">
                  <c:v>3.9322053814393496</c:v>
                </c:pt>
                <c:pt idx="124">
                  <c:v>3.8976835233832214</c:v>
                </c:pt>
                <c:pt idx="125">
                  <c:v>3.863611708428798</c:v>
                </c:pt>
                <c:pt idx="126">
                  <c:v>3.8299804388404048</c:v>
                </c:pt>
                <c:pt idx="127">
                  <c:v>3.7967804875590256</c:v>
                </c:pt>
                <c:pt idx="128">
                  <c:v>3.7640028886238559</c:v>
                </c:pt>
                <c:pt idx="129">
                  <c:v>3.7316389279950415</c:v>
                </c:pt>
                <c:pt idx="130">
                  <c:v>3.6996801347582968</c:v>
                </c:pt>
                <c:pt idx="131">
                  <c:v>3.6681182726931896</c:v>
                </c:pt>
                <c:pt idx="132">
                  <c:v>3.6369453321877776</c:v>
                </c:pt>
                <c:pt idx="133">
                  <c:v>3.6061535224832646</c:v>
                </c:pt>
                <c:pt idx="134">
                  <c:v>3.5757352642332547</c:v>
                </c:pt>
                <c:pt idx="135">
                  <c:v>3.5456831823628225</c:v>
                </c:pt>
                <c:pt idx="136">
                  <c:v>3.5159900992136581</c:v>
                </c:pt>
                <c:pt idx="137">
                  <c:v>3.4866490279619895</c:v>
                </c:pt>
                <c:pt idx="138">
                  <c:v>3.4576531662968875</c:v>
                </c:pt>
                <c:pt idx="139">
                  <c:v>3.4289958903470623</c:v>
                </c:pt>
                <c:pt idx="140">
                  <c:v>3.4006707488449157</c:v>
                </c:pt>
                <c:pt idx="141">
                  <c:v>3.3726714575172618</c:v>
                </c:pt>
                <c:pt idx="142">
                  <c:v>3.3449918936924545</c:v>
                </c:pt>
                <c:pt idx="143">
                  <c:v>3.3176260911144451</c:v>
                </c:pt>
                <c:pt idx="144">
                  <c:v>3.2905682349545518</c:v>
                </c:pt>
                <c:pt idx="145">
                  <c:v>3.2638126570123087</c:v>
                </c:pt>
                <c:pt idx="146">
                  <c:v>3.237353831097098</c:v>
                </c:pt>
                <c:pt idx="147">
                  <c:v>3.2111863685827737</c:v>
                </c:pt>
                <c:pt idx="148">
                  <c:v>3.1853050141277799</c:v>
                </c:pt>
                <c:pt idx="149">
                  <c:v>3.1597046415536769</c:v>
                </c:pt>
                <c:pt idx="150">
                  <c:v>3.1343802498753233</c:v>
                </c:pt>
                <c:pt idx="151">
                  <c:v>3.1093269594762734</c:v>
                </c:pt>
                <c:pt idx="152">
                  <c:v>3.0845400084232861</c:v>
                </c:pt>
                <c:pt idx="153">
                  <c:v>3.0600147489140896</c:v>
                </c:pt>
                <c:pt idx="154">
                  <c:v>3.0357466438528649</c:v>
                </c:pt>
                <c:pt idx="155">
                  <c:v>3.011731263548147</c:v>
                </c:pt>
                <c:pt idx="156">
                  <c:v>2.9879642825280892</c:v>
                </c:pt>
                <c:pt idx="157">
                  <c:v>2.9644414764682918</c:v>
                </c:pt>
                <c:pt idx="158">
                  <c:v>2.9411587192275968</c:v>
                </c:pt>
                <c:pt idx="159">
                  <c:v>2.9181119799874535</c:v>
                </c:pt>
                <c:pt idx="160">
                  <c:v>2.8952973204907417</c:v>
                </c:pt>
                <c:pt idx="161">
                  <c:v>2.8727108923759426</c:v>
                </c:pt>
                <c:pt idx="162">
                  <c:v>2.8503489346029962</c:v>
                </c:pt>
                <c:pt idx="163">
                  <c:v>2.8282077709670994</c:v>
                </c:pt>
                <c:pt idx="164">
                  <c:v>2.8062838076970174</c:v>
                </c:pt>
                <c:pt idx="165">
                  <c:v>2.7845735311345661</c:v>
                </c:pt>
                <c:pt idx="166">
                  <c:v>2.7630735054921454</c:v>
                </c:pt>
                <c:pt idx="167">
                  <c:v>2.7417803706852202</c:v>
                </c:pt>
                <c:pt idx="168">
                  <c:v>2.7206908402369194</c:v>
                </c:pt>
                <c:pt idx="169">
                  <c:v>2.6998016992519127</c:v>
                </c:pt>
                <c:pt idx="170">
                  <c:v>2.6791098024569844</c:v>
                </c:pt>
                <c:pt idx="171">
                  <c:v>2.6586120723057149</c:v>
                </c:pt>
                <c:pt idx="172">
                  <c:v>2.6383054971448745</c:v>
                </c:pt>
                <c:pt idx="173">
                  <c:v>2.6181871294401682</c:v>
                </c:pt>
                <c:pt idx="174">
                  <c:v>2.5982540840591559</c:v>
                </c:pt>
                <c:pt idx="175">
                  <c:v>2.578503536609186</c:v>
                </c:pt>
                <c:pt idx="176">
                  <c:v>2.558932721828298</c:v>
                </c:pt>
                <c:pt idx="177">
                  <c:v>2.5395389320271478</c:v>
                </c:pt>
                <c:pt idx="178">
                  <c:v>2.5203195155801179</c:v>
                </c:pt>
                <c:pt idx="179">
                  <c:v>2.5012718754637233</c:v>
                </c:pt>
                <c:pt idx="180">
                  <c:v>2.4823934678407071</c:v>
                </c:pt>
                <c:pt idx="181">
                  <c:v>2.4636818006880765</c:v>
                </c:pt>
                <c:pt idx="182">
                  <c:v>2.4451344324675701</c:v>
                </c:pt>
                <c:pt idx="183">
                  <c:v>2.4267489708369903</c:v>
                </c:pt>
                <c:pt idx="184">
                  <c:v>2.4085230714009507</c:v>
                </c:pt>
                <c:pt idx="185">
                  <c:v>2.3904544364996672</c:v>
                </c:pt>
                <c:pt idx="186">
                  <c:v>2.3725408140344277</c:v>
                </c:pt>
                <c:pt idx="187">
                  <c:v>2.3547799963284533</c:v>
                </c:pt>
                <c:pt idx="188">
                  <c:v>2.3371698190219115</c:v>
                </c:pt>
                <c:pt idx="189">
                  <c:v>2.3197081599999185</c:v>
                </c:pt>
                <c:pt idx="190">
                  <c:v>2.3023929383523463</c:v>
                </c:pt>
                <c:pt idx="191">
                  <c:v>2.2852221133643771</c:v>
                </c:pt>
                <c:pt idx="192">
                  <c:v>2.2681936835367313</c:v>
                </c:pt>
                <c:pt idx="193">
                  <c:v>2.2513056856345619</c:v>
                </c:pt>
                <c:pt idx="194">
                  <c:v>2.2345561937640461</c:v>
                </c:pt>
                <c:pt idx="195">
                  <c:v>2.2179433184757036</c:v>
                </c:pt>
                <c:pt idx="196">
                  <c:v>2.2014652058936162</c:v>
                </c:pt>
                <c:pt idx="197">
                  <c:v>2.185120036869594</c:v>
                </c:pt>
                <c:pt idx="198">
                  <c:v>2.1689060261615367</c:v>
                </c:pt>
                <c:pt idx="199">
                  <c:v>2.1528214216350974</c:v>
                </c:pt>
                <c:pt idx="200">
                  <c:v>2.1368645034879949</c:v>
                </c:pt>
                <c:pt idx="201">
                  <c:v>2.1210335834961036</c:v>
                </c:pt>
                <c:pt idx="202">
                  <c:v>2.1053270042807166</c:v>
                </c:pt>
                <c:pt idx="203">
                  <c:v>2.0897431385962215</c:v>
                </c:pt>
                <c:pt idx="204">
                  <c:v>2.0742803886375594</c:v>
                </c:pt>
                <c:pt idx="205">
                  <c:v>2.0589371853668204</c:v>
                </c:pt>
                <c:pt idx="206">
                  <c:v>2.0437119878583401</c:v>
                </c:pt>
                <c:pt idx="207">
                  <c:v>2.0286032826617877</c:v>
                </c:pt>
                <c:pt idx="208">
                  <c:v>2.0136095831825211</c:v>
                </c:pt>
                <c:pt idx="209">
                  <c:v>1.9987294290788249</c:v>
                </c:pt>
                <c:pt idx="210">
                  <c:v>1.9839613856753942</c:v>
                </c:pt>
                <c:pt idx="211">
                  <c:v>1.9693040433925821</c:v>
                </c:pt>
                <c:pt idx="212">
                  <c:v>1.9547560171909275</c:v>
                </c:pt>
                <c:pt idx="213">
                  <c:v>1.9403159460304791</c:v>
                </c:pt>
                <c:pt idx="214">
                  <c:v>1.9259824923444477</c:v>
                </c:pt>
                <c:pt idx="215">
                  <c:v>1.9117543415267819</c:v>
                </c:pt>
                <c:pt idx="216">
                  <c:v>1.8976302014331596</c:v>
                </c:pt>
                <c:pt idx="217">
                  <c:v>1.8836088018950969</c:v>
                </c:pt>
                <c:pt idx="218">
                  <c:v>1.8696888942466638</c:v>
                </c:pt>
                <c:pt idx="219">
                  <c:v>1.8558692508635077</c:v>
                </c:pt>
                <c:pt idx="220">
                  <c:v>1.8421486647137522</c:v>
                </c:pt>
                <c:pt idx="221">
                  <c:v>1.8285259489204693</c:v>
                </c:pt>
                <c:pt idx="222">
                  <c:v>1.8149999363353293</c:v>
                </c:pt>
                <c:pt idx="223">
                  <c:v>1.8015694791231156</c:v>
                </c:pt>
                <c:pt idx="224">
                  <c:v>1.7882334483567965</c:v>
                </c:pt>
                <c:pt idx="225">
                  <c:v>1.7749907336228199</c:v>
                </c:pt>
                <c:pt idx="226">
                  <c:v>1.761840242636328</c:v>
                </c:pt>
                <c:pt idx="227">
                  <c:v>1.7487809008660185</c:v>
                </c:pt>
                <c:pt idx="228">
                  <c:v>1.7358116511683661</c:v>
                </c:pt>
                <c:pt idx="229">
                  <c:v>1.7229314534309148</c:v>
                </c:pt>
                <c:pt idx="230">
                  <c:v>1.7101392842244152</c:v>
                </c:pt>
                <c:pt idx="231">
                  <c:v>1.6974341364634797</c:v>
                </c:pt>
                <c:pt idx="232">
                  <c:v>1.6848150190756279</c:v>
                </c:pt>
                <c:pt idx="233">
                  <c:v>1.6722809566783503</c:v>
                </c:pt>
                <c:pt idx="234">
                  <c:v>1.6598309892640579</c:v>
                </c:pt>
                <c:pt idx="235">
                  <c:v>1.6474641718926553</c:v>
                </c:pt>
                <c:pt idx="236">
                  <c:v>1.6351795743915261</c:v>
                </c:pt>
                <c:pt idx="237">
                  <c:v>1.6229762810627189</c:v>
                </c:pt>
                <c:pt idx="238">
                  <c:v>1.6108533903971385</c:v>
                </c:pt>
                <c:pt idx="239">
                  <c:v>1.5988100147955462</c:v>
                </c:pt>
                <c:pt idx="240">
                  <c:v>1.5868452802961823</c:v>
                </c:pt>
                <c:pt idx="241">
                  <c:v>1.5749583263088207</c:v>
                </c:pt>
                <c:pt idx="242">
                  <c:v>1.5631483053550606</c:v>
                </c:pt>
                <c:pt idx="243">
                  <c:v>1.551414382814742</c:v>
                </c:pt>
                <c:pt idx="244">
                  <c:v>1.5397557366782524</c:v>
                </c:pt>
                <c:pt idx="245">
                  <c:v>1.528171557304592</c:v>
                </c:pt>
                <c:pt idx="246">
                  <c:v>1.5166610471850543</c:v>
                </c:pt>
                <c:pt idx="247">
                  <c:v>1.5052234207123438</c:v>
                </c:pt>
                <c:pt idx="248">
                  <c:v>1.4938579039549995</c:v>
                </c:pt>
                <c:pt idx="249">
                  <c:v>1.4825637344369889</c:v>
                </c:pt>
                <c:pt idx="250">
                  <c:v>1.4713401609222891</c:v>
                </c:pt>
                <c:pt idx="251">
                  <c:v>1.4601864432044256</c:v>
                </c:pt>
                <c:pt idx="252">
                  <c:v>1.4491018519006784</c:v>
                </c:pt>
                <c:pt idx="253">
                  <c:v>1.4380856682510124</c:v>
                </c:pt>
                <c:pt idx="254">
                  <c:v>1.4271371839214588</c:v>
                </c:pt>
                <c:pt idx="255">
                  <c:v>1.4162557008118908</c:v>
                </c:pt>
                <c:pt idx="256">
                  <c:v>1.4054405308681255</c:v>
                </c:pt>
                <c:pt idx="257">
                  <c:v>1.3946909958981495</c:v>
                </c:pt>
                <c:pt idx="258">
                  <c:v>1.3840064273924026</c:v>
                </c:pt>
                <c:pt idx="259">
                  <c:v>1.3733861663480467</c:v>
                </c:pt>
                <c:pt idx="260">
                  <c:v>1.3628295630970511</c:v>
                </c:pt>
                <c:pt idx="261">
                  <c:v>1.3523359771380639</c:v>
                </c:pt>
                <c:pt idx="262">
                  <c:v>1.3419047769719201</c:v>
                </c:pt>
                <c:pt idx="263">
                  <c:v>1.3315353399407219</c:v>
                </c:pt>
                <c:pt idx="264">
                  <c:v>1.3212270520703742</c:v>
                </c:pt>
                <c:pt idx="265">
                  <c:v>1.310979307916553</c:v>
                </c:pt>
                <c:pt idx="266">
                  <c:v>1.3007915104139214</c:v>
                </c:pt>
                <c:pt idx="267">
                  <c:v>1.2906630707286006</c:v>
                </c:pt>
                <c:pt idx="268">
                  <c:v>1.280593408113754</c:v>
                </c:pt>
                <c:pt idx="269">
                  <c:v>1.2705819497682644</c:v>
                </c:pt>
                <c:pt idx="270">
                  <c:v>1.2606281306983569</c:v>
                </c:pt>
                <c:pt idx="271">
                  <c:v>1.2507313935821485</c:v>
                </c:pt>
                <c:pt idx="272">
                  <c:v>1.2408911886370519</c:v>
                </c:pt>
                <c:pt idx="273">
                  <c:v>1.2311069734899232</c:v>
                </c:pt>
                <c:pt idx="274">
                  <c:v>1.2213782130499229</c:v>
                </c:pt>
                <c:pt idx="275">
                  <c:v>1.2117043793840203</c:v>
                </c:pt>
                <c:pt idx="276">
                  <c:v>1.2020849515950434</c:v>
                </c:pt>
                <c:pt idx="277">
                  <c:v>1.1925194157022745</c:v>
                </c:pt>
                <c:pt idx="278">
                  <c:v>1.1830072645244603</c:v>
                </c:pt>
                <c:pt idx="279">
                  <c:v>1.173547997565235</c:v>
                </c:pt>
                <c:pt idx="280">
                  <c:v>1.1641411209008723</c:v>
                </c:pt>
                <c:pt idx="281">
                  <c:v>1.1547861470702989</c:v>
                </c:pt>
                <c:pt idx="282">
                  <c:v>1.1454825949673564</c:v>
                </c:pt>
                <c:pt idx="283">
                  <c:v>1.1362299897352157</c:v>
                </c:pt>
                <c:pt idx="284">
                  <c:v>1.1270278626629104</c:v>
                </c:pt>
                <c:pt idx="285">
                  <c:v>1.1178757510839592</c:v>
                </c:pt>
                <c:pt idx="286">
                  <c:v>1.1087731982769857</c:v>
                </c:pt>
                <c:pt idx="287">
                  <c:v>1.099719753368317</c:v>
                </c:pt>
                <c:pt idx="288">
                  <c:v>1.090714971236534</c:v>
                </c:pt>
                <c:pt idx="289">
                  <c:v>1.0817584124188644</c:v>
                </c:pt>
                <c:pt idx="290">
                  <c:v>1.0728496430194476</c:v>
                </c:pt>
                <c:pt idx="291">
                  <c:v>1.0639882346193961</c:v>
                </c:pt>
                <c:pt idx="292">
                  <c:v>1.055173764188581</c:v>
                </c:pt>
                <c:pt idx="293">
                  <c:v>1.0464058139991796</c:v>
                </c:pt>
                <c:pt idx="294">
                  <c:v>1.037683971540855</c:v>
                </c:pt>
                <c:pt idx="295">
                  <c:v>1.0290078294376113</c:v>
                </c:pt>
                <c:pt idx="296">
                  <c:v>1.0203769853662314</c:v>
                </c:pt>
                <c:pt idx="297">
                  <c:v>1.0117910419762768</c:v>
                </c:pt>
                <c:pt idx="298">
                  <c:v>1.0032496068116272</c:v>
                </c:pt>
                <c:pt idx="299">
                  <c:v>0.99475229223352124</c:v>
                </c:pt>
                <c:pt idx="300">
                  <c:v>0.98629871534503888</c:v>
                </c:pt>
                <c:pt idx="301">
                  <c:v>0.97788849791703492</c:v>
                </c:pt>
                <c:pt idx="302">
                  <c:v>0.96952126631546387</c:v>
                </c:pt>
                <c:pt idx="303">
                  <c:v>0.96119665143006983</c:v>
                </c:pt>
                <c:pt idx="304">
                  <c:v>0.95291428860440486</c:v>
                </c:pt>
                <c:pt idx="305">
                  <c:v>0.94467381756717994</c:v>
                </c:pt>
                <c:pt idx="306">
                  <c:v>0.93647488236486232</c:v>
                </c:pt>
                <c:pt idx="307">
                  <c:v>0.92831713129556193</c:v>
                </c:pt>
                <c:pt idx="308">
                  <c:v>0.92020021684410724</c:v>
                </c:pt>
                <c:pt idx="309">
                  <c:v>0.91212379561833257</c:v>
                </c:pt>
                <c:pt idx="310">
                  <c:v>0.90408752828655048</c:v>
                </c:pt>
                <c:pt idx="311">
                  <c:v>0.89609107951613531</c:v>
                </c:pt>
                <c:pt idx="312">
                  <c:v>0.88813411791327146</c:v>
                </c:pt>
                <c:pt idx="313">
                  <c:v>0.8802163159637646</c:v>
                </c:pt>
                <c:pt idx="314">
                  <c:v>0.87233734997494705</c:v>
                </c:pt>
                <c:pt idx="315">
                  <c:v>0.86449690001862023</c:v>
                </c:pt>
                <c:pt idx="316">
                  <c:v>0.85669464987504662</c:v>
                </c:pt>
                <c:pt idx="317">
                  <c:v>0.84893028697792505</c:v>
                </c:pt>
                <c:pt idx="318">
                  <c:v>0.8412035023603589</c:v>
                </c:pt>
                <c:pt idx="319">
                  <c:v>0.83351399060181919</c:v>
                </c:pt>
                <c:pt idx="320">
                  <c:v>0.82586144977599041</c:v>
                </c:pt>
                <c:pt idx="321">
                  <c:v>0.81824558139961079</c:v>
                </c:pt>
                <c:pt idx="322">
                  <c:v>0.81066609038217152</c:v>
                </c:pt>
                <c:pt idx="323">
                  <c:v>0.80312268497651917</c:v>
                </c:pt>
                <c:pt idx="324">
                  <c:v>0.79561507673032805</c:v>
                </c:pt>
                <c:pt idx="325">
                  <c:v>0.7881429804384269</c:v>
                </c:pt>
                <c:pt idx="326">
                  <c:v>0.78070611409594748</c:v>
                </c:pt>
                <c:pt idx="327">
                  <c:v>0.77330419885229851</c:v>
                </c:pt>
                <c:pt idx="328">
                  <c:v>0.76593695896593572</c:v>
                </c:pt>
                <c:pt idx="329">
                  <c:v>0.75860412175992598</c:v>
                </c:pt>
                <c:pt idx="330">
                  <c:v>0.75130541757825697</c:v>
                </c:pt>
                <c:pt idx="331">
                  <c:v>0.74404057974291571</c:v>
                </c:pt>
                <c:pt idx="332">
                  <c:v>0.73680934451171054</c:v>
                </c:pt>
                <c:pt idx="333">
                  <c:v>0.72961145103679292</c:v>
                </c:pt>
                <c:pt idx="334">
                  <c:v>0.72244664132390057</c:v>
                </c:pt>
                <c:pt idx="335">
                  <c:v>0.71531466019229617</c:v>
                </c:pt>
                <c:pt idx="336">
                  <c:v>0.70821525523538797</c:v>
                </c:pt>
                <c:pt idx="337">
                  <c:v>0.70114817678198971</c:v>
                </c:pt>
                <c:pt idx="338">
                  <c:v>0.69411317785827276</c:v>
                </c:pt>
                <c:pt idx="339">
                  <c:v>0.68711001415033479</c:v>
                </c:pt>
                <c:pt idx="340">
                  <c:v>0.6801384439673972</c:v>
                </c:pt>
                <c:pt idx="341">
                  <c:v>0.67319822820562003</c:v>
                </c:pt>
                <c:pt idx="342">
                  <c:v>0.66628913031252734</c:v>
                </c:pt>
                <c:pt idx="343">
                  <c:v>0.65941091625201464</c:v>
                </c:pt>
                <c:pt idx="344">
                  <c:v>0.65256335446992741</c:v>
                </c:pt>
                <c:pt idx="345">
                  <c:v>0.64574621586024372</c:v>
                </c:pt>
                <c:pt idx="346">
                  <c:v>0.63895927373176031</c:v>
                </c:pt>
                <c:pt idx="347">
                  <c:v>0.63220230377538322</c:v>
                </c:pt>
                <c:pt idx="348">
                  <c:v>0.62547508403190111</c:v>
                </c:pt>
                <c:pt idx="349">
                  <c:v>0.6187773948603249</c:v>
                </c:pt>
                <c:pt idx="350">
                  <c:v>0.61210901890672875</c:v>
                </c:pt>
                <c:pt idx="351">
                  <c:v>0.60546974107358398</c:v>
                </c:pt>
                <c:pt idx="352">
                  <c:v>0.59885934848961753</c:v>
                </c:pt>
                <c:pt idx="353">
                  <c:v>0.59227763048012882</c:v>
                </c:pt>
                <c:pt idx="354">
                  <c:v>0.58572437853780113</c:v>
                </c:pt>
                <c:pt idx="355">
                  <c:v>0.57919938629397671</c:v>
                </c:pt>
                <c:pt idx="356">
                  <c:v>0.57270244949039983</c:v>
                </c:pt>
                <c:pt idx="357">
                  <c:v>0.56623336595139206</c:v>
                </c:pt>
                <c:pt idx="358">
                  <c:v>0.55979193555649009</c:v>
                </c:pt>
                <c:pt idx="359">
                  <c:v>0.55337796021350594</c:v>
                </c:pt>
                <c:pt idx="360">
                  <c:v>0.54699124383202258</c:v>
                </c:pt>
                <c:pt idx="361">
                  <c:v>0.54063159229730751</c:v>
                </c:pt>
                <c:pt idx="362">
                  <c:v>0.53429881344461683</c:v>
                </c:pt>
                <c:pt idx="363">
                  <c:v>0.52799271703393347</c:v>
                </c:pt>
                <c:pt idx="364">
                  <c:v>0.52171311472508564</c:v>
                </c:pt>
                <c:pt idx="365">
                  <c:v>0.51545982005324942</c:v>
                </c:pt>
                <c:pt idx="366">
                  <c:v>0.50923264840484417</c:v>
                </c:pt>
                <c:pt idx="367">
                  <c:v>0.5030314169937915</c:v>
                </c:pt>
                <c:pt idx="368">
                  <c:v>0.49685594483815315</c:v>
                </c:pt>
                <c:pt idx="369">
                  <c:v>0.49070605273711848</c:v>
                </c:pt>
                <c:pt idx="370">
                  <c:v>0.48458156324835627</c:v>
                </c:pt>
                <c:pt idx="371">
                  <c:v>0.47848230066571223</c:v>
                </c:pt>
                <c:pt idx="372">
                  <c:v>0.47240809099723885</c:v>
                </c:pt>
                <c:pt idx="373">
                  <c:v>0.46635876194357734</c:v>
                </c:pt>
                <c:pt idx="374">
                  <c:v>0.4603341428766578</c:v>
                </c:pt>
                <c:pt idx="375">
                  <c:v>0.45433406481872457</c:v>
                </c:pt>
                <c:pt idx="376">
                  <c:v>0.44835836042167854</c:v>
                </c:pt>
                <c:pt idx="377">
                  <c:v>0.4424068639467521</c:v>
                </c:pt>
                <c:pt idx="378">
                  <c:v>0.43647941124444373</c:v>
                </c:pt>
                <c:pt idx="379">
                  <c:v>0.4305758397348125</c:v>
                </c:pt>
                <c:pt idx="380">
                  <c:v>0.42469598838802991</c:v>
                </c:pt>
                <c:pt idx="381">
                  <c:v>0.41883969770522617</c:v>
                </c:pt>
                <c:pt idx="382">
                  <c:v>0.4130068096996381</c:v>
                </c:pt>
                <c:pt idx="383">
                  <c:v>0.40719716787802929</c:v>
                </c:pt>
                <c:pt idx="384">
                  <c:v>0.40141061722237509</c:v>
                </c:pt>
                <c:pt idx="385">
                  <c:v>0.39564700417185267</c:v>
                </c:pt>
                <c:pt idx="386">
                  <c:v>0.38990617660504823</c:v>
                </c:pt>
                <c:pt idx="387">
                  <c:v>0.38418798382246921</c:v>
                </c:pt>
                <c:pt idx="388">
                  <c:v>0.37849227652929768</c:v>
                </c:pt>
                <c:pt idx="389">
                  <c:v>0.37281890681838847</c:v>
                </c:pt>
                <c:pt idx="390">
                  <c:v>0.36716772815352938</c:v>
                </c:pt>
                <c:pt idx="391">
                  <c:v>0.36153859535293814</c:v>
                </c:pt>
                <c:pt idx="392">
                  <c:v>0.35593136457300645</c:v>
                </c:pt>
                <c:pt idx="393">
                  <c:v>0.35034589329226695</c:v>
                </c:pt>
                <c:pt idx="394">
                  <c:v>0.3447820402956126</c:v>
                </c:pt>
                <c:pt idx="395">
                  <c:v>0.33923966565872365</c:v>
                </c:pt>
                <c:pt idx="396">
                  <c:v>0.33371863073272656</c:v>
                </c:pt>
                <c:pt idx="397">
                  <c:v>0.32821879812908195</c:v>
                </c:pt>
                <c:pt idx="398">
                  <c:v>0.32274003170468374</c:v>
                </c:pt>
                <c:pt idx="399">
                  <c:v>0.3172821965471545</c:v>
                </c:pt>
                <c:pt idx="400">
                  <c:v>0.31184515896039511</c:v>
                </c:pt>
                <c:pt idx="401">
                  <c:v>0.30642878645027644</c:v>
                </c:pt>
                <c:pt idx="402">
                  <c:v>0.30103294771059425</c:v>
                </c:pt>
                <c:pt idx="403">
                  <c:v>0.29565751260918854</c:v>
                </c:pt>
                <c:pt idx="404">
                  <c:v>0.2903023521742748</c:v>
                </c:pt>
                <c:pt idx="405">
                  <c:v>0.28496733858094886</c:v>
                </c:pt>
                <c:pt idx="406">
                  <c:v>0.27965234513791259</c:v>
                </c:pt>
                <c:pt idx="407">
                  <c:v>0.27435724627435071</c:v>
                </c:pt>
                <c:pt idx="408">
                  <c:v>0.2690819175270267</c:v>
                </c:pt>
                <c:pt idx="409">
                  <c:v>0.26382623552751144</c:v>
                </c:pt>
                <c:pt idx="410">
                  <c:v>0.25859007798966271</c:v>
                </c:pt>
                <c:pt idx="411">
                  <c:v>0.25337332369719262</c:v>
                </c:pt>
                <c:pt idx="412">
                  <c:v>0.24817585249147517</c:v>
                </c:pt>
                <c:pt idx="413">
                  <c:v>0.24299754525949252</c:v>
                </c:pt>
                <c:pt idx="414">
                  <c:v>0.23783828392194462</c:v>
                </c:pt>
                <c:pt idx="415">
                  <c:v>0.2326979514215452</c:v>
                </c:pt>
                <c:pt idx="416">
                  <c:v>0.22757643171144515</c:v>
                </c:pt>
                <c:pt idx="417">
                  <c:v>0.222473609743854</c:v>
                </c:pt>
                <c:pt idx="418">
                  <c:v>0.2173893714587804</c:v>
                </c:pt>
                <c:pt idx="419">
                  <c:v>0.21232360377294865</c:v>
                </c:pt>
                <c:pt idx="420">
                  <c:v>0.20727619456886315</c:v>
                </c:pt>
                <c:pt idx="421">
                  <c:v>0.20224703268400962</c:v>
                </c:pt>
                <c:pt idx="422">
                  <c:v>0.19723600790022083</c:v>
                </c:pt>
                <c:pt idx="423">
                  <c:v>0.19224301093316359</c:v>
                </c:pt>
                <c:pt idx="424">
                  <c:v>0.18726793342199699</c:v>
                </c:pt>
                <c:pt idx="425">
                  <c:v>0.1823106679191388</c:v>
                </c:pt>
                <c:pt idx="426">
                  <c:v>0.17737110788019186</c:v>
                </c:pt>
                <c:pt idx="427">
                  <c:v>0.17244914765399741</c:v>
                </c:pt>
                <c:pt idx="428">
                  <c:v>0.16754468247281104</c:v>
                </c:pt>
                <c:pt idx="429">
                  <c:v>0.16265760844263211</c:v>
                </c:pt>
                <c:pt idx="430">
                  <c:v>0.15778782253365078</c:v>
                </c:pt>
                <c:pt idx="431">
                  <c:v>0.15293522257080477</c:v>
                </c:pt>
                <c:pt idx="432">
                  <c:v>0.14809970722449392</c:v>
                </c:pt>
                <c:pt idx="433">
                  <c:v>0.1432811760014025</c:v>
                </c:pt>
                <c:pt idx="434">
                  <c:v>0.13847952923541984</c:v>
                </c:pt>
                <c:pt idx="435">
                  <c:v>0.13369466807871974</c:v>
                </c:pt>
                <c:pt idx="436">
                  <c:v>0.12892649449294633</c:v>
                </c:pt>
                <c:pt idx="437">
                  <c:v>0.12417491124047804</c:v>
                </c:pt>
                <c:pt idx="438">
                  <c:v>0.11943982187586906</c:v>
                </c:pt>
                <c:pt idx="439">
                  <c:v>0.11472113073735088</c:v>
                </c:pt>
                <c:pt idx="440">
                  <c:v>0.11001874293846443</c:v>
                </c:pt>
                <c:pt idx="441">
                  <c:v>0.10533256435980765</c:v>
                </c:pt>
                <c:pt idx="442">
                  <c:v>0.10066250164086732</c:v>
                </c:pt>
                <c:pt idx="443">
                  <c:v>9.6008462171989287E-2</c:v>
                </c:pt>
                <c:pt idx="444">
                  <c:v>9.1370354086419331E-2</c:v>
                </c:pt>
                <c:pt idx="445">
                  <c:v>8.6748086252470658E-2</c:v>
                </c:pt>
                <c:pt idx="446">
                  <c:v>8.2141568265773915E-2</c:v>
                </c:pt>
                <c:pt idx="447">
                  <c:v>7.75507104416438E-2</c:v>
                </c:pt>
                <c:pt idx="448">
                  <c:v>7.297542380753326E-2</c:v>
                </c:pt>
                <c:pt idx="449">
                  <c:v>6.8415620095580928E-2</c:v>
                </c:pt>
                <c:pt idx="450">
                  <c:v>6.3871211735267927E-2</c:v>
                </c:pt>
                <c:pt idx="451">
                  <c:v>5.9342111846147558E-2</c:v>
                </c:pt>
                <c:pt idx="452">
                  <c:v>5.4828234230685252E-2</c:v>
                </c:pt>
                <c:pt idx="453">
                  <c:v>5.0329493367176723E-2</c:v>
                </c:pt>
                <c:pt idx="454">
                  <c:v>4.5845804402771757E-2</c:v>
                </c:pt>
                <c:pt idx="455">
                  <c:v>4.1377083146566532E-2</c:v>
                </c:pt>
                <c:pt idx="456">
                  <c:v>3.6923246062790155E-2</c:v>
                </c:pt>
                <c:pt idx="457">
                  <c:v>3.2484210264082748E-2</c:v>
                </c:pt>
                <c:pt idx="458">
                  <c:v>2.8059893504862404E-2</c:v>
                </c:pt>
                <c:pt idx="459">
                  <c:v>2.3650214174742584E-2</c:v>
                </c:pt>
                <c:pt idx="460">
                  <c:v>1.925509129207546E-2</c:v>
                </c:pt>
                <c:pt idx="461">
                  <c:v>1.4874444497547433E-2</c:v>
                </c:pt>
                <c:pt idx="462">
                  <c:v>1.0508194047867072E-2</c:v>
                </c:pt>
                <c:pt idx="463">
                  <c:v>6.1562608095221067E-3</c:v>
                </c:pt>
                <c:pt idx="464">
                  <c:v>1.8185662526179359E-3</c:v>
                </c:pt>
                <c:pt idx="465">
                  <c:v>-2.5049675552084294E-3</c:v>
                </c:pt>
                <c:pt idx="466">
                  <c:v>-6.8144179547925407E-3</c:v>
                </c:pt>
                <c:pt idx="467">
                  <c:v>-1.1109861701384251E-2</c:v>
                </c:pt>
                <c:pt idx="468">
                  <c:v>-1.5391374970501925E-2</c:v>
                </c:pt>
                <c:pt idx="469">
                  <c:v>-1.9659033363746602E-2</c:v>
                </c:pt>
                <c:pt idx="470">
                  <c:v>-2.3912911914493424E-2</c:v>
                </c:pt>
                <c:pt idx="471">
                  <c:v>-2.815308509356242E-2</c:v>
                </c:pt>
                <c:pt idx="472">
                  <c:v>-3.2379626814791188E-2</c:v>
                </c:pt>
                <c:pt idx="473">
                  <c:v>-3.6592610440552308E-2</c:v>
                </c:pt>
                <c:pt idx="474">
                  <c:v>-4.0792108787207432E-2</c:v>
                </c:pt>
                <c:pt idx="475">
                  <c:v>-4.4978194130466553E-2</c:v>
                </c:pt>
                <c:pt idx="476">
                  <c:v>-4.9150938210734664E-2</c:v>
                </c:pt>
                <c:pt idx="477">
                  <c:v>-5.3310412238335859E-2</c:v>
                </c:pt>
                <c:pt idx="478">
                  <c:v>-5.7456686898719592E-2</c:v>
                </c:pt>
                <c:pt idx="479">
                  <c:v>-6.1589832357586194E-2</c:v>
                </c:pt>
                <c:pt idx="480">
                  <c:v>-6.5709918265939041E-2</c:v>
                </c:pt>
                <c:pt idx="481">
                  <c:v>-6.9817013765106212E-2</c:v>
                </c:pt>
                <c:pt idx="482">
                  <c:v>-7.391118749166628E-2</c:v>
                </c:pt>
                <c:pt idx="483">
                  <c:v>-7.7992507582354251E-2</c:v>
                </c:pt>
                <c:pt idx="484">
                  <c:v>-8.2061041678874569E-2</c:v>
                </c:pt>
                <c:pt idx="485">
                  <c:v>-8.6116856932678301E-2</c:v>
                </c:pt>
                <c:pt idx="486">
                  <c:v>-9.0160020009670952E-2</c:v>
                </c:pt>
                <c:pt idx="487">
                  <c:v>-9.4190597094882228E-2</c:v>
                </c:pt>
                <c:pt idx="488">
                  <c:v>-9.8208653897047554E-2</c:v>
                </c:pt>
                <c:pt idx="489">
                  <c:v>-0.10221425565318876</c:v>
                </c:pt>
                <c:pt idx="490">
                  <c:v>-0.10620746713307469</c:v>
                </c:pt>
                <c:pt idx="491">
                  <c:v>-0.11018835264368869</c:v>
                </c:pt>
                <c:pt idx="492">
                  <c:v>-0.1141569760336065</c:v>
                </c:pt>
                <c:pt idx="493">
                  <c:v>-0.11811340069734581</c:v>
                </c:pt>
                <c:pt idx="494">
                  <c:v>-0.12205768957964383</c:v>
                </c:pt>
                <c:pt idx="495">
                  <c:v>-0.12598990517969966</c:v>
                </c:pt>
                <c:pt idx="496">
                  <c:v>-0.129910109555371</c:v>
                </c:pt>
                <c:pt idx="497">
                  <c:v>-0.13381836432729663</c:v>
                </c:pt>
                <c:pt idx="498">
                  <c:v>-0.1377147306830151</c:v>
                </c:pt>
                <c:pt idx="499">
                  <c:v>-0.14159926938099152</c:v>
                </c:pt>
                <c:pt idx="500">
                  <c:v>-0.14547204075461204</c:v>
                </c:pt>
                <c:pt idx="501">
                  <c:v>-1.2892635116920539</c:v>
                </c:pt>
                <c:pt idx="502">
                  <c:v>-2.2733573234420623</c:v>
                </c:pt>
                <c:pt idx="503">
                  <c:v>-3.041980346515599</c:v>
                </c:pt>
              </c:numCache>
            </c:numRef>
          </c:xVal>
          <c:yVal>
            <c:numRef>
              <c:f>MSY!$G$44:$G$547</c:f>
              <c:numCache>
                <c:formatCode>General</c:formatCode>
                <c:ptCount val="504"/>
                <c:pt idx="0">
                  <c:v>2.914803736686416E-5</c:v>
                </c:pt>
                <c:pt idx="1">
                  <c:v>0.27304398896818233</c:v>
                </c:pt>
                <c:pt idx="2">
                  <c:v>0.51281605101056194</c:v>
                </c:pt>
                <c:pt idx="3">
                  <c:v>0.72400581381951945</c:v>
                </c:pt>
                <c:pt idx="4">
                  <c:v>0.91050609253656378</c:v>
                </c:pt>
                <c:pt idx="5">
                  <c:v>1.0755727349274968</c:v>
                </c:pt>
                <c:pt idx="6">
                  <c:v>1.2219476063613954</c:v>
                </c:pt>
                <c:pt idx="7">
                  <c:v>1.3519542579358321</c:v>
                </c:pt>
                <c:pt idx="8">
                  <c:v>1.4675730981922595</c:v>
                </c:pt>
                <c:pt idx="9">
                  <c:v>1.5705010098770316</c:v>
                </c:pt>
                <c:pt idx="10">
                  <c:v>1.6621990371843163</c:v>
                </c:pt>
                <c:pt idx="11">
                  <c:v>1.7439308344906912</c:v>
                </c:pt>
                <c:pt idx="12">
                  <c:v>1.8167938956536049</c:v>
                </c:pt>
                <c:pt idx="13">
                  <c:v>1.8817450940482598</c:v>
                </c:pt>
                <c:pt idx="14">
                  <c:v>1.9396217038856089</c:v>
                </c:pt>
                <c:pt idx="15">
                  <c:v>1.9911588060957366</c:v>
                </c:pt>
                <c:pt idx="16">
                  <c:v>2.0370037815441675</c:v>
                </c:pt>
                <c:pt idx="17">
                  <c:v>2.0777284425541551</c:v>
                </c:pt>
                <c:pt idx="18">
                  <c:v>2.1138392378271735</c:v>
                </c:pt>
                <c:pt idx="19">
                  <c:v>2.1457858766871878</c:v>
                </c:pt>
                <c:pt idx="20">
                  <c:v>2.173968649449848</c:v>
                </c:pt>
                <c:pt idx="21">
                  <c:v>2.1987446667517236</c:v>
                </c:pt>
                <c:pt idx="22">
                  <c:v>2.2204331982614707</c:v>
                </c:pt>
                <c:pt idx="23">
                  <c:v>2.2393202576500992</c:v>
                </c:pt>
                <c:pt idx="24">
                  <c:v>2.2556625540075705</c:v>
                </c:pt>
                <c:pt idx="25">
                  <c:v>2.269690908535932</c:v>
                </c:pt>
                <c:pt idx="26">
                  <c:v>2.2816132181667914</c:v>
                </c:pt>
                <c:pt idx="27">
                  <c:v>2.2916170338556863</c:v>
                </c:pt>
                <c:pt idx="28">
                  <c:v>2.2998718100137019</c:v>
                </c:pt>
                <c:pt idx="29">
                  <c:v>2.3065308723166775</c:v>
                </c:pt>
                <c:pt idx="30">
                  <c:v>2.3117331435704997</c:v>
                </c:pt>
                <c:pt idx="31">
                  <c:v>2.3156046610825411</c:v>
                </c:pt>
                <c:pt idx="32">
                  <c:v>2.3182599138379025</c:v>
                </c:pt>
                <c:pt idx="33">
                  <c:v>2.3198030235019598</c:v>
                </c:pt>
                <c:pt idx="34">
                  <c:v>2.3203287897058655</c:v>
                </c:pt>
                <c:pt idx="35">
                  <c:v>2.3199236170898287</c:v>
                </c:pt>
                <c:pt idx="36">
                  <c:v>2.3186663390761426</c:v>
                </c:pt>
                <c:pt idx="37">
                  <c:v>2.3166289512361455</c:v>
                </c:pt>
                <c:pt idx="38">
                  <c:v>2.3138772653344453</c:v>
                </c:pt>
                <c:pt idx="39">
                  <c:v>2.3104714936245649</c:v>
                </c:pt>
                <c:pt idx="40">
                  <c:v>2.306466771687373</c:v>
                </c:pt>
                <c:pt idx="41">
                  <c:v>2.3019136270101468</c:v>
                </c:pt>
                <c:pt idx="42">
                  <c:v>2.2968583995695155</c:v>
                </c:pt>
                <c:pt idx="43">
                  <c:v>2.2913436198804105</c:v>
                </c:pt>
                <c:pt idx="44">
                  <c:v>2.285408349284932</c:v>
                </c:pt>
                <c:pt idx="45">
                  <c:v>2.2790884866621814</c:v>
                </c:pt>
                <c:pt idx="46">
                  <c:v>2.2724170452282357</c:v>
                </c:pt>
                <c:pt idx="47">
                  <c:v>2.2654244026525157</c:v>
                </c:pt>
                <c:pt idx="48">
                  <c:v>2.2581385273325787</c:v>
                </c:pt>
                <c:pt idx="49">
                  <c:v>2.2505851833355002</c:v>
                </c:pt>
                <c:pt idx="50">
                  <c:v>2.24278811622314</c:v>
                </c:pt>
                <c:pt idx="51">
                  <c:v>2.2347692217248012</c:v>
                </c:pt>
                <c:pt idx="52">
                  <c:v>2.2265486989988399</c:v>
                </c:pt>
                <c:pt idx="53">
                  <c:v>2.2181451900303721</c:v>
                </c:pt>
                <c:pt idx="54">
                  <c:v>2.2095759065415765</c:v>
                </c:pt>
                <c:pt idx="55">
                  <c:v>2.2008567456410715</c:v>
                </c:pt>
                <c:pt idx="56">
                  <c:v>2.1920023953067438</c:v>
                </c:pt>
                <c:pt idx="57">
                  <c:v>2.1830264306798139</c:v>
                </c:pt>
                <c:pt idx="58">
                  <c:v>2.1739414020450298</c:v>
                </c:pt>
                <c:pt idx="59">
                  <c:v>2.1647589152806566</c:v>
                </c:pt>
                <c:pt idx="60">
                  <c:v>2.1554897054812558</c:v>
                </c:pt>
                <c:pt idx="61">
                  <c:v>2.1461437043845444</c:v>
                </c:pt>
                <c:pt idx="62">
                  <c:v>2.1367301021699161</c:v>
                </c:pt>
                <c:pt idx="63">
                  <c:v>2.1272574041395176</c:v>
                </c:pt>
                <c:pt idx="64">
                  <c:v>2.1177334827422656</c:v>
                </c:pt>
                <c:pt idx="65">
                  <c:v>2.1081656253560737</c:v>
                </c:pt>
                <c:pt idx="66">
                  <c:v>2.0985605782033105</c:v>
                </c:pt>
                <c:pt idx="67">
                  <c:v>2.0889245867384556</c:v>
                </c:pt>
                <c:pt idx="68">
                  <c:v>2.0792634328146629</c:v>
                </c:pt>
                <c:pt idx="69">
                  <c:v>2.0695824689069902</c:v>
                </c:pt>
                <c:pt idx="70">
                  <c:v>2.0598866496441053</c:v>
                </c:pt>
                <c:pt idx="71">
                  <c:v>2.0501805608769268</c:v>
                </c:pt>
                <c:pt idx="72">
                  <c:v>2.0404684464916505</c:v>
                </c:pt>
                <c:pt idx="73">
                  <c:v>2.0307542331557391</c:v>
                </c:pt>
                <c:pt idx="74">
                  <c:v>2.0210415531683918</c:v>
                </c:pt>
                <c:pt idx="75">
                  <c:v>2.0113337655716381</c:v>
                </c:pt>
                <c:pt idx="76">
                  <c:v>2.0016339756643102</c:v>
                </c:pt>
                <c:pt idx="77">
                  <c:v>1.9919450530486216</c:v>
                </c:pt>
                <c:pt idx="78">
                  <c:v>1.9822696483276958</c:v>
                </c:pt>
                <c:pt idx="79">
                  <c:v>1.9726102085621231</c:v>
                </c:pt>
                <c:pt idx="80">
                  <c:v>1.9629689915842869</c:v>
                </c:pt>
                <c:pt idx="81">
                  <c:v>1.9533480792607902</c:v>
                </c:pt>
                <c:pt idx="82">
                  <c:v>1.9437493897855564</c:v>
                </c:pt>
                <c:pt idx="83">
                  <c:v>1.9341746890793194</c:v>
                </c:pt>
                <c:pt idx="84">
                  <c:v>1.9246256013647649</c:v>
                </c:pt>
                <c:pt idx="85">
                  <c:v>1.9151036189808996</c:v>
                </c:pt>
                <c:pt idx="86">
                  <c:v>1.9056101114949253</c:v>
                </c:pt>
                <c:pt idx="87">
                  <c:v>1.8961463341651443</c:v>
                </c:pt>
                <c:pt idx="88">
                  <c:v>1.8867134358040138</c:v>
                </c:pt>
                <c:pt idx="89">
                  <c:v>1.8773124660865257</c:v>
                </c:pt>
                <c:pt idx="90">
                  <c:v>1.8679443823454329</c:v>
                </c:pt>
                <c:pt idx="91">
                  <c:v>1.8586100558915299</c:v>
                </c:pt>
                <c:pt idx="92">
                  <c:v>1.8493102778941231</c:v>
                </c:pt>
                <c:pt idx="93">
                  <c:v>1.8400457648541011</c:v>
                </c:pt>
                <c:pt idx="94">
                  <c:v>1.8308171636994495</c:v>
                </c:pt>
                <c:pt idx="95">
                  <c:v>1.8216250565306746</c:v>
                </c:pt>
                <c:pt idx="96">
                  <c:v>1.8124699650415572</c:v>
                </c:pt>
                <c:pt idx="97">
                  <c:v>1.8033523546386321</c:v>
                </c:pt>
                <c:pt idx="98">
                  <c:v>1.7942726382809828</c:v>
                </c:pt>
                <c:pt idx="99">
                  <c:v>1.7852311800603653</c:v>
                </c:pt>
                <c:pt idx="100">
                  <c:v>1.7762282985400653</c:v>
                </c:pt>
                <c:pt idx="101">
                  <c:v>1.7672642698695775</c:v>
                </c:pt>
                <c:pt idx="102">
                  <c:v>1.7583393306908597</c:v>
                </c:pt>
                <c:pt idx="103">
                  <c:v>1.7494536808507788</c:v>
                </c:pt>
                <c:pt idx="104">
                  <c:v>1.7406074859332386</c:v>
                </c:pt>
                <c:pt idx="105">
                  <c:v>1.7318008796235227</c:v>
                </c:pt>
                <c:pt idx="106">
                  <c:v>1.7230339659164342</c:v>
                </c:pt>
                <c:pt idx="107">
                  <c:v>1.7143068211789765</c:v>
                </c:pt>
                <c:pt idx="108">
                  <c:v>1.7056194960775501</c:v>
                </c:pt>
                <c:pt idx="109">
                  <c:v>1.6969720173788787</c:v>
                </c:pt>
                <c:pt idx="110">
                  <c:v>1.6883643896332658</c:v>
                </c:pt>
                <c:pt idx="111">
                  <c:v>1.6797965967481325</c:v>
                </c:pt>
                <c:pt idx="112">
                  <c:v>1.6712686034592099</c:v>
                </c:pt>
                <c:pt idx="113">
                  <c:v>1.6627803567062767</c:v>
                </c:pt>
                <c:pt idx="114">
                  <c:v>1.6543317869197984</c:v>
                </c:pt>
                <c:pt idx="115">
                  <c:v>1.6459228092244178</c:v>
                </c:pt>
                <c:pt idx="116">
                  <c:v>1.6375533245647884</c:v>
                </c:pt>
                <c:pt idx="117">
                  <c:v>1.6292232207589006</c:v>
                </c:pt>
                <c:pt idx="118">
                  <c:v>1.6209323734836529</c:v>
                </c:pt>
                <c:pt idx="119">
                  <c:v>1.6126806471971338</c:v>
                </c:pt>
                <c:pt idx="120">
                  <c:v>1.6044678960017258</c:v>
                </c:pt>
                <c:pt idx="121">
                  <c:v>1.5962939644519025</c:v>
                </c:pt>
                <c:pt idx="122">
                  <c:v>1.5881586883102981</c:v>
                </c:pt>
                <c:pt idx="123">
                  <c:v>1.5800618952553918</c:v>
                </c:pt>
                <c:pt idx="124">
                  <c:v>1.5720034055439429</c:v>
                </c:pt>
                <c:pt idx="125">
                  <c:v>1.5639830326310575</c:v>
                </c:pt>
                <c:pt idx="126">
                  <c:v>1.5560005837506241</c:v>
                </c:pt>
                <c:pt idx="127">
                  <c:v>1.5480558604586325</c:v>
                </c:pt>
                <c:pt idx="128">
                  <c:v>1.540148659141749</c:v>
                </c:pt>
                <c:pt idx="129">
                  <c:v>1.5322787714933415</c:v>
                </c:pt>
                <c:pt idx="130">
                  <c:v>1.5244459849590282</c:v>
                </c:pt>
                <c:pt idx="131">
                  <c:v>1.5166500831536585</c:v>
                </c:pt>
                <c:pt idx="132">
                  <c:v>1.5088908462515405</c:v>
                </c:pt>
                <c:pt idx="133">
                  <c:v>1.5011680513515737</c:v>
                </c:pt>
                <c:pt idx="134">
                  <c:v>1.493481472818881</c:v>
                </c:pt>
                <c:pt idx="135">
                  <c:v>1.4858308826043805</c:v>
                </c:pt>
                <c:pt idx="136">
                  <c:v>1.4782160505437039</c:v>
                </c:pt>
                <c:pt idx="137">
                  <c:v>1.4706367446367159</c:v>
                </c:pt>
                <c:pt idx="138">
                  <c:v>1.4630927313088504</c:v>
                </c:pt>
                <c:pt idx="139">
                  <c:v>1.455583775655396</c:v>
                </c:pt>
                <c:pt idx="140">
                  <c:v>1.4481096416697581</c:v>
                </c:pt>
                <c:pt idx="141">
                  <c:v>1.4406700924567297</c:v>
                </c:pt>
                <c:pt idx="142">
                  <c:v>1.4332648904316345</c:v>
                </c:pt>
                <c:pt idx="143">
                  <c:v>1.4258937975062649</c:v>
                </c:pt>
                <c:pt idx="144">
                  <c:v>1.4185565752623883</c:v>
                </c:pt>
                <c:pt idx="145">
                  <c:v>1.4112529851136018</c:v>
                </c:pt>
                <c:pt idx="146">
                  <c:v>1.4039827884562333</c:v>
                </c:pt>
                <c:pt idx="147">
                  <c:v>1.3967457468099715</c:v>
                </c:pt>
                <c:pt idx="148">
                  <c:v>1.3895416219488421</c:v>
                </c:pt>
                <c:pt idx="149">
                  <c:v>1.3823701760231177</c:v>
                </c:pt>
                <c:pt idx="150">
                  <c:v>1.3752311716727206</c:v>
                </c:pt>
                <c:pt idx="151">
                  <c:v>1.3681243721326228</c:v>
                </c:pt>
                <c:pt idx="152">
                  <c:v>1.3610495413307491</c:v>
                </c:pt>
                <c:pt idx="153">
                  <c:v>1.3540064439788091</c:v>
                </c:pt>
                <c:pt idx="154">
                  <c:v>1.3469948456565242</c:v>
                </c:pt>
                <c:pt idx="155">
                  <c:v>1.3400145128896122</c:v>
                </c:pt>
                <c:pt idx="156">
                  <c:v>1.3330652132219387</c:v>
                </c:pt>
                <c:pt idx="157">
                  <c:v>1.3261467152821695</c:v>
                </c:pt>
                <c:pt idx="158">
                  <c:v>1.3192587888452718</c:v>
                </c:pt>
                <c:pt idx="159">
                  <c:v>1.3124012048891556</c:v>
                </c:pt>
                <c:pt idx="160">
                  <c:v>1.3055737356467889</c:v>
                </c:pt>
                <c:pt idx="161">
                  <c:v>1.2987761546540053</c:v>
                </c:pt>
                <c:pt idx="162">
                  <c:v>1.2920082367933265</c:v>
                </c:pt>
                <c:pt idx="163">
                  <c:v>1.2852697583340014</c:v>
                </c:pt>
                <c:pt idx="164">
                  <c:v>1.2785604969685009</c:v>
                </c:pt>
                <c:pt idx="165">
                  <c:v>1.2718802318456945</c:v>
                </c:pt>
                <c:pt idx="166">
                  <c:v>1.2652287436009078</c:v>
                </c:pt>
                <c:pt idx="167">
                  <c:v>1.2586058143830408</c:v>
                </c:pt>
                <c:pt idx="168">
                  <c:v>1.2520112278789524</c:v>
                </c:pt>
                <c:pt idx="169">
                  <c:v>1.2454447693352431</c:v>
                </c:pt>
                <c:pt idx="170">
                  <c:v>1.2389062255776373</c:v>
                </c:pt>
                <c:pt idx="171">
                  <c:v>1.2323953850280789</c:v>
                </c:pt>
                <c:pt idx="172">
                  <c:v>1.2259120377197119</c:v>
                </c:pt>
                <c:pt idx="173">
                  <c:v>1.219455975309846</c:v>
                </c:pt>
                <c:pt idx="174">
                  <c:v>1.2130269910910658</c:v>
                </c:pt>
                <c:pt idx="175">
                  <c:v>1.2066248800005792</c:v>
                </c:pt>
                <c:pt idx="176">
                  <c:v>1.200249438627923</c:v>
                </c:pt>
                <c:pt idx="177">
                  <c:v>1.1939004652211276</c:v>
                </c:pt>
                <c:pt idx="178">
                  <c:v>1.1875777596914503</c:v>
                </c:pt>
                <c:pt idx="179">
                  <c:v>1.1812811236167462</c:v>
                </c:pt>
                <c:pt idx="180">
                  <c:v>1.1750103602435937</c:v>
                </c:pt>
                <c:pt idx="181">
                  <c:v>1.1687652744882271</c:v>
                </c:pt>
                <c:pt idx="182">
                  <c:v>1.1625456729363828</c:v>
                </c:pt>
                <c:pt idx="183">
                  <c:v>1.1563513638421079</c:v>
                </c:pt>
                <c:pt idx="184">
                  <c:v>1.1501821571256077</c:v>
                </c:pt>
                <c:pt idx="185">
                  <c:v>1.1440378643702072</c:v>
                </c:pt>
                <c:pt idx="186">
                  <c:v>1.1379182988184708</c:v>
                </c:pt>
                <c:pt idx="187">
                  <c:v>1.1318232753675523</c:v>
                </c:pt>
                <c:pt idx="188">
                  <c:v>1.1257526105638131</c:v>
                </c:pt>
                <c:pt idx="189">
                  <c:v>1.1197061225967821</c:v>
                </c:pt>
                <c:pt idx="190">
                  <c:v>1.1136836312924778</c:v>
                </c:pt>
                <c:pt idx="191">
                  <c:v>1.1076849581061634</c:v>
                </c:pt>
                <c:pt idx="192">
                  <c:v>1.1017099261145606</c:v>
                </c:pt>
                <c:pt idx="193">
                  <c:v>1.0957583600075693</c:v>
                </c:pt>
                <c:pt idx="194">
                  <c:v>1.0898300860795331</c:v>
                </c:pt>
                <c:pt idx="195">
                  <c:v>1.0839249322200697</c:v>
                </c:pt>
                <c:pt idx="196">
                  <c:v>1.0780427279045319</c:v>
                </c:pt>
                <c:pt idx="197">
                  <c:v>1.0721833041840936</c:v>
                </c:pt>
                <c:pt idx="198">
                  <c:v>1.0663464936755238</c:v>
                </c:pt>
                <c:pt idx="199">
                  <c:v>1.0605321305506412</c:v>
                </c:pt>
                <c:pt idx="200">
                  <c:v>1.0547400505255202</c:v>
                </c:pt>
                <c:pt idx="201">
                  <c:v>1.0489700908494257</c:v>
                </c:pt>
                <c:pt idx="202">
                  <c:v>1.0432220902935379</c:v>
                </c:pt>
                <c:pt idx="203">
                  <c:v>1.0374958891394648</c:v>
                </c:pt>
                <c:pt idx="204">
                  <c:v>1.0317913291675802</c:v>
                </c:pt>
                <c:pt idx="205">
                  <c:v>1.0261082536451895</c:v>
                </c:pt>
                <c:pt idx="206">
                  <c:v>1.020446507314549</c:v>
                </c:pt>
                <c:pt idx="207">
                  <c:v>1.0148059363807795</c:v>
                </c:pt>
                <c:pt idx="208">
                  <c:v>1.0091863884996339</c:v>
                </c:pt>
                <c:pt idx="209">
                  <c:v>1.0035877127651927</c:v>
                </c:pt>
                <c:pt idx="210">
                  <c:v>0.99800975969747241</c:v>
                </c:pt>
                <c:pt idx="211">
                  <c:v>0.99245238122995505</c:v>
                </c:pt>
                <c:pt idx="212">
                  <c:v>0.98691543069707299</c:v>
                </c:pt>
                <c:pt idx="213">
                  <c:v>0.98139876282164151</c:v>
                </c:pt>
                <c:pt idx="214">
                  <c:v>0.97590223370225626</c:v>
                </c:pt>
                <c:pt idx="215">
                  <c:v>0.97042570080068102</c:v>
                </c:pt>
                <c:pt idx="216">
                  <c:v>0.96496902292919451</c:v>
                </c:pt>
                <c:pt idx="217">
                  <c:v>0.95953206023796345</c:v>
                </c:pt>
                <c:pt idx="218">
                  <c:v>0.95411467420239526</c:v>
                </c:pt>
                <c:pt idx="219">
                  <c:v>0.94871672761051451</c:v>
                </c:pt>
                <c:pt idx="220">
                  <c:v>0.94333808455035195</c:v>
                </c:pt>
                <c:pt idx="221">
                  <c:v>0.93797861039736519</c:v>
                </c:pt>
                <c:pt idx="222">
                  <c:v>0.93263817180188924</c:v>
                </c:pt>
                <c:pt idx="223">
                  <c:v>0.9273166366766169</c:v>
                </c:pt>
                <c:pt idx="224">
                  <c:v>0.92201387418413927</c:v>
                </c:pt>
                <c:pt idx="225">
                  <c:v>0.91672975472452456</c:v>
                </c:pt>
                <c:pt idx="226">
                  <c:v>0.91146414992294877</c:v>
                </c:pt>
                <c:pt idx="227">
                  <c:v>0.90621693261739045</c:v>
                </c:pt>
                <c:pt idx="228">
                  <c:v>0.90098797684638876</c:v>
                </c:pt>
                <c:pt idx="229">
                  <c:v>0.89577715783685996</c:v>
                </c:pt>
                <c:pt idx="230">
                  <c:v>0.89058435199200003</c:v>
                </c:pt>
                <c:pt idx="231">
                  <c:v>0.88540943687923201</c:v>
                </c:pt>
                <c:pt idx="232">
                  <c:v>0.8802522912182642</c:v>
                </c:pt>
                <c:pt idx="233">
                  <c:v>0.8751127948692019</c:v>
                </c:pt>
                <c:pt idx="234">
                  <c:v>0.86999082882075007</c:v>
                </c:pt>
                <c:pt idx="235">
                  <c:v>0.86488627517850136</c:v>
                </c:pt>
                <c:pt idx="236">
                  <c:v>0.85979901715330675</c:v>
                </c:pt>
                <c:pt idx="237">
                  <c:v>0.85472893904973812</c:v>
                </c:pt>
                <c:pt idx="238">
                  <c:v>0.84967592625463295</c:v>
                </c:pt>
                <c:pt idx="239">
                  <c:v>0.84463986522573931</c:v>
                </c:pt>
                <c:pt idx="240">
                  <c:v>0.8396206434804494</c:v>
                </c:pt>
                <c:pt idx="241">
                  <c:v>0.83461814958463143</c:v>
                </c:pt>
                <c:pt idx="242">
                  <c:v>0.82963227314154298</c:v>
                </c:pt>
                <c:pt idx="243">
                  <c:v>0.82466290478086046</c:v>
                </c:pt>
                <c:pt idx="244">
                  <c:v>0.81970993614779331</c:v>
                </c:pt>
                <c:pt idx="245">
                  <c:v>0.81477325989229388</c:v>
                </c:pt>
                <c:pt idx="246">
                  <c:v>0.80985276965837727</c:v>
                </c:pt>
                <c:pt idx="247">
                  <c:v>0.80494836007352832</c:v>
                </c:pt>
                <c:pt idx="248">
                  <c:v>0.80005992673821602</c:v>
                </c:pt>
                <c:pt idx="249">
                  <c:v>0.79518736621550601</c:v>
                </c:pt>
                <c:pt idx="250">
                  <c:v>0.79033057602076107</c:v>
                </c:pt>
                <c:pt idx="251">
                  <c:v>0.78548945461147246</c:v>
                </c:pt>
                <c:pt idx="252">
                  <c:v>0.78066390137714869</c:v>
                </c:pt>
                <c:pt idx="253">
                  <c:v>0.77585381662934727</c:v>
                </c:pt>
                <c:pt idx="254">
                  <c:v>0.77105910159177815</c:v>
                </c:pt>
                <c:pt idx="255">
                  <c:v>0.76627965839050827</c:v>
                </c:pt>
                <c:pt idx="256">
                  <c:v>0.76151539004428936</c:v>
                </c:pt>
                <c:pt idx="257">
                  <c:v>0.75676620045496312</c:v>
                </c:pt>
                <c:pt idx="258">
                  <c:v>0.75203199439796764</c:v>
                </c:pt>
                <c:pt idx="259">
                  <c:v>0.74731267751295627</c:v>
                </c:pt>
                <c:pt idx="260">
                  <c:v>0.74260815629449872</c:v>
                </c:pt>
                <c:pt idx="261">
                  <c:v>0.73791833808289631</c:v>
                </c:pt>
                <c:pt idx="262">
                  <c:v>0.73324313105508487</c:v>
                </c:pt>
                <c:pt idx="263">
                  <c:v>0.72858244421563734</c:v>
                </c:pt>
                <c:pt idx="264">
                  <c:v>0.72393618738785748</c:v>
                </c:pt>
                <c:pt idx="265">
                  <c:v>0.7193042712049893</c:v>
                </c:pt>
                <c:pt idx="266">
                  <c:v>0.71468660710149523</c:v>
                </c:pt>
                <c:pt idx="267">
                  <c:v>0.71008310730445201</c:v>
                </c:pt>
                <c:pt idx="268">
                  <c:v>0.70549368482502484</c:v>
                </c:pt>
                <c:pt idx="269">
                  <c:v>0.7009182534500511</c:v>
                </c:pt>
                <c:pt idx="270">
                  <c:v>0.69635672773370227</c:v>
                </c:pt>
                <c:pt idx="271">
                  <c:v>0.69180902298924229</c:v>
                </c:pt>
                <c:pt idx="272">
                  <c:v>0.68727505528088806</c:v>
                </c:pt>
                <c:pt idx="273">
                  <c:v>0.68275474141574555</c:v>
                </c:pt>
                <c:pt idx="274">
                  <c:v>0.67824799893584686</c:v>
                </c:pt>
                <c:pt idx="275">
                  <c:v>0.67375474611027475</c:v>
                </c:pt>
                <c:pt idx="276">
                  <c:v>0.66927490192736716</c:v>
                </c:pt>
                <c:pt idx="277">
                  <c:v>0.6648083860870273</c:v>
                </c:pt>
                <c:pt idx="278">
                  <c:v>0.66035511899310084</c:v>
                </c:pt>
                <c:pt idx="279">
                  <c:v>0.65591502174585359</c:v>
                </c:pt>
                <c:pt idx="280">
                  <c:v>0.65148801613453255</c:v>
                </c:pt>
                <c:pt idx="281">
                  <c:v>0.64707402463000252</c:v>
                </c:pt>
                <c:pt idx="282">
                  <c:v>0.64267297037747972</c:v>
                </c:pt>
                <c:pt idx="283">
                  <c:v>0.63828477718933974</c:v>
                </c:pt>
                <c:pt idx="284">
                  <c:v>0.63390936953800736</c:v>
                </c:pt>
                <c:pt idx="285">
                  <c:v>0.62954667254893748</c:v>
                </c:pt>
                <c:pt idx="286">
                  <c:v>0.62519661199366472</c:v>
                </c:pt>
                <c:pt idx="287">
                  <c:v>0.62085911428293572</c:v>
                </c:pt>
                <c:pt idx="288">
                  <c:v>0.61653410645993201</c:v>
                </c:pt>
                <c:pt idx="289">
                  <c:v>0.61222151619355025</c:v>
                </c:pt>
                <c:pt idx="290">
                  <c:v>0.60792127177177746</c:v>
                </c:pt>
                <c:pt idx="291">
                  <c:v>0.60363330209513932</c:v>
                </c:pt>
                <c:pt idx="292">
                  <c:v>0.59935753667021252</c:v>
                </c:pt>
                <c:pt idx="293">
                  <c:v>0.5950939056032305</c:v>
                </c:pt>
                <c:pt idx="294">
                  <c:v>0.59084233959374333</c:v>
                </c:pt>
                <c:pt idx="295">
                  <c:v>0.58660276992836902</c:v>
                </c:pt>
                <c:pt idx="296">
                  <c:v>0.5823751284746076</c:v>
                </c:pt>
                <c:pt idx="297">
                  <c:v>0.57815934767472388</c:v>
                </c:pt>
                <c:pt idx="298">
                  <c:v>0.5739553605397083</c:v>
                </c:pt>
                <c:pt idx="299">
                  <c:v>0.56976310064330704</c:v>
                </c:pt>
                <c:pt idx="300">
                  <c:v>0.56558250211611338</c:v>
                </c:pt>
                <c:pt idx="301">
                  <c:v>0.56141349963973852</c:v>
                </c:pt>
                <c:pt idx="302">
                  <c:v>0.55725602844104216</c:v>
                </c:pt>
                <c:pt idx="303">
                  <c:v>0.55311002428643552</c:v>
                </c:pt>
                <c:pt idx="304">
                  <c:v>0.54897542347623918</c:v>
                </c:pt>
                <c:pt idx="305">
                  <c:v>0.54485216283912474</c:v>
                </c:pt>
                <c:pt idx="306">
                  <c:v>0.5407401797265996</c:v>
                </c:pt>
                <c:pt idx="307">
                  <c:v>0.53663941200757703</c:v>
                </c:pt>
                <c:pt idx="308">
                  <c:v>0.53254979806299263</c:v>
                </c:pt>
                <c:pt idx="309">
                  <c:v>0.52847127678048733</c:v>
                </c:pt>
                <c:pt idx="310">
                  <c:v>0.52440378754916195</c:v>
                </c:pt>
                <c:pt idx="311">
                  <c:v>0.52034727025437177</c:v>
                </c:pt>
                <c:pt idx="312">
                  <c:v>0.51630166527260546</c:v>
                </c:pt>
                <c:pt idx="313">
                  <c:v>0.51226691346640418</c:v>
                </c:pt>
                <c:pt idx="314">
                  <c:v>0.50824295617935011</c:v>
                </c:pt>
                <c:pt idx="315">
                  <c:v>0.5042297352311057</c:v>
                </c:pt>
                <c:pt idx="316">
                  <c:v>0.50022719291252016</c:v>
                </c:pt>
                <c:pt idx="317">
                  <c:v>0.49623527198078043</c:v>
                </c:pt>
                <c:pt idx="318">
                  <c:v>0.49225391565462168</c:v>
                </c:pt>
                <c:pt idx="319">
                  <c:v>0.48828306760960827</c:v>
                </c:pt>
                <c:pt idx="320">
                  <c:v>0.48432267197343615</c:v>
                </c:pt>
                <c:pt idx="321">
                  <c:v>0.48037267332132644</c:v>
                </c:pt>
                <c:pt idx="322">
                  <c:v>0.47643301667144583</c:v>
                </c:pt>
                <c:pt idx="323">
                  <c:v>0.47250364748038881</c:v>
                </c:pt>
                <c:pt idx="324">
                  <c:v>0.46858451163871312</c:v>
                </c:pt>
                <c:pt idx="325">
                  <c:v>0.46467555546652584</c:v>
                </c:pt>
                <c:pt idx="326">
                  <c:v>0.4607767257091166</c:v>
                </c:pt>
                <c:pt idx="327">
                  <c:v>0.45688796953264366</c:v>
                </c:pt>
                <c:pt idx="328">
                  <c:v>0.45300923451986741</c:v>
                </c:pt>
                <c:pt idx="329">
                  <c:v>0.44914046866594082</c:v>
                </c:pt>
                <c:pt idx="330">
                  <c:v>0.44528162037423141</c:v>
                </c:pt>
                <c:pt idx="331">
                  <c:v>0.44143263845220609</c:v>
                </c:pt>
                <c:pt idx="332">
                  <c:v>0.43759347210736027</c:v>
                </c:pt>
                <c:pt idx="333">
                  <c:v>0.4337640709431867</c:v>
                </c:pt>
                <c:pt idx="334">
                  <c:v>0.42994438495519305</c:v>
                </c:pt>
                <c:pt idx="335">
                  <c:v>0.42613436452697051</c:v>
                </c:pt>
                <c:pt idx="336">
                  <c:v>0.42233396042630433</c:v>
                </c:pt>
                <c:pt idx="337">
                  <c:v>0.41854312380131575</c:v>
                </c:pt>
                <c:pt idx="338">
                  <c:v>0.41476180617667036</c:v>
                </c:pt>
                <c:pt idx="339">
                  <c:v>0.41098995944981365</c:v>
                </c:pt>
                <c:pt idx="340">
                  <c:v>0.40722753588725286</c:v>
                </c:pt>
                <c:pt idx="341">
                  <c:v>0.40347448812087977</c:v>
                </c:pt>
                <c:pt idx="342">
                  <c:v>0.39973076914434136</c:v>
                </c:pt>
                <c:pt idx="343">
                  <c:v>0.39599633230944503</c:v>
                </c:pt>
                <c:pt idx="344">
                  <c:v>0.39227113132259933</c:v>
                </c:pt>
                <c:pt idx="345">
                  <c:v>0.3885551202413155</c:v>
                </c:pt>
                <c:pt idx="346">
                  <c:v>0.3848482534707181</c:v>
                </c:pt>
                <c:pt idx="347">
                  <c:v>0.38115048576012683</c:v>
                </c:pt>
                <c:pt idx="348">
                  <c:v>0.37746177219964661</c:v>
                </c:pt>
                <c:pt idx="349">
                  <c:v>0.3737820682168192</c:v>
                </c:pt>
                <c:pt idx="350">
                  <c:v>0.37011132957330362</c:v>
                </c:pt>
                <c:pt idx="351">
                  <c:v>0.36644951236158679</c:v>
                </c:pt>
                <c:pt idx="352">
                  <c:v>0.36279657300174711</c:v>
                </c:pt>
                <c:pt idx="353">
                  <c:v>0.35915246823823627</c:v>
                </c:pt>
                <c:pt idx="354">
                  <c:v>0.3555171551367094</c:v>
                </c:pt>
                <c:pt idx="355">
                  <c:v>0.35189059108088477</c:v>
                </c:pt>
                <c:pt idx="356">
                  <c:v>0.34827273376944495</c:v>
                </c:pt>
                <c:pt idx="357">
                  <c:v>0.34466354121296094</c:v>
                </c:pt>
                <c:pt idx="358">
                  <c:v>0.34106297173086109</c:v>
                </c:pt>
                <c:pt idx="359">
                  <c:v>0.33747098394842784</c:v>
                </c:pt>
                <c:pt idx="360">
                  <c:v>0.33388753679383193</c:v>
                </c:pt>
                <c:pt idx="361">
                  <c:v>0.33031258949519909</c:v>
                </c:pt>
                <c:pt idx="362">
                  <c:v>0.32674610157769823</c:v>
                </c:pt>
                <c:pt idx="363">
                  <c:v>0.32318803286067843</c:v>
                </c:pt>
                <c:pt idx="364">
                  <c:v>0.3196383434548295</c:v>
                </c:pt>
                <c:pt idx="365">
                  <c:v>0.31609699375937028</c:v>
                </c:pt>
                <c:pt idx="366">
                  <c:v>0.31256394445927493</c:v>
                </c:pt>
                <c:pt idx="367">
                  <c:v>0.30903915652252406</c:v>
                </c:pt>
                <c:pt idx="368">
                  <c:v>0.30552259119739072</c:v>
                </c:pt>
                <c:pt idx="369">
                  <c:v>0.30201421000975121</c:v>
                </c:pt>
                <c:pt idx="370">
                  <c:v>0.29851397476042973</c:v>
                </c:pt>
                <c:pt idx="371">
                  <c:v>0.29502184752257177</c:v>
                </c:pt>
                <c:pt idx="372">
                  <c:v>0.29153779063903984</c:v>
                </c:pt>
                <c:pt idx="373">
                  <c:v>0.28806176671984735</c:v>
                </c:pt>
                <c:pt idx="374">
                  <c:v>0.28459373863961412</c:v>
                </c:pt>
                <c:pt idx="375">
                  <c:v>0.28113366953504937</c:v>
                </c:pt>
                <c:pt idx="376">
                  <c:v>0.27768152280246289</c:v>
                </c:pt>
                <c:pt idx="377">
                  <c:v>0.27423726209531363</c:v>
                </c:pt>
                <c:pt idx="378">
                  <c:v>0.2708008513217578</c:v>
                </c:pt>
                <c:pt idx="379">
                  <c:v>0.26737225464225817</c:v>
                </c:pt>
                <c:pt idx="380">
                  <c:v>0.26395143646719588</c:v>
                </c:pt>
                <c:pt idx="381">
                  <c:v>0.26053836145450998</c:v>
                </c:pt>
                <c:pt idx="382">
                  <c:v>0.25713299450737226</c:v>
                </c:pt>
                <c:pt idx="383">
                  <c:v>0.25373530077188161</c:v>
                </c:pt>
                <c:pt idx="384">
                  <c:v>0.25034524563477711</c:v>
                </c:pt>
                <c:pt idx="385">
                  <c:v>0.24696279472119476</c:v>
                </c:pt>
                <c:pt idx="386">
                  <c:v>0.24358791389242038</c:v>
                </c:pt>
                <c:pt idx="387">
                  <c:v>0.24022056924369112</c:v>
                </c:pt>
                <c:pt idx="388">
                  <c:v>0.23686072710201161</c:v>
                </c:pt>
                <c:pt idx="389">
                  <c:v>0.23350835402398823</c:v>
                </c:pt>
                <c:pt idx="390">
                  <c:v>0.23016341679369448</c:v>
                </c:pt>
                <c:pt idx="391">
                  <c:v>0.22682588242055501</c:v>
                </c:pt>
                <c:pt idx="392">
                  <c:v>0.22349571813725613</c:v>
                </c:pt>
                <c:pt idx="393">
                  <c:v>0.22017289139767032</c:v>
                </c:pt>
                <c:pt idx="394">
                  <c:v>0.2168573698748158</c:v>
                </c:pt>
                <c:pt idx="395">
                  <c:v>0.21354912145882485</c:v>
                </c:pt>
                <c:pt idx="396">
                  <c:v>0.21024811425493847</c:v>
                </c:pt>
                <c:pt idx="397">
                  <c:v>0.2069543165815271</c:v>
                </c:pt>
                <c:pt idx="398">
                  <c:v>0.20366769696813</c:v>
                </c:pt>
                <c:pt idx="399">
                  <c:v>0.20038822415350332</c:v>
                </c:pt>
                <c:pt idx="400">
                  <c:v>0.19711586708371764</c:v>
                </c:pt>
                <c:pt idx="401">
                  <c:v>0.19385059491023587</c:v>
                </c:pt>
                <c:pt idx="402">
                  <c:v>0.19059237698804782</c:v>
                </c:pt>
                <c:pt idx="403">
                  <c:v>0.18734118287380416</c:v>
                </c:pt>
                <c:pt idx="404">
                  <c:v>0.18409698232397884</c:v>
                </c:pt>
                <c:pt idx="405">
                  <c:v>0.18085974529303953</c:v>
                </c:pt>
                <c:pt idx="406">
                  <c:v>0.17762944193165628</c:v>
                </c:pt>
                <c:pt idx="407">
                  <c:v>0.17440604258490738</c:v>
                </c:pt>
                <c:pt idx="408">
                  <c:v>0.17118951779052555</c:v>
                </c:pt>
                <c:pt idx="409">
                  <c:v>0.16797983827713375</c:v>
                </c:pt>
                <c:pt idx="410">
                  <c:v>0.16477697496254348</c:v>
                </c:pt>
                <c:pt idx="411">
                  <c:v>0.16158089895201933</c:v>
                </c:pt>
                <c:pt idx="412">
                  <c:v>0.15839158153660143</c:v>
                </c:pt>
                <c:pt idx="413">
                  <c:v>0.15520899419142889</c:v>
                </c:pt>
                <c:pt idx="414">
                  <c:v>0.15203310857407717</c:v>
                </c:pt>
                <c:pt idx="415">
                  <c:v>0.14886389652292781</c:v>
                </c:pt>
                <c:pt idx="416">
                  <c:v>0.14570133005553407</c:v>
                </c:pt>
                <c:pt idx="417">
                  <c:v>0.14254538136702805</c:v>
                </c:pt>
                <c:pt idx="418">
                  <c:v>0.13939602282852165</c:v>
                </c:pt>
                <c:pt idx="419">
                  <c:v>0.13625322698553755</c:v>
                </c:pt>
                <c:pt idx="420">
                  <c:v>0.13311696655645563</c:v>
                </c:pt>
                <c:pt idx="421">
                  <c:v>0.12998721443096742</c:v>
                </c:pt>
                <c:pt idx="422">
                  <c:v>0.12686394366855777</c:v>
                </c:pt>
                <c:pt idx="423">
                  <c:v>0.12374712749698867</c:v>
                </c:pt>
                <c:pt idx="424">
                  <c:v>0.12063673931081674</c:v>
                </c:pt>
                <c:pt idx="425">
                  <c:v>0.11753275266990679</c:v>
                </c:pt>
                <c:pt idx="426">
                  <c:v>0.11443514129797461</c:v>
                </c:pt>
                <c:pt idx="427">
                  <c:v>0.11134387908114007</c:v>
                </c:pt>
                <c:pt idx="428">
                  <c:v>0.10825894006648827</c:v>
                </c:pt>
                <c:pt idx="429">
                  <c:v>0.10518029846065977</c:v>
                </c:pt>
                <c:pt idx="430">
                  <c:v>0.10210792862844814</c:v>
                </c:pt>
                <c:pt idx="431">
                  <c:v>9.9041805091401439E-2</c:v>
                </c:pt>
                <c:pt idx="432">
                  <c:v>9.5981902526458177E-2</c:v>
                </c:pt>
                <c:pt idx="433">
                  <c:v>9.2928195764588301E-2</c:v>
                </c:pt>
                <c:pt idx="434">
                  <c:v>8.9880659789433104E-2</c:v>
                </c:pt>
                <c:pt idx="435">
                  <c:v>8.6839269735984326E-2</c:v>
                </c:pt>
                <c:pt idx="436">
                  <c:v>8.3804000889270022E-2</c:v>
                </c:pt>
                <c:pt idx="437">
                  <c:v>8.0774828683029667E-2</c:v>
                </c:pt>
                <c:pt idx="438">
                  <c:v>7.7751728698443254E-2</c:v>
                </c:pt>
                <c:pt idx="439">
                  <c:v>7.4734676662840685E-2</c:v>
                </c:pt>
                <c:pt idx="440">
                  <c:v>7.1723648448436608E-2</c:v>
                </c:pt>
                <c:pt idx="441">
                  <c:v>6.8718620071082731E-2</c:v>
                </c:pt>
                <c:pt idx="442">
                  <c:v>6.571956768901796E-2</c:v>
                </c:pt>
                <c:pt idx="443">
                  <c:v>6.272646760165268E-2</c:v>
                </c:pt>
                <c:pt idx="444">
                  <c:v>5.9739296248343732E-2</c:v>
                </c:pt>
                <c:pt idx="445">
                  <c:v>5.675803020719751E-2</c:v>
                </c:pt>
                <c:pt idx="446">
                  <c:v>5.3782646193873532E-2</c:v>
                </c:pt>
                <c:pt idx="447">
                  <c:v>5.0813121060411026E-2</c:v>
                </c:pt>
                <c:pt idx="448">
                  <c:v>4.7849431794061086E-2</c:v>
                </c:pt>
                <c:pt idx="449">
                  <c:v>4.4891555516128501E-2</c:v>
                </c:pt>
                <c:pt idx="450">
                  <c:v>4.1939469480834456E-2</c:v>
                </c:pt>
                <c:pt idx="451">
                  <c:v>3.8993151074177702E-2</c:v>
                </c:pt>
                <c:pt idx="452">
                  <c:v>3.6052577812818606E-2</c:v>
                </c:pt>
                <c:pt idx="453">
                  <c:v>3.3117727342966537E-2</c:v>
                </c:pt>
                <c:pt idx="454">
                  <c:v>3.0188577439288843E-2</c:v>
                </c:pt>
                <c:pt idx="455">
                  <c:v>2.7265106003818165E-2</c:v>
                </c:pt>
                <c:pt idx="456">
                  <c:v>2.434729106487549E-2</c:v>
                </c:pt>
                <c:pt idx="457">
                  <c:v>2.1435110776007862E-2</c:v>
                </c:pt>
                <c:pt idx="458">
                  <c:v>1.8528543414939921E-2</c:v>
                </c:pt>
                <c:pt idx="459">
                  <c:v>1.5627567382514466E-2</c:v>
                </c:pt>
                <c:pt idx="460">
                  <c:v>1.2732161201672466E-2</c:v>
                </c:pt>
                <c:pt idx="461">
                  <c:v>9.8423035164247503E-3</c:v>
                </c:pt>
                <c:pt idx="462">
                  <c:v>6.9579730908423216E-3</c:v>
                </c:pt>
                <c:pt idx="463">
                  <c:v>4.0791488080507655E-3</c:v>
                </c:pt>
                <c:pt idx="464">
                  <c:v>1.2058096692374267E-3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F-488B-92E8-181F04CEC014}"/>
            </c:ext>
          </c:extLst>
        </c:ser>
        <c:ser>
          <c:idx val="1"/>
          <c:order val="1"/>
          <c:tx>
            <c:v>vert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(MSY!$E$28,MSY!$E$28)</c:f>
              <c:numCache>
                <c:formatCode>General</c:formatCode>
                <c:ptCount val="2"/>
                <c:pt idx="0">
                  <c:v>12.147382264741063</c:v>
                </c:pt>
                <c:pt idx="1">
                  <c:v>12.147382264741063</c:v>
                </c:pt>
              </c:numCache>
            </c:numRef>
          </c:xVal>
          <c:yVal>
            <c:numRef>
              <c:f>(MSY!$W$16,MSY!$E$26)</c:f>
              <c:numCache>
                <c:formatCode>General</c:formatCode>
                <c:ptCount val="2"/>
                <c:pt idx="0">
                  <c:v>0</c:v>
                </c:pt>
                <c:pt idx="1">
                  <c:v>2.3203287897058655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F-488B-92E8-181F04CEC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Equilibrium 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MSY!$A$44:$A$544</c:f>
              <c:numCache>
                <c:formatCode>General</c:formatCode>
                <c:ptCount val="501"/>
                <c:pt idx="0">
                  <c:v>9.9999999999999995E-7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xVal>
          <c:yVal>
            <c:numRef>
              <c:f>MSY!$G$44:$G$544</c:f>
              <c:numCache>
                <c:formatCode>General</c:formatCode>
                <c:ptCount val="501"/>
                <c:pt idx="0">
                  <c:v>2.914803736686416E-5</c:v>
                </c:pt>
                <c:pt idx="1">
                  <c:v>0.27304398896818233</c:v>
                </c:pt>
                <c:pt idx="2">
                  <c:v>0.51281605101056194</c:v>
                </c:pt>
                <c:pt idx="3">
                  <c:v>0.72400581381951945</c:v>
                </c:pt>
                <c:pt idx="4">
                  <c:v>0.91050609253656378</c:v>
                </c:pt>
                <c:pt idx="5">
                  <c:v>1.0755727349274968</c:v>
                </c:pt>
                <c:pt idx="6">
                  <c:v>1.2219476063613954</c:v>
                </c:pt>
                <c:pt idx="7">
                  <c:v>1.3519542579358321</c:v>
                </c:pt>
                <c:pt idx="8">
                  <c:v>1.4675730981922595</c:v>
                </c:pt>
                <c:pt idx="9">
                  <c:v>1.5705010098770316</c:v>
                </c:pt>
                <c:pt idx="10">
                  <c:v>1.6621990371843163</c:v>
                </c:pt>
                <c:pt idx="11">
                  <c:v>1.7439308344906912</c:v>
                </c:pt>
                <c:pt idx="12">
                  <c:v>1.8167938956536049</c:v>
                </c:pt>
                <c:pt idx="13">
                  <c:v>1.8817450940482598</c:v>
                </c:pt>
                <c:pt idx="14">
                  <c:v>1.9396217038856089</c:v>
                </c:pt>
                <c:pt idx="15">
                  <c:v>1.9911588060957366</c:v>
                </c:pt>
                <c:pt idx="16">
                  <c:v>2.0370037815441675</c:v>
                </c:pt>
                <c:pt idx="17">
                  <c:v>2.0777284425541551</c:v>
                </c:pt>
                <c:pt idx="18">
                  <c:v>2.1138392378271735</c:v>
                </c:pt>
                <c:pt idx="19">
                  <c:v>2.1457858766871878</c:v>
                </c:pt>
                <c:pt idx="20">
                  <c:v>2.173968649449848</c:v>
                </c:pt>
                <c:pt idx="21">
                  <c:v>2.1987446667517236</c:v>
                </c:pt>
                <c:pt idx="22">
                  <c:v>2.2204331982614707</c:v>
                </c:pt>
                <c:pt idx="23">
                  <c:v>2.2393202576500992</c:v>
                </c:pt>
                <c:pt idx="24">
                  <c:v>2.2556625540075705</c:v>
                </c:pt>
                <c:pt idx="25">
                  <c:v>2.269690908535932</c:v>
                </c:pt>
                <c:pt idx="26">
                  <c:v>2.2816132181667914</c:v>
                </c:pt>
                <c:pt idx="27">
                  <c:v>2.2916170338556863</c:v>
                </c:pt>
                <c:pt idx="28">
                  <c:v>2.2998718100137019</c:v>
                </c:pt>
                <c:pt idx="29">
                  <c:v>2.3065308723166775</c:v>
                </c:pt>
                <c:pt idx="30">
                  <c:v>2.3117331435704997</c:v>
                </c:pt>
                <c:pt idx="31">
                  <c:v>2.3156046610825411</c:v>
                </c:pt>
                <c:pt idx="32">
                  <c:v>2.3182599138379025</c:v>
                </c:pt>
                <c:pt idx="33">
                  <c:v>2.3198030235019598</c:v>
                </c:pt>
                <c:pt idx="34">
                  <c:v>2.3203287897058655</c:v>
                </c:pt>
                <c:pt idx="35">
                  <c:v>2.3199236170898287</c:v>
                </c:pt>
                <c:pt idx="36">
                  <c:v>2.3186663390761426</c:v>
                </c:pt>
                <c:pt idx="37">
                  <c:v>2.3166289512361455</c:v>
                </c:pt>
                <c:pt idx="38">
                  <c:v>2.3138772653344453</c:v>
                </c:pt>
                <c:pt idx="39">
                  <c:v>2.3104714936245649</c:v>
                </c:pt>
                <c:pt idx="40">
                  <c:v>2.306466771687373</c:v>
                </c:pt>
                <c:pt idx="41">
                  <c:v>2.3019136270101468</c:v>
                </c:pt>
                <c:pt idx="42">
                  <c:v>2.2968583995695155</c:v>
                </c:pt>
                <c:pt idx="43">
                  <c:v>2.2913436198804105</c:v>
                </c:pt>
                <c:pt idx="44">
                  <c:v>2.285408349284932</c:v>
                </c:pt>
                <c:pt idx="45">
                  <c:v>2.2790884866621814</c:v>
                </c:pt>
                <c:pt idx="46">
                  <c:v>2.2724170452282357</c:v>
                </c:pt>
                <c:pt idx="47">
                  <c:v>2.2654244026525157</c:v>
                </c:pt>
                <c:pt idx="48">
                  <c:v>2.2581385273325787</c:v>
                </c:pt>
                <c:pt idx="49">
                  <c:v>2.2505851833355002</c:v>
                </c:pt>
                <c:pt idx="50">
                  <c:v>2.24278811622314</c:v>
                </c:pt>
                <c:pt idx="51">
                  <c:v>2.2347692217248012</c:v>
                </c:pt>
                <c:pt idx="52">
                  <c:v>2.2265486989988399</c:v>
                </c:pt>
                <c:pt idx="53">
                  <c:v>2.2181451900303721</c:v>
                </c:pt>
                <c:pt idx="54">
                  <c:v>2.2095759065415765</c:v>
                </c:pt>
                <c:pt idx="55">
                  <c:v>2.2008567456410715</c:v>
                </c:pt>
                <c:pt idx="56">
                  <c:v>2.1920023953067438</c:v>
                </c:pt>
                <c:pt idx="57">
                  <c:v>2.1830264306798139</c:v>
                </c:pt>
                <c:pt idx="58">
                  <c:v>2.1739414020450298</c:v>
                </c:pt>
                <c:pt idx="59">
                  <c:v>2.1647589152806566</c:v>
                </c:pt>
                <c:pt idx="60">
                  <c:v>2.1554897054812558</c:v>
                </c:pt>
                <c:pt idx="61">
                  <c:v>2.1461437043845444</c:v>
                </c:pt>
                <c:pt idx="62">
                  <c:v>2.1367301021699161</c:v>
                </c:pt>
                <c:pt idx="63">
                  <c:v>2.1272574041395176</c:v>
                </c:pt>
                <c:pt idx="64">
                  <c:v>2.1177334827422656</c:v>
                </c:pt>
                <c:pt idx="65">
                  <c:v>2.1081656253560737</c:v>
                </c:pt>
                <c:pt idx="66">
                  <c:v>2.0985605782033105</c:v>
                </c:pt>
                <c:pt idx="67">
                  <c:v>2.0889245867384556</c:v>
                </c:pt>
                <c:pt idx="68">
                  <c:v>2.0792634328146629</c:v>
                </c:pt>
                <c:pt idx="69">
                  <c:v>2.0695824689069902</c:v>
                </c:pt>
                <c:pt idx="70">
                  <c:v>2.0598866496441053</c:v>
                </c:pt>
                <c:pt idx="71">
                  <c:v>2.0501805608769268</c:v>
                </c:pt>
                <c:pt idx="72">
                  <c:v>2.0404684464916505</c:v>
                </c:pt>
                <c:pt idx="73">
                  <c:v>2.0307542331557391</c:v>
                </c:pt>
                <c:pt idx="74">
                  <c:v>2.0210415531683918</c:v>
                </c:pt>
                <c:pt idx="75">
                  <c:v>2.0113337655716381</c:v>
                </c:pt>
                <c:pt idx="76">
                  <c:v>2.0016339756643102</c:v>
                </c:pt>
                <c:pt idx="77">
                  <c:v>1.9919450530486216</c:v>
                </c:pt>
                <c:pt idx="78">
                  <c:v>1.9822696483276958</c:v>
                </c:pt>
                <c:pt idx="79">
                  <c:v>1.9726102085621231</c:v>
                </c:pt>
                <c:pt idx="80">
                  <c:v>1.9629689915842869</c:v>
                </c:pt>
                <c:pt idx="81">
                  <c:v>1.9533480792607902</c:v>
                </c:pt>
                <c:pt idx="82">
                  <c:v>1.9437493897855564</c:v>
                </c:pt>
                <c:pt idx="83">
                  <c:v>1.9341746890793194</c:v>
                </c:pt>
                <c:pt idx="84">
                  <c:v>1.9246256013647649</c:v>
                </c:pt>
                <c:pt idx="85">
                  <c:v>1.9151036189808996</c:v>
                </c:pt>
                <c:pt idx="86">
                  <c:v>1.9056101114949253</c:v>
                </c:pt>
                <c:pt idx="87">
                  <c:v>1.8961463341651443</c:v>
                </c:pt>
                <c:pt idx="88">
                  <c:v>1.8867134358040138</c:v>
                </c:pt>
                <c:pt idx="89">
                  <c:v>1.8773124660865257</c:v>
                </c:pt>
                <c:pt idx="90">
                  <c:v>1.8679443823454329</c:v>
                </c:pt>
                <c:pt idx="91">
                  <c:v>1.8586100558915299</c:v>
                </c:pt>
                <c:pt idx="92">
                  <c:v>1.8493102778941231</c:v>
                </c:pt>
                <c:pt idx="93">
                  <c:v>1.8400457648541011</c:v>
                </c:pt>
                <c:pt idx="94">
                  <c:v>1.8308171636994495</c:v>
                </c:pt>
                <c:pt idx="95">
                  <c:v>1.8216250565306746</c:v>
                </c:pt>
                <c:pt idx="96">
                  <c:v>1.8124699650415572</c:v>
                </c:pt>
                <c:pt idx="97">
                  <c:v>1.8033523546386321</c:v>
                </c:pt>
                <c:pt idx="98">
                  <c:v>1.7942726382809828</c:v>
                </c:pt>
                <c:pt idx="99">
                  <c:v>1.7852311800603653</c:v>
                </c:pt>
                <c:pt idx="100">
                  <c:v>1.7762282985400653</c:v>
                </c:pt>
                <c:pt idx="101">
                  <c:v>1.7672642698695775</c:v>
                </c:pt>
                <c:pt idx="102">
                  <c:v>1.7583393306908597</c:v>
                </c:pt>
                <c:pt idx="103">
                  <c:v>1.7494536808507788</c:v>
                </c:pt>
                <c:pt idx="104">
                  <c:v>1.7406074859332386</c:v>
                </c:pt>
                <c:pt idx="105">
                  <c:v>1.7318008796235227</c:v>
                </c:pt>
                <c:pt idx="106">
                  <c:v>1.7230339659164342</c:v>
                </c:pt>
                <c:pt idx="107">
                  <c:v>1.7143068211789765</c:v>
                </c:pt>
                <c:pt idx="108">
                  <c:v>1.7056194960775501</c:v>
                </c:pt>
                <c:pt idx="109">
                  <c:v>1.6969720173788787</c:v>
                </c:pt>
                <c:pt idx="110">
                  <c:v>1.6883643896332658</c:v>
                </c:pt>
                <c:pt idx="111">
                  <c:v>1.6797965967481325</c:v>
                </c:pt>
                <c:pt idx="112">
                  <c:v>1.6712686034592099</c:v>
                </c:pt>
                <c:pt idx="113">
                  <c:v>1.6627803567062767</c:v>
                </c:pt>
                <c:pt idx="114">
                  <c:v>1.6543317869197984</c:v>
                </c:pt>
                <c:pt idx="115">
                  <c:v>1.6459228092244178</c:v>
                </c:pt>
                <c:pt idx="116">
                  <c:v>1.6375533245647884</c:v>
                </c:pt>
                <c:pt idx="117">
                  <c:v>1.6292232207589006</c:v>
                </c:pt>
                <c:pt idx="118">
                  <c:v>1.6209323734836529</c:v>
                </c:pt>
                <c:pt idx="119">
                  <c:v>1.6126806471971338</c:v>
                </c:pt>
                <c:pt idx="120">
                  <c:v>1.6044678960017258</c:v>
                </c:pt>
                <c:pt idx="121">
                  <c:v>1.5962939644519025</c:v>
                </c:pt>
                <c:pt idx="122">
                  <c:v>1.5881586883102981</c:v>
                </c:pt>
                <c:pt idx="123">
                  <c:v>1.5800618952553918</c:v>
                </c:pt>
                <c:pt idx="124">
                  <c:v>1.5720034055439429</c:v>
                </c:pt>
                <c:pt idx="125">
                  <c:v>1.5639830326310575</c:v>
                </c:pt>
                <c:pt idx="126">
                  <c:v>1.5560005837506241</c:v>
                </c:pt>
                <c:pt idx="127">
                  <c:v>1.5480558604586325</c:v>
                </c:pt>
                <c:pt idx="128">
                  <c:v>1.540148659141749</c:v>
                </c:pt>
                <c:pt idx="129">
                  <c:v>1.5322787714933415</c:v>
                </c:pt>
                <c:pt idx="130">
                  <c:v>1.5244459849590282</c:v>
                </c:pt>
                <c:pt idx="131">
                  <c:v>1.5166500831536585</c:v>
                </c:pt>
                <c:pt idx="132">
                  <c:v>1.5088908462515405</c:v>
                </c:pt>
                <c:pt idx="133">
                  <c:v>1.5011680513515737</c:v>
                </c:pt>
                <c:pt idx="134">
                  <c:v>1.493481472818881</c:v>
                </c:pt>
                <c:pt idx="135">
                  <c:v>1.4858308826043805</c:v>
                </c:pt>
                <c:pt idx="136">
                  <c:v>1.4782160505437039</c:v>
                </c:pt>
                <c:pt idx="137">
                  <c:v>1.4706367446367159</c:v>
                </c:pt>
                <c:pt idx="138">
                  <c:v>1.4630927313088504</c:v>
                </c:pt>
                <c:pt idx="139">
                  <c:v>1.455583775655396</c:v>
                </c:pt>
                <c:pt idx="140">
                  <c:v>1.4481096416697581</c:v>
                </c:pt>
                <c:pt idx="141">
                  <c:v>1.4406700924567297</c:v>
                </c:pt>
                <c:pt idx="142">
                  <c:v>1.4332648904316345</c:v>
                </c:pt>
                <c:pt idx="143">
                  <c:v>1.4258937975062649</c:v>
                </c:pt>
                <c:pt idx="144">
                  <c:v>1.4185565752623883</c:v>
                </c:pt>
                <c:pt idx="145">
                  <c:v>1.4112529851136018</c:v>
                </c:pt>
                <c:pt idx="146">
                  <c:v>1.4039827884562333</c:v>
                </c:pt>
                <c:pt idx="147">
                  <c:v>1.3967457468099715</c:v>
                </c:pt>
                <c:pt idx="148">
                  <c:v>1.3895416219488421</c:v>
                </c:pt>
                <c:pt idx="149">
                  <c:v>1.3823701760231177</c:v>
                </c:pt>
                <c:pt idx="150">
                  <c:v>1.3752311716727206</c:v>
                </c:pt>
                <c:pt idx="151">
                  <c:v>1.3681243721326228</c:v>
                </c:pt>
                <c:pt idx="152">
                  <c:v>1.3610495413307491</c:v>
                </c:pt>
                <c:pt idx="153">
                  <c:v>1.3540064439788091</c:v>
                </c:pt>
                <c:pt idx="154">
                  <c:v>1.3469948456565242</c:v>
                </c:pt>
                <c:pt idx="155">
                  <c:v>1.3400145128896122</c:v>
                </c:pt>
                <c:pt idx="156">
                  <c:v>1.3330652132219387</c:v>
                </c:pt>
                <c:pt idx="157">
                  <c:v>1.3261467152821695</c:v>
                </c:pt>
                <c:pt idx="158">
                  <c:v>1.3192587888452718</c:v>
                </c:pt>
                <c:pt idx="159">
                  <c:v>1.3124012048891556</c:v>
                </c:pt>
                <c:pt idx="160">
                  <c:v>1.3055737356467889</c:v>
                </c:pt>
                <c:pt idx="161">
                  <c:v>1.2987761546540053</c:v>
                </c:pt>
                <c:pt idx="162">
                  <c:v>1.2920082367933265</c:v>
                </c:pt>
                <c:pt idx="163">
                  <c:v>1.2852697583340014</c:v>
                </c:pt>
                <c:pt idx="164">
                  <c:v>1.2785604969685009</c:v>
                </c:pt>
                <c:pt idx="165">
                  <c:v>1.2718802318456945</c:v>
                </c:pt>
                <c:pt idx="166">
                  <c:v>1.2652287436009078</c:v>
                </c:pt>
                <c:pt idx="167">
                  <c:v>1.2586058143830408</c:v>
                </c:pt>
                <c:pt idx="168">
                  <c:v>1.2520112278789524</c:v>
                </c:pt>
                <c:pt idx="169">
                  <c:v>1.2454447693352431</c:v>
                </c:pt>
                <c:pt idx="170">
                  <c:v>1.2389062255776373</c:v>
                </c:pt>
                <c:pt idx="171">
                  <c:v>1.2323953850280789</c:v>
                </c:pt>
                <c:pt idx="172">
                  <c:v>1.2259120377197119</c:v>
                </c:pt>
                <c:pt idx="173">
                  <c:v>1.219455975309846</c:v>
                </c:pt>
                <c:pt idx="174">
                  <c:v>1.2130269910910658</c:v>
                </c:pt>
                <c:pt idx="175">
                  <c:v>1.2066248800005792</c:v>
                </c:pt>
                <c:pt idx="176">
                  <c:v>1.200249438627923</c:v>
                </c:pt>
                <c:pt idx="177">
                  <c:v>1.1939004652211276</c:v>
                </c:pt>
                <c:pt idx="178">
                  <c:v>1.1875777596914503</c:v>
                </c:pt>
                <c:pt idx="179">
                  <c:v>1.1812811236167462</c:v>
                </c:pt>
                <c:pt idx="180">
                  <c:v>1.1750103602435937</c:v>
                </c:pt>
                <c:pt idx="181">
                  <c:v>1.1687652744882271</c:v>
                </c:pt>
                <c:pt idx="182">
                  <c:v>1.1625456729363828</c:v>
                </c:pt>
                <c:pt idx="183">
                  <c:v>1.1563513638421079</c:v>
                </c:pt>
                <c:pt idx="184">
                  <c:v>1.1501821571256077</c:v>
                </c:pt>
                <c:pt idx="185">
                  <c:v>1.1440378643702072</c:v>
                </c:pt>
                <c:pt idx="186">
                  <c:v>1.1379182988184708</c:v>
                </c:pt>
                <c:pt idx="187">
                  <c:v>1.1318232753675523</c:v>
                </c:pt>
                <c:pt idx="188">
                  <c:v>1.1257526105638131</c:v>
                </c:pt>
                <c:pt idx="189">
                  <c:v>1.1197061225967821</c:v>
                </c:pt>
                <c:pt idx="190">
                  <c:v>1.1136836312924778</c:v>
                </c:pt>
                <c:pt idx="191">
                  <c:v>1.1076849581061634</c:v>
                </c:pt>
                <c:pt idx="192">
                  <c:v>1.1017099261145606</c:v>
                </c:pt>
                <c:pt idx="193">
                  <c:v>1.0957583600075693</c:v>
                </c:pt>
                <c:pt idx="194">
                  <c:v>1.0898300860795331</c:v>
                </c:pt>
                <c:pt idx="195">
                  <c:v>1.0839249322200697</c:v>
                </c:pt>
                <c:pt idx="196">
                  <c:v>1.0780427279045319</c:v>
                </c:pt>
                <c:pt idx="197">
                  <c:v>1.0721833041840936</c:v>
                </c:pt>
                <c:pt idx="198">
                  <c:v>1.0663464936755238</c:v>
                </c:pt>
                <c:pt idx="199">
                  <c:v>1.0605321305506412</c:v>
                </c:pt>
                <c:pt idx="200">
                  <c:v>1.0547400505255202</c:v>
                </c:pt>
                <c:pt idx="201">
                  <c:v>1.0489700908494257</c:v>
                </c:pt>
                <c:pt idx="202">
                  <c:v>1.0432220902935379</c:v>
                </c:pt>
                <c:pt idx="203">
                  <c:v>1.0374958891394648</c:v>
                </c:pt>
                <c:pt idx="204">
                  <c:v>1.0317913291675802</c:v>
                </c:pt>
                <c:pt idx="205">
                  <c:v>1.0261082536451895</c:v>
                </c:pt>
                <c:pt idx="206">
                  <c:v>1.020446507314549</c:v>
                </c:pt>
                <c:pt idx="207">
                  <c:v>1.0148059363807795</c:v>
                </c:pt>
                <c:pt idx="208">
                  <c:v>1.0091863884996339</c:v>
                </c:pt>
                <c:pt idx="209">
                  <c:v>1.0035877127651927</c:v>
                </c:pt>
                <c:pt idx="210">
                  <c:v>0.99800975969747241</c:v>
                </c:pt>
                <c:pt idx="211">
                  <c:v>0.99245238122995505</c:v>
                </c:pt>
                <c:pt idx="212">
                  <c:v>0.98691543069707299</c:v>
                </c:pt>
                <c:pt idx="213">
                  <c:v>0.98139876282164151</c:v>
                </c:pt>
                <c:pt idx="214">
                  <c:v>0.97590223370225626</c:v>
                </c:pt>
                <c:pt idx="215">
                  <c:v>0.97042570080068102</c:v>
                </c:pt>
                <c:pt idx="216">
                  <c:v>0.96496902292919451</c:v>
                </c:pt>
                <c:pt idx="217">
                  <c:v>0.95953206023796345</c:v>
                </c:pt>
                <c:pt idx="218">
                  <c:v>0.95411467420239526</c:v>
                </c:pt>
                <c:pt idx="219">
                  <c:v>0.94871672761051451</c:v>
                </c:pt>
                <c:pt idx="220">
                  <c:v>0.94333808455035195</c:v>
                </c:pt>
                <c:pt idx="221">
                  <c:v>0.93797861039736519</c:v>
                </c:pt>
                <c:pt idx="222">
                  <c:v>0.93263817180188924</c:v>
                </c:pt>
                <c:pt idx="223">
                  <c:v>0.9273166366766169</c:v>
                </c:pt>
                <c:pt idx="224">
                  <c:v>0.92201387418413927</c:v>
                </c:pt>
                <c:pt idx="225">
                  <c:v>0.91672975472452456</c:v>
                </c:pt>
                <c:pt idx="226">
                  <c:v>0.91146414992294877</c:v>
                </c:pt>
                <c:pt idx="227">
                  <c:v>0.90621693261739045</c:v>
                </c:pt>
                <c:pt idx="228">
                  <c:v>0.90098797684638876</c:v>
                </c:pt>
                <c:pt idx="229">
                  <c:v>0.89577715783685996</c:v>
                </c:pt>
                <c:pt idx="230">
                  <c:v>0.89058435199200003</c:v>
                </c:pt>
                <c:pt idx="231">
                  <c:v>0.88540943687923201</c:v>
                </c:pt>
                <c:pt idx="232">
                  <c:v>0.8802522912182642</c:v>
                </c:pt>
                <c:pt idx="233">
                  <c:v>0.8751127948692019</c:v>
                </c:pt>
                <c:pt idx="234">
                  <c:v>0.86999082882075007</c:v>
                </c:pt>
                <c:pt idx="235">
                  <c:v>0.86488627517850136</c:v>
                </c:pt>
                <c:pt idx="236">
                  <c:v>0.85979901715330675</c:v>
                </c:pt>
                <c:pt idx="237">
                  <c:v>0.85472893904973812</c:v>
                </c:pt>
                <c:pt idx="238">
                  <c:v>0.84967592625463295</c:v>
                </c:pt>
                <c:pt idx="239">
                  <c:v>0.84463986522573931</c:v>
                </c:pt>
                <c:pt idx="240">
                  <c:v>0.8396206434804494</c:v>
                </c:pt>
                <c:pt idx="241">
                  <c:v>0.83461814958463143</c:v>
                </c:pt>
                <c:pt idx="242">
                  <c:v>0.82963227314154298</c:v>
                </c:pt>
                <c:pt idx="243">
                  <c:v>0.82466290478086046</c:v>
                </c:pt>
                <c:pt idx="244">
                  <c:v>0.81970993614779331</c:v>
                </c:pt>
                <c:pt idx="245">
                  <c:v>0.81477325989229388</c:v>
                </c:pt>
                <c:pt idx="246">
                  <c:v>0.80985276965837727</c:v>
                </c:pt>
                <c:pt idx="247">
                  <c:v>0.80494836007352832</c:v>
                </c:pt>
                <c:pt idx="248">
                  <c:v>0.80005992673821602</c:v>
                </c:pt>
                <c:pt idx="249">
                  <c:v>0.79518736621550601</c:v>
                </c:pt>
                <c:pt idx="250">
                  <c:v>0.79033057602076107</c:v>
                </c:pt>
                <c:pt idx="251">
                  <c:v>0.78548945461147246</c:v>
                </c:pt>
                <c:pt idx="252">
                  <c:v>0.78066390137714869</c:v>
                </c:pt>
                <c:pt idx="253">
                  <c:v>0.77585381662934727</c:v>
                </c:pt>
                <c:pt idx="254">
                  <c:v>0.77105910159177815</c:v>
                </c:pt>
                <c:pt idx="255">
                  <c:v>0.76627965839050827</c:v>
                </c:pt>
                <c:pt idx="256">
                  <c:v>0.76151539004428936</c:v>
                </c:pt>
                <c:pt idx="257">
                  <c:v>0.75676620045496312</c:v>
                </c:pt>
                <c:pt idx="258">
                  <c:v>0.75203199439796764</c:v>
                </c:pt>
                <c:pt idx="259">
                  <c:v>0.74731267751295627</c:v>
                </c:pt>
                <c:pt idx="260">
                  <c:v>0.74260815629449872</c:v>
                </c:pt>
                <c:pt idx="261">
                  <c:v>0.73791833808289631</c:v>
                </c:pt>
                <c:pt idx="262">
                  <c:v>0.73324313105508487</c:v>
                </c:pt>
                <c:pt idx="263">
                  <c:v>0.72858244421563734</c:v>
                </c:pt>
                <c:pt idx="264">
                  <c:v>0.72393618738785748</c:v>
                </c:pt>
                <c:pt idx="265">
                  <c:v>0.7193042712049893</c:v>
                </c:pt>
                <c:pt idx="266">
                  <c:v>0.71468660710149523</c:v>
                </c:pt>
                <c:pt idx="267">
                  <c:v>0.71008310730445201</c:v>
                </c:pt>
                <c:pt idx="268">
                  <c:v>0.70549368482502484</c:v>
                </c:pt>
                <c:pt idx="269">
                  <c:v>0.7009182534500511</c:v>
                </c:pt>
                <c:pt idx="270">
                  <c:v>0.69635672773370227</c:v>
                </c:pt>
                <c:pt idx="271">
                  <c:v>0.69180902298924229</c:v>
                </c:pt>
                <c:pt idx="272">
                  <c:v>0.68727505528088806</c:v>
                </c:pt>
                <c:pt idx="273">
                  <c:v>0.68275474141574555</c:v>
                </c:pt>
                <c:pt idx="274">
                  <c:v>0.67824799893584686</c:v>
                </c:pt>
                <c:pt idx="275">
                  <c:v>0.67375474611027475</c:v>
                </c:pt>
                <c:pt idx="276">
                  <c:v>0.66927490192736716</c:v>
                </c:pt>
                <c:pt idx="277">
                  <c:v>0.6648083860870273</c:v>
                </c:pt>
                <c:pt idx="278">
                  <c:v>0.66035511899310084</c:v>
                </c:pt>
                <c:pt idx="279">
                  <c:v>0.65591502174585359</c:v>
                </c:pt>
                <c:pt idx="280">
                  <c:v>0.65148801613453255</c:v>
                </c:pt>
                <c:pt idx="281">
                  <c:v>0.64707402463000252</c:v>
                </c:pt>
                <c:pt idx="282">
                  <c:v>0.64267297037747972</c:v>
                </c:pt>
                <c:pt idx="283">
                  <c:v>0.63828477718933974</c:v>
                </c:pt>
                <c:pt idx="284">
                  <c:v>0.63390936953800736</c:v>
                </c:pt>
                <c:pt idx="285">
                  <c:v>0.62954667254893748</c:v>
                </c:pt>
                <c:pt idx="286">
                  <c:v>0.62519661199366472</c:v>
                </c:pt>
                <c:pt idx="287">
                  <c:v>0.62085911428293572</c:v>
                </c:pt>
                <c:pt idx="288">
                  <c:v>0.61653410645993201</c:v>
                </c:pt>
                <c:pt idx="289">
                  <c:v>0.61222151619355025</c:v>
                </c:pt>
                <c:pt idx="290">
                  <c:v>0.60792127177177746</c:v>
                </c:pt>
                <c:pt idx="291">
                  <c:v>0.60363330209513932</c:v>
                </c:pt>
                <c:pt idx="292">
                  <c:v>0.59935753667021252</c:v>
                </c:pt>
                <c:pt idx="293">
                  <c:v>0.5950939056032305</c:v>
                </c:pt>
                <c:pt idx="294">
                  <c:v>0.59084233959374333</c:v>
                </c:pt>
                <c:pt idx="295">
                  <c:v>0.58660276992836902</c:v>
                </c:pt>
                <c:pt idx="296">
                  <c:v>0.5823751284746076</c:v>
                </c:pt>
                <c:pt idx="297">
                  <c:v>0.57815934767472388</c:v>
                </c:pt>
                <c:pt idx="298">
                  <c:v>0.5739553605397083</c:v>
                </c:pt>
                <c:pt idx="299">
                  <c:v>0.56976310064330704</c:v>
                </c:pt>
                <c:pt idx="300">
                  <c:v>0.56558250211611338</c:v>
                </c:pt>
                <c:pt idx="301">
                  <c:v>0.56141349963973852</c:v>
                </c:pt>
                <c:pt idx="302">
                  <c:v>0.55725602844104216</c:v>
                </c:pt>
                <c:pt idx="303">
                  <c:v>0.55311002428643552</c:v>
                </c:pt>
                <c:pt idx="304">
                  <c:v>0.54897542347623918</c:v>
                </c:pt>
                <c:pt idx="305">
                  <c:v>0.54485216283912474</c:v>
                </c:pt>
                <c:pt idx="306">
                  <c:v>0.5407401797265996</c:v>
                </c:pt>
                <c:pt idx="307">
                  <c:v>0.53663941200757703</c:v>
                </c:pt>
                <c:pt idx="308">
                  <c:v>0.53254979806299263</c:v>
                </c:pt>
                <c:pt idx="309">
                  <c:v>0.52847127678048733</c:v>
                </c:pt>
                <c:pt idx="310">
                  <c:v>0.52440378754916195</c:v>
                </c:pt>
                <c:pt idx="311">
                  <c:v>0.52034727025437177</c:v>
                </c:pt>
                <c:pt idx="312">
                  <c:v>0.51630166527260546</c:v>
                </c:pt>
                <c:pt idx="313">
                  <c:v>0.51226691346640418</c:v>
                </c:pt>
                <c:pt idx="314">
                  <c:v>0.50824295617935011</c:v>
                </c:pt>
                <c:pt idx="315">
                  <c:v>0.5042297352311057</c:v>
                </c:pt>
                <c:pt idx="316">
                  <c:v>0.50022719291252016</c:v>
                </c:pt>
                <c:pt idx="317">
                  <c:v>0.49623527198078043</c:v>
                </c:pt>
                <c:pt idx="318">
                  <c:v>0.49225391565462168</c:v>
                </c:pt>
                <c:pt idx="319">
                  <c:v>0.48828306760960827</c:v>
                </c:pt>
                <c:pt idx="320">
                  <c:v>0.48432267197343615</c:v>
                </c:pt>
                <c:pt idx="321">
                  <c:v>0.48037267332132644</c:v>
                </c:pt>
                <c:pt idx="322">
                  <c:v>0.47643301667144583</c:v>
                </c:pt>
                <c:pt idx="323">
                  <c:v>0.47250364748038881</c:v>
                </c:pt>
                <c:pt idx="324">
                  <c:v>0.46858451163871312</c:v>
                </c:pt>
                <c:pt idx="325">
                  <c:v>0.46467555546652584</c:v>
                </c:pt>
                <c:pt idx="326">
                  <c:v>0.4607767257091166</c:v>
                </c:pt>
                <c:pt idx="327">
                  <c:v>0.45688796953264366</c:v>
                </c:pt>
                <c:pt idx="328">
                  <c:v>0.45300923451986741</c:v>
                </c:pt>
                <c:pt idx="329">
                  <c:v>0.44914046866594082</c:v>
                </c:pt>
                <c:pt idx="330">
                  <c:v>0.44528162037423141</c:v>
                </c:pt>
                <c:pt idx="331">
                  <c:v>0.44143263845220609</c:v>
                </c:pt>
                <c:pt idx="332">
                  <c:v>0.43759347210736027</c:v>
                </c:pt>
                <c:pt idx="333">
                  <c:v>0.4337640709431867</c:v>
                </c:pt>
                <c:pt idx="334">
                  <c:v>0.42994438495519305</c:v>
                </c:pt>
                <c:pt idx="335">
                  <c:v>0.42613436452697051</c:v>
                </c:pt>
                <c:pt idx="336">
                  <c:v>0.42233396042630433</c:v>
                </c:pt>
                <c:pt idx="337">
                  <c:v>0.41854312380131575</c:v>
                </c:pt>
                <c:pt idx="338">
                  <c:v>0.41476180617667036</c:v>
                </c:pt>
                <c:pt idx="339">
                  <c:v>0.41098995944981365</c:v>
                </c:pt>
                <c:pt idx="340">
                  <c:v>0.40722753588725286</c:v>
                </c:pt>
                <c:pt idx="341">
                  <c:v>0.40347448812087977</c:v>
                </c:pt>
                <c:pt idx="342">
                  <c:v>0.39973076914434136</c:v>
                </c:pt>
                <c:pt idx="343">
                  <c:v>0.39599633230944503</c:v>
                </c:pt>
                <c:pt idx="344">
                  <c:v>0.39227113132259933</c:v>
                </c:pt>
                <c:pt idx="345">
                  <c:v>0.3885551202413155</c:v>
                </c:pt>
                <c:pt idx="346">
                  <c:v>0.3848482534707181</c:v>
                </c:pt>
                <c:pt idx="347">
                  <c:v>0.38115048576012683</c:v>
                </c:pt>
                <c:pt idx="348">
                  <c:v>0.37746177219964661</c:v>
                </c:pt>
                <c:pt idx="349">
                  <c:v>0.3737820682168192</c:v>
                </c:pt>
                <c:pt idx="350">
                  <c:v>0.37011132957330362</c:v>
                </c:pt>
                <c:pt idx="351">
                  <c:v>0.36644951236158679</c:v>
                </c:pt>
                <c:pt idx="352">
                  <c:v>0.36279657300174711</c:v>
                </c:pt>
                <c:pt idx="353">
                  <c:v>0.35915246823823627</c:v>
                </c:pt>
                <c:pt idx="354">
                  <c:v>0.3555171551367094</c:v>
                </c:pt>
                <c:pt idx="355">
                  <c:v>0.35189059108088477</c:v>
                </c:pt>
                <c:pt idx="356">
                  <c:v>0.34827273376944495</c:v>
                </c:pt>
                <c:pt idx="357">
                  <c:v>0.34466354121296094</c:v>
                </c:pt>
                <c:pt idx="358">
                  <c:v>0.34106297173086109</c:v>
                </c:pt>
                <c:pt idx="359">
                  <c:v>0.33747098394842784</c:v>
                </c:pt>
                <c:pt idx="360">
                  <c:v>0.33388753679383193</c:v>
                </c:pt>
                <c:pt idx="361">
                  <c:v>0.33031258949519909</c:v>
                </c:pt>
                <c:pt idx="362">
                  <c:v>0.32674610157769823</c:v>
                </c:pt>
                <c:pt idx="363">
                  <c:v>0.32318803286067843</c:v>
                </c:pt>
                <c:pt idx="364">
                  <c:v>0.3196383434548295</c:v>
                </c:pt>
                <c:pt idx="365">
                  <c:v>0.31609699375937028</c:v>
                </c:pt>
                <c:pt idx="366">
                  <c:v>0.31256394445927493</c:v>
                </c:pt>
                <c:pt idx="367">
                  <c:v>0.30903915652252406</c:v>
                </c:pt>
                <c:pt idx="368">
                  <c:v>0.30552259119739072</c:v>
                </c:pt>
                <c:pt idx="369">
                  <c:v>0.30201421000975121</c:v>
                </c:pt>
                <c:pt idx="370">
                  <c:v>0.29851397476042973</c:v>
                </c:pt>
                <c:pt idx="371">
                  <c:v>0.29502184752257177</c:v>
                </c:pt>
                <c:pt idx="372">
                  <c:v>0.29153779063903984</c:v>
                </c:pt>
                <c:pt idx="373">
                  <c:v>0.28806176671984735</c:v>
                </c:pt>
                <c:pt idx="374">
                  <c:v>0.28459373863961412</c:v>
                </c:pt>
                <c:pt idx="375">
                  <c:v>0.28113366953504937</c:v>
                </c:pt>
                <c:pt idx="376">
                  <c:v>0.27768152280246289</c:v>
                </c:pt>
                <c:pt idx="377">
                  <c:v>0.27423726209531363</c:v>
                </c:pt>
                <c:pt idx="378">
                  <c:v>0.2708008513217578</c:v>
                </c:pt>
                <c:pt idx="379">
                  <c:v>0.26737225464225817</c:v>
                </c:pt>
                <c:pt idx="380">
                  <c:v>0.26395143646719588</c:v>
                </c:pt>
                <c:pt idx="381">
                  <c:v>0.26053836145450998</c:v>
                </c:pt>
                <c:pt idx="382">
                  <c:v>0.25713299450737226</c:v>
                </c:pt>
                <c:pt idx="383">
                  <c:v>0.25373530077188161</c:v>
                </c:pt>
                <c:pt idx="384">
                  <c:v>0.25034524563477711</c:v>
                </c:pt>
                <c:pt idx="385">
                  <c:v>0.24696279472119476</c:v>
                </c:pt>
                <c:pt idx="386">
                  <c:v>0.24358791389242038</c:v>
                </c:pt>
                <c:pt idx="387">
                  <c:v>0.24022056924369112</c:v>
                </c:pt>
                <c:pt idx="388">
                  <c:v>0.23686072710201161</c:v>
                </c:pt>
                <c:pt idx="389">
                  <c:v>0.23350835402398823</c:v>
                </c:pt>
                <c:pt idx="390">
                  <c:v>0.23016341679369448</c:v>
                </c:pt>
                <c:pt idx="391">
                  <c:v>0.22682588242055501</c:v>
                </c:pt>
                <c:pt idx="392">
                  <c:v>0.22349571813725613</c:v>
                </c:pt>
                <c:pt idx="393">
                  <c:v>0.22017289139767032</c:v>
                </c:pt>
                <c:pt idx="394">
                  <c:v>0.2168573698748158</c:v>
                </c:pt>
                <c:pt idx="395">
                  <c:v>0.21354912145882485</c:v>
                </c:pt>
                <c:pt idx="396">
                  <c:v>0.21024811425493847</c:v>
                </c:pt>
                <c:pt idx="397">
                  <c:v>0.2069543165815271</c:v>
                </c:pt>
                <c:pt idx="398">
                  <c:v>0.20366769696813</c:v>
                </c:pt>
                <c:pt idx="399">
                  <c:v>0.20038822415350332</c:v>
                </c:pt>
                <c:pt idx="400">
                  <c:v>0.19711586708371764</c:v>
                </c:pt>
                <c:pt idx="401">
                  <c:v>0.19385059491023587</c:v>
                </c:pt>
                <c:pt idx="402">
                  <c:v>0.19059237698804782</c:v>
                </c:pt>
                <c:pt idx="403">
                  <c:v>0.18734118287380416</c:v>
                </c:pt>
                <c:pt idx="404">
                  <c:v>0.18409698232397884</c:v>
                </c:pt>
                <c:pt idx="405">
                  <c:v>0.18085974529303953</c:v>
                </c:pt>
                <c:pt idx="406">
                  <c:v>0.17762944193165628</c:v>
                </c:pt>
                <c:pt idx="407">
                  <c:v>0.17440604258490738</c:v>
                </c:pt>
                <c:pt idx="408">
                  <c:v>0.17118951779052555</c:v>
                </c:pt>
                <c:pt idx="409">
                  <c:v>0.16797983827713375</c:v>
                </c:pt>
                <c:pt idx="410">
                  <c:v>0.16477697496254348</c:v>
                </c:pt>
                <c:pt idx="411">
                  <c:v>0.16158089895201933</c:v>
                </c:pt>
                <c:pt idx="412">
                  <c:v>0.15839158153660143</c:v>
                </c:pt>
                <c:pt idx="413">
                  <c:v>0.15520899419142889</c:v>
                </c:pt>
                <c:pt idx="414">
                  <c:v>0.15203310857407717</c:v>
                </c:pt>
                <c:pt idx="415">
                  <c:v>0.14886389652292781</c:v>
                </c:pt>
                <c:pt idx="416">
                  <c:v>0.14570133005553407</c:v>
                </c:pt>
                <c:pt idx="417">
                  <c:v>0.14254538136702805</c:v>
                </c:pt>
                <c:pt idx="418">
                  <c:v>0.13939602282852165</c:v>
                </c:pt>
                <c:pt idx="419">
                  <c:v>0.13625322698553755</c:v>
                </c:pt>
                <c:pt idx="420">
                  <c:v>0.13311696655645563</c:v>
                </c:pt>
                <c:pt idx="421">
                  <c:v>0.12998721443096742</c:v>
                </c:pt>
                <c:pt idx="422">
                  <c:v>0.12686394366855777</c:v>
                </c:pt>
                <c:pt idx="423">
                  <c:v>0.12374712749698867</c:v>
                </c:pt>
                <c:pt idx="424">
                  <c:v>0.12063673931081674</c:v>
                </c:pt>
                <c:pt idx="425">
                  <c:v>0.11753275266990679</c:v>
                </c:pt>
                <c:pt idx="426">
                  <c:v>0.11443514129797461</c:v>
                </c:pt>
                <c:pt idx="427">
                  <c:v>0.11134387908114007</c:v>
                </c:pt>
                <c:pt idx="428">
                  <c:v>0.10825894006648827</c:v>
                </c:pt>
                <c:pt idx="429">
                  <c:v>0.10518029846065977</c:v>
                </c:pt>
                <c:pt idx="430">
                  <c:v>0.10210792862844814</c:v>
                </c:pt>
                <c:pt idx="431">
                  <c:v>9.9041805091401439E-2</c:v>
                </c:pt>
                <c:pt idx="432">
                  <c:v>9.5981902526458177E-2</c:v>
                </c:pt>
                <c:pt idx="433">
                  <c:v>9.2928195764588301E-2</c:v>
                </c:pt>
                <c:pt idx="434">
                  <c:v>8.9880659789433104E-2</c:v>
                </c:pt>
                <c:pt idx="435">
                  <c:v>8.6839269735984326E-2</c:v>
                </c:pt>
                <c:pt idx="436">
                  <c:v>8.3804000889270022E-2</c:v>
                </c:pt>
                <c:pt idx="437">
                  <c:v>8.0774828683029667E-2</c:v>
                </c:pt>
                <c:pt idx="438">
                  <c:v>7.7751728698443254E-2</c:v>
                </c:pt>
                <c:pt idx="439">
                  <c:v>7.4734676662840685E-2</c:v>
                </c:pt>
                <c:pt idx="440">
                  <c:v>7.1723648448436608E-2</c:v>
                </c:pt>
                <c:pt idx="441">
                  <c:v>6.8718620071082731E-2</c:v>
                </c:pt>
                <c:pt idx="442">
                  <c:v>6.571956768901796E-2</c:v>
                </c:pt>
                <c:pt idx="443">
                  <c:v>6.272646760165268E-2</c:v>
                </c:pt>
                <c:pt idx="444">
                  <c:v>5.9739296248343732E-2</c:v>
                </c:pt>
                <c:pt idx="445">
                  <c:v>5.675803020719751E-2</c:v>
                </c:pt>
                <c:pt idx="446">
                  <c:v>5.3782646193873532E-2</c:v>
                </c:pt>
                <c:pt idx="447">
                  <c:v>5.0813121060411026E-2</c:v>
                </c:pt>
                <c:pt idx="448">
                  <c:v>4.7849431794061086E-2</c:v>
                </c:pt>
                <c:pt idx="449">
                  <c:v>4.4891555516128501E-2</c:v>
                </c:pt>
                <c:pt idx="450">
                  <c:v>4.1939469480834456E-2</c:v>
                </c:pt>
                <c:pt idx="451">
                  <c:v>3.8993151074177702E-2</c:v>
                </c:pt>
                <c:pt idx="452">
                  <c:v>3.6052577812818606E-2</c:v>
                </c:pt>
                <c:pt idx="453">
                  <c:v>3.3117727342966537E-2</c:v>
                </c:pt>
                <c:pt idx="454">
                  <c:v>3.0188577439288843E-2</c:v>
                </c:pt>
                <c:pt idx="455">
                  <c:v>2.7265106003818165E-2</c:v>
                </c:pt>
                <c:pt idx="456">
                  <c:v>2.434729106487549E-2</c:v>
                </c:pt>
                <c:pt idx="457">
                  <c:v>2.1435110776007862E-2</c:v>
                </c:pt>
                <c:pt idx="458">
                  <c:v>1.8528543414939921E-2</c:v>
                </c:pt>
                <c:pt idx="459">
                  <c:v>1.5627567382514466E-2</c:v>
                </c:pt>
                <c:pt idx="460">
                  <c:v>1.2732161201672466E-2</c:v>
                </c:pt>
                <c:pt idx="461">
                  <c:v>9.8423035164247503E-3</c:v>
                </c:pt>
                <c:pt idx="462">
                  <c:v>6.9579730908423216E-3</c:v>
                </c:pt>
                <c:pt idx="463">
                  <c:v>4.0791488080507655E-3</c:v>
                </c:pt>
                <c:pt idx="464">
                  <c:v>1.2058096692374267E-3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5-434F-A1E1-676EF92C3574}"/>
            </c:ext>
          </c:extLst>
        </c:ser>
        <c:ser>
          <c:idx val="1"/>
          <c:order val="1"/>
          <c:tx>
            <c:v>vert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(MSY!$E$27,MSY!$E$27)</c:f>
              <c:numCache>
                <c:formatCode>General</c:formatCode>
                <c:ptCount val="2"/>
                <c:pt idx="0">
                  <c:v>0.34</c:v>
                </c:pt>
                <c:pt idx="1">
                  <c:v>0.34</c:v>
                </c:pt>
              </c:numCache>
            </c:numRef>
          </c:xVal>
          <c:yVal>
            <c:numRef>
              <c:f>(MSY!$W$16,MSY!$E$26)</c:f>
              <c:numCache>
                <c:formatCode>General</c:formatCode>
                <c:ptCount val="2"/>
                <c:pt idx="0">
                  <c:v>0</c:v>
                </c:pt>
                <c:pt idx="1">
                  <c:v>2.3203287897058655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5-434F-A1E1-676EF92C3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Equilibrium 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28262543824357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MSY!$A$44:$A$547</c:f>
              <c:numCache>
                <c:formatCode>General</c:formatCode>
                <c:ptCount val="504"/>
                <c:pt idx="0">
                  <c:v>9.9999999999999995E-7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10</c:v>
                </c:pt>
                <c:pt idx="502">
                  <c:v>20</c:v>
                </c:pt>
                <c:pt idx="503">
                  <c:v>35</c:v>
                </c:pt>
              </c:numCache>
            </c:numRef>
          </c:xVal>
          <c:yVal>
            <c:numRef>
              <c:f>MSY!$C$44:$C$547</c:f>
              <c:numCache>
                <c:formatCode>General</c:formatCode>
                <c:ptCount val="504"/>
                <c:pt idx="0">
                  <c:v>6.8168912694935867E-6</c:v>
                </c:pt>
                <c:pt idx="1">
                  <c:v>6.43343462730398E-2</c:v>
                </c:pt>
                <c:pt idx="2">
                  <c:v>0.12173192642859101</c:v>
                </c:pt>
                <c:pt idx="3">
                  <c:v>0.17314724253319588</c:v>
                </c:pt>
                <c:pt idx="4">
                  <c:v>0.21937345502736541</c:v>
                </c:pt>
                <c:pt idx="5">
                  <c:v>0.26107472664256853</c:v>
                </c:pt>
                <c:pt idx="6">
                  <c:v>0.29881110713728715</c:v>
                </c:pt>
                <c:pt idx="7">
                  <c:v>0.33305789025881521</c:v>
                </c:pt>
                <c:pt idx="8">
                  <c:v>0.36422082325420319</c:v>
                </c:pt>
                <c:pt idx="9">
                  <c:v>0.39264816896870791</c:v>
                </c:pt>
                <c:pt idx="10">
                  <c:v>0.41864035422401591</c:v>
                </c:pt>
                <c:pt idx="11">
                  <c:v>0.44245774905277546</c:v>
                </c:pt>
                <c:pt idx="12">
                  <c:v>0.46432698537526651</c:v>
                </c:pt>
                <c:pt idx="13">
                  <c:v>0.48444612475875548</c:v>
                </c:pt>
                <c:pt idx="14">
                  <c:v>0.50298891211688024</c:v>
                </c:pt>
                <c:pt idx="15">
                  <c:v>0.52010829811866577</c:v>
                </c:pt>
                <c:pt idx="16">
                  <c:v>0.53593937249685797</c:v>
                </c:pt>
                <c:pt idx="17">
                  <c:v>0.55060181972622135</c:v>
                </c:pt>
                <c:pt idx="18">
                  <c:v>0.56420198509193298</c:v>
                </c:pt>
                <c:pt idx="19">
                  <c:v>0.57683462112432093</c:v>
                </c:pt>
                <c:pt idx="20">
                  <c:v>0.5885843703885929</c:v>
                </c:pt>
                <c:pt idx="21">
                  <c:v>0.59952702969842908</c:v>
                </c:pt>
                <c:pt idx="22">
                  <c:v>0.60973063224063184</c:v>
                </c:pt>
                <c:pt idx="23">
                  <c:v>0.6192563773111408</c:v>
                </c:pt>
                <c:pt idx="24">
                  <c:v>0.62815943196308066</c:v>
                </c:pt>
                <c:pt idx="25">
                  <c:v>0.63648962454709368</c:v>
                </c:pt>
                <c:pt idx="26">
                  <c:v>0.64429204664858242</c:v>
                </c:pt>
                <c:pt idx="27">
                  <c:v>0.65160757711605088</c:v>
                </c:pt>
                <c:pt idx="28">
                  <c:v>0.65847333959100185</c:v>
                </c:pt>
                <c:pt idx="29">
                  <c:v>0.66492310308541891</c:v>
                </c:pt>
                <c:pt idx="30">
                  <c:v>0.67098763362390867</c:v>
                </c:pt>
                <c:pt idx="31">
                  <c:v>0.67669500370839575</c:v>
                </c:pt>
                <c:pt idx="32">
                  <c:v>0.68207086532196659</c:v>
                </c:pt>
                <c:pt idx="33">
                  <c:v>0.68713869132399574</c:v>
                </c:pt>
                <c:pt idx="34">
                  <c:v>0.69191998936830301</c:v>
                </c:pt>
                <c:pt idx="35">
                  <c:v>0.69643449187361295</c:v>
                </c:pt>
                <c:pt idx="36">
                  <c:v>0.70070032506996671</c:v>
                </c:pt>
                <c:pt idx="37">
                  <c:v>0.70473415971899789</c:v>
                </c:pt>
                <c:pt idx="38">
                  <c:v>0.70855134574633194</c:v>
                </c:pt>
                <c:pt idx="39">
                  <c:v>0.71216603271964074</c:v>
                </c:pt>
                <c:pt idx="40">
                  <c:v>0.71559127784690002</c:v>
                </c:pt>
                <c:pt idx="41">
                  <c:v>0.71883914294866724</c:v>
                </c:pt>
                <c:pt idx="42">
                  <c:v>0.72192078166957041</c:v>
                </c:pt>
                <c:pt idx="43">
                  <c:v>0.72484651803252975</c:v>
                </c:pt>
                <c:pt idx="44">
                  <c:v>0.72762591730038206</c:v>
                </c:pt>
                <c:pt idx="45">
                  <c:v>0.73026784998995797</c:v>
                </c:pt>
                <c:pt idx="46">
                  <c:v>0.73278054978041451</c:v>
                </c:pt>
                <c:pt idx="47">
                  <c:v>0.73517166596827765</c:v>
                </c:pt>
                <c:pt idx="48">
                  <c:v>0.73744831104416164</c:v>
                </c:pt>
                <c:pt idx="49">
                  <c:v>0.73961710389878788</c:v>
                </c:pt>
                <c:pt idx="50">
                  <c:v>0.7416842091072724</c:v>
                </c:pt>
                <c:pt idx="51">
                  <c:v>0.74365537268946535</c:v>
                </c:pt>
                <c:pt idx="52">
                  <c:v>0.74553595469935863</c:v>
                </c:pt>
                <c:pt idx="53">
                  <c:v>0.74733095895737112</c:v>
                </c:pt>
                <c:pt idx="54">
                  <c:v>0.74904506020489758</c:v>
                </c:pt>
                <c:pt idx="55">
                  <c:v>0.75068262893023951</c:v>
                </c:pt>
                <c:pt idx="56">
                  <c:v>0.75224775408838829</c:v>
                </c:pt>
                <c:pt idx="57">
                  <c:v>0.75374426391359517</c:v>
                </c:pt>
                <c:pt idx="58">
                  <c:v>0.75517574500289719</c:v>
                </c:pt>
                <c:pt idx="59">
                  <c:v>0.75654555983034633</c:v>
                </c:pt>
                <c:pt idx="60">
                  <c:v>0.75785686283539866</c:v>
                </c:pt>
                <c:pt idx="61">
                  <c:v>0.75911261521442286</c:v>
                </c:pt>
                <c:pt idx="62">
                  <c:v>0.76031559853142527</c:v>
                </c:pt>
                <c:pt idx="63">
                  <c:v>0.76146842725260622</c:v>
                </c:pt>
                <c:pt idx="64">
                  <c:v>0.76257356029915868</c:v>
                </c:pt>
                <c:pt idx="65">
                  <c:v>0.76363331170357784</c:v>
                </c:pt>
                <c:pt idx="66">
                  <c:v>0.76464986044659866</c:v>
                </c:pt>
                <c:pt idx="67">
                  <c:v>0.76562525954456939</c:v>
                </c:pt>
                <c:pt idx="68">
                  <c:v>0.76656144445053243</c:v>
                </c:pt>
                <c:pt idx="69">
                  <c:v>0.76746024082639375</c:v>
                </c:pt>
                <c:pt idx="70">
                  <c:v>0.76832337173830079</c:v>
                </c:pt>
                <c:pt idx="71">
                  <c:v>0.76915246432259832</c:v>
                </c:pt>
                <c:pt idx="72">
                  <c:v>0.7699490559654496</c:v>
                </c:pt>
                <c:pt idx="73">
                  <c:v>0.77071460003537218</c:v>
                </c:pt>
                <c:pt idx="74">
                  <c:v>0.77145047120445087</c:v>
                </c:pt>
                <c:pt idx="75">
                  <c:v>0.77215797039086109</c:v>
                </c:pt>
                <c:pt idx="76">
                  <c:v>0.77283832935248309</c:v>
                </c:pt>
                <c:pt idx="77">
                  <c:v>0.77349271495883754</c:v>
                </c:pt>
                <c:pt idx="78">
                  <c:v>0.77412223316622819</c:v>
                </c:pt>
                <c:pt idx="79">
                  <c:v>0.77472793271887752</c:v>
                </c:pt>
                <c:pt idx="80">
                  <c:v>0.77531080859692192</c:v>
                </c:pt>
                <c:pt idx="81">
                  <c:v>0.77587180523039667</c:v>
                </c:pt>
                <c:pt idx="82">
                  <c:v>0.77641181949675198</c:v>
                </c:pt>
                <c:pt idx="83">
                  <c:v>0.77693170351801299</c:v>
                </c:pt>
                <c:pt idx="84">
                  <c:v>0.77743226727237369</c:v>
                </c:pt>
                <c:pt idx="85">
                  <c:v>0.77791428103383009</c:v>
                </c:pt>
                <c:pt idx="86">
                  <c:v>0.77837847765236101</c:v>
                </c:pt>
                <c:pt idx="87">
                  <c:v>0.77882555468617654</c:v>
                </c:pt>
                <c:pt idx="88">
                  <c:v>0.77925617639663614</c:v>
                </c:pt>
                <c:pt idx="89">
                  <c:v>0.7796709756156176</c:v>
                </c:pt>
                <c:pt idx="90">
                  <c:v>0.78007055549435178</c:v>
                </c:pt>
                <c:pt idx="91">
                  <c:v>0.78045549114204249</c:v>
                </c:pt>
                <c:pt idx="92">
                  <c:v>0.78082633116195332</c:v>
                </c:pt>
                <c:pt idx="93">
                  <c:v>0.78118359909206092</c:v>
                </c:pt>
                <c:pt idx="94">
                  <c:v>0.78152779475683642</c:v>
                </c:pt>
                <c:pt idx="95">
                  <c:v>0.78185939553621864</c:v>
                </c:pt>
                <c:pt idx="96">
                  <c:v>0.7821788575574028</c:v>
                </c:pt>
                <c:pt idx="97">
                  <c:v>0.78248661681464149</c:v>
                </c:pt>
                <c:pt idx="98">
                  <c:v>0.78278309022187265</c:v>
                </c:pt>
                <c:pt idx="99">
                  <c:v>0.78306867660264989</c:v>
                </c:pt>
                <c:pt idx="100">
                  <c:v>0.78334375762150366</c:v>
                </c:pt>
                <c:pt idx="101">
                  <c:v>0.78360869866059335</c:v>
                </c:pt>
                <c:pt idx="102">
                  <c:v>0.78386384964519984</c:v>
                </c:pt>
                <c:pt idx="103">
                  <c:v>0.78410954582138837</c:v>
                </c:pt>
                <c:pt idx="104">
                  <c:v>0.7843461084889104</c:v>
                </c:pt>
                <c:pt idx="105">
                  <c:v>0.78457384569221311</c:v>
                </c:pt>
                <c:pt idx="106">
                  <c:v>0.78479305287221657</c:v>
                </c:pt>
                <c:pt idx="107">
                  <c:v>0.78500401348133952</c:v>
                </c:pt>
                <c:pt idx="108">
                  <c:v>0.78520699956407713</c:v>
                </c:pt>
                <c:pt idx="109">
                  <c:v>0.78540227230528181</c:v>
                </c:pt>
                <c:pt idx="110">
                  <c:v>0.78559008254815044</c:v>
                </c:pt>
                <c:pt idx="111">
                  <c:v>0.78577067128378231</c:v>
                </c:pt>
                <c:pt idx="112">
                  <c:v>0.78594427011404733</c:v>
                </c:pt>
                <c:pt idx="113">
                  <c:v>0.78611110168939635</c:v>
                </c:pt>
                <c:pt idx="114">
                  <c:v>0.78627138012311693</c:v>
                </c:pt>
                <c:pt idx="115">
                  <c:v>0.78642531138346472</c:v>
                </c:pt>
                <c:pt idx="116">
                  <c:v>0.78657309366497985</c:v>
                </c:pt>
                <c:pt idx="117">
                  <c:v>0.78671491774023528</c:v>
                </c:pt>
                <c:pt idx="118">
                  <c:v>0.78685096729316295</c:v>
                </c:pt>
                <c:pt idx="119">
                  <c:v>0.7869814192350475</c:v>
                </c:pt>
                <c:pt idx="120">
                  <c:v>0.78710644400419216</c:v>
                </c:pt>
                <c:pt idx="121">
                  <c:v>0.78722620585020631</c:v>
                </c:pt>
                <c:pt idx="122">
                  <c:v>0.78734086310380158</c:v>
                </c:pt>
                <c:pt idx="123">
                  <c:v>0.7874505684329236</c:v>
                </c:pt>
                <c:pt idx="124">
                  <c:v>0.78755546908600349</c:v>
                </c:pt>
                <c:pt idx="125">
                  <c:v>0.78765570712304978</c:v>
                </c:pt>
                <c:pt idx="126">
                  <c:v>0.78775141963527506</c:v>
                </c:pt>
                <c:pt idx="127">
                  <c:v>0.7878427389538889</c:v>
                </c:pt>
                <c:pt idx="128">
                  <c:v>0.7879297928486676</c:v>
                </c:pt>
                <c:pt idx="129">
                  <c:v>0.78801270471685891</c:v>
                </c:pt>
                <c:pt idx="130">
                  <c:v>0.78809159376296167</c:v>
                </c:pt>
                <c:pt idx="131">
                  <c:v>0.78816657516986643</c:v>
                </c:pt>
                <c:pt idx="132">
                  <c:v>0.78823776026184045</c:v>
                </c:pt>
                <c:pt idx="133">
                  <c:v>0.78830525665978612</c:v>
                </c:pt>
                <c:pt idx="134">
                  <c:v>0.78836916842919158</c:v>
                </c:pt>
                <c:pt idx="135">
                  <c:v>0.78842959622116482</c:v>
                </c:pt>
                <c:pt idx="136">
                  <c:v>0.78848663740691616</c:v>
                </c:pt>
                <c:pt idx="137">
                  <c:v>0.78854038620603628</c:v>
                </c:pt>
                <c:pt idx="138">
                  <c:v>0.78859093380888945</c:v>
                </c:pt>
                <c:pt idx="139">
                  <c:v>0.78863836849343905</c:v>
                </c:pt>
                <c:pt idx="140">
                  <c:v>0.78868277573678158</c:v>
                </c:pt>
                <c:pt idx="141">
                  <c:v>0.78872423832167271</c:v>
                </c:pt>
                <c:pt idx="142">
                  <c:v>0.78876283643829193</c:v>
                </c:pt>
                <c:pt idx="143">
                  <c:v>0.788798647781497</c:v>
                </c:pt>
                <c:pt idx="144">
                  <c:v>0.78883174764378861</c:v>
                </c:pt>
                <c:pt idx="145">
                  <c:v>0.78886220900420689</c:v>
                </c:pt>
                <c:pt idx="146">
                  <c:v>0.78889010261335923</c:v>
                </c:pt>
                <c:pt idx="147">
                  <c:v>0.78891549707477393</c:v>
                </c:pt>
                <c:pt idx="148">
                  <c:v>0.78893845892276049</c:v>
                </c:pt>
                <c:pt idx="149">
                  <c:v>0.78895905269694677</c:v>
                </c:pt>
                <c:pt idx="150">
                  <c:v>0.78897734101365913</c:v>
                </c:pt>
                <c:pt idx="151">
                  <c:v>0.78899338463429225</c:v>
                </c:pt>
                <c:pt idx="152">
                  <c:v>0.78900724253082388</c:v>
                </c:pt>
                <c:pt idx="153">
                  <c:v>0.78901897194859683</c:v>
                </c:pt>
                <c:pt idx="154">
                  <c:v>0.78902862846651822</c:v>
                </c:pt>
                <c:pt idx="155">
                  <c:v>0.78903626605477506</c:v>
                </c:pt>
                <c:pt idx="156">
                  <c:v>0.78904193713020665</c:v>
                </c:pt>
                <c:pt idx="157">
                  <c:v>0.78904569260942403</c:v>
                </c:pt>
                <c:pt idx="158">
                  <c:v>0.7890475819597963</c:v>
                </c:pt>
                <c:pt idx="159">
                  <c:v>0.78904765324838999</c:v>
                </c:pt>
                <c:pt idx="160">
                  <c:v>0.78904595318896831</c:v>
                </c:pt>
                <c:pt idx="161">
                  <c:v>0.78904252718712631</c:v>
                </c:pt>
                <c:pt idx="162">
                  <c:v>0.78903741938365779</c:v>
                </c:pt>
                <c:pt idx="163">
                  <c:v>0.78903067269622773</c:v>
                </c:pt>
                <c:pt idx="164">
                  <c:v>0.78902232885942603</c:v>
                </c:pt>
                <c:pt idx="165">
                  <c:v>0.78901242846328024</c:v>
                </c:pt>
                <c:pt idx="166">
                  <c:v>0.78900101099028941</c:v>
                </c:pt>
                <c:pt idx="167">
                  <c:v>0.78898811485104847</c:v>
                </c:pt>
                <c:pt idx="168">
                  <c:v>0.7889737774185257</c:v>
                </c:pt>
                <c:pt idx="169">
                  <c:v>0.78895803506104578</c:v>
                </c:pt>
                <c:pt idx="170">
                  <c:v>0.78894092317404563</c:v>
                </c:pt>
                <c:pt idx="171">
                  <c:v>0.78892247621064227</c:v>
                </c:pt>
                <c:pt idx="172">
                  <c:v>0.78890272771107861</c:v>
                </c:pt>
                <c:pt idx="173">
                  <c:v>0.7888817103310809</c:v>
                </c:pt>
                <c:pt idx="174">
                  <c:v>0.78885945586918504</c:v>
                </c:pt>
                <c:pt idx="175">
                  <c:v>0.78883599529306825</c:v>
                </c:pt>
                <c:pt idx="176">
                  <c:v>0.78881135876493236</c:v>
                </c:pt>
                <c:pt idx="177">
                  <c:v>0.78878557566597496</c:v>
                </c:pt>
                <c:pt idx="178">
                  <c:v>0.78875867461998772</c:v>
                </c:pt>
                <c:pt idx="179">
                  <c:v>0.78873068351611819</c:v>
                </c:pt>
                <c:pt idx="180">
                  <c:v>0.78870162953082934</c:v>
                </c:pt>
                <c:pt idx="181">
                  <c:v>0.78867153914908716</c:v>
                </c:pt>
                <c:pt idx="182">
                  <c:v>0.78864043818481255</c:v>
                </c:pt>
                <c:pt idx="183">
                  <c:v>0.78860835180062205</c:v>
                </c:pt>
                <c:pt idx="184">
                  <c:v>0.78857530452688818</c:v>
                </c:pt>
                <c:pt idx="185">
                  <c:v>0.78854132028014834</c:v>
                </c:pt>
                <c:pt idx="186">
                  <c:v>0.78850642238088287</c:v>
                </c:pt>
                <c:pt idx="187">
                  <c:v>0.78847063357069458</c:v>
                </c:pt>
                <c:pt idx="188">
                  <c:v>0.78843397602890408</c:v>
                </c:pt>
                <c:pt idx="189">
                  <c:v>0.78839647138859448</c:v>
                </c:pt>
                <c:pt idx="190">
                  <c:v>0.78835814075211508</c:v>
                </c:pt>
                <c:pt idx="191">
                  <c:v>0.78831900470607597</c:v>
                </c:pt>
                <c:pt idx="192">
                  <c:v>0.78827908333584451</c:v>
                </c:pt>
                <c:pt idx="193">
                  <c:v>0.78823839623956682</c:v>
                </c:pt>
                <c:pt idx="194">
                  <c:v>0.78819696254173366</c:v>
                </c:pt>
                <c:pt idx="195">
                  <c:v>0.78815480090630219</c:v>
                </c:pt>
                <c:pt idx="196">
                  <c:v>0.78811192954939779</c:v>
                </c:pt>
                <c:pt idx="197">
                  <c:v>0.78806836625160415</c:v>
                </c:pt>
                <c:pt idx="198">
                  <c:v>0.78802412836986357</c:v>
                </c:pt>
                <c:pt idx="199">
                  <c:v>0.78797923284899629</c:v>
                </c:pt>
                <c:pt idx="200">
                  <c:v>0.7879336962328567</c:v>
                </c:pt>
                <c:pt idx="201">
                  <c:v>0.78788753467513917</c:v>
                </c:pt>
                <c:pt idx="202">
                  <c:v>0.7878407639498427</c:v>
                </c:pt>
                <c:pt idx="203">
                  <c:v>0.78779339946141114</c:v>
                </c:pt>
                <c:pt idx="204">
                  <c:v>0.78774545625456127</c:v>
                </c:pt>
                <c:pt idx="205">
                  <c:v>0.78769694902380227</c:v>
                </c:pt>
                <c:pt idx="206">
                  <c:v>0.78764789212266639</c:v>
                </c:pt>
                <c:pt idx="207">
                  <c:v>0.78759829957265814</c:v>
                </c:pt>
                <c:pt idx="208">
                  <c:v>0.78754818507192936</c:v>
                </c:pt>
                <c:pt idx="209">
                  <c:v>0.78749756200369181</c:v>
                </c:pt>
                <c:pt idx="210">
                  <c:v>0.78744644344437909</c:v>
                </c:pt>
                <c:pt idx="211">
                  <c:v>0.78739484217155842</c:v>
                </c:pt>
                <c:pt idx="212">
                  <c:v>0.78734277067161385</c:v>
                </c:pt>
                <c:pt idx="213">
                  <c:v>0.78729024114719393</c:v>
                </c:pt>
                <c:pt idx="214">
                  <c:v>0.78723726552444329</c:v>
                </c:pt>
                <c:pt idx="215">
                  <c:v>0.78718385546002245</c:v>
                </c:pt>
                <c:pt idx="216">
                  <c:v>0.78713002234791696</c:v>
                </c:pt>
                <c:pt idx="217">
                  <c:v>0.78707577732605394</c:v>
                </c:pt>
                <c:pt idx="218">
                  <c:v>0.78702113128272311</c:v>
                </c:pt>
                <c:pt idx="219">
                  <c:v>0.78696609486281166</c:v>
                </c:pt>
                <c:pt idx="220">
                  <c:v>0.78691067847386331</c:v>
                </c:pt>
                <c:pt idx="221">
                  <c:v>0.78685489229195915</c:v>
                </c:pt>
                <c:pt idx="222">
                  <c:v>0.78679874626743673</c:v>
                </c:pt>
                <c:pt idx="223">
                  <c:v>0.78674225013043819</c:v>
                </c:pt>
                <c:pt idx="224">
                  <c:v>0.78668541339631171</c:v>
                </c:pt>
                <c:pt idx="225">
                  <c:v>0.78662824537085341</c:v>
                </c:pt>
                <c:pt idx="226">
                  <c:v>0.78657075515540464</c:v>
                </c:pt>
                <c:pt idx="227">
                  <c:v>0.78651295165180735</c:v>
                </c:pt>
                <c:pt idx="228">
                  <c:v>0.78645484356722251</c:v>
                </c:pt>
                <c:pt idx="229">
                  <c:v>0.7863964394188121</c:v>
                </c:pt>
                <c:pt idx="230">
                  <c:v>0.78633774753829766</c:v>
                </c:pt>
                <c:pt idx="231">
                  <c:v>0.78627877607638619</c:v>
                </c:pt>
                <c:pt idx="232">
                  <c:v>0.78621953300708092</c:v>
                </c:pt>
                <c:pt idx="233">
                  <c:v>0.78616002613187375</c:v>
                </c:pt>
                <c:pt idx="234">
                  <c:v>0.78610026308382142</c:v>
                </c:pt>
                <c:pt idx="235">
                  <c:v>0.78604025133151478</c:v>
                </c:pt>
                <c:pt idx="236">
                  <c:v>0.78597999818293751</c:v>
                </c:pt>
                <c:pt idx="237">
                  <c:v>0.7859195107892275</c:v>
                </c:pt>
                <c:pt idx="238">
                  <c:v>0.78585879614832999</c:v>
                </c:pt>
                <c:pt idx="239">
                  <c:v>0.78579786110856054</c:v>
                </c:pt>
                <c:pt idx="240">
                  <c:v>0.78573671237206877</c:v>
                </c:pt>
                <c:pt idx="241">
                  <c:v>0.78567535649821485</c:v>
                </c:pt>
                <c:pt idx="242">
                  <c:v>0.78561379990685309</c:v>
                </c:pt>
                <c:pt idx="243">
                  <c:v>0.78555204888153252</c:v>
                </c:pt>
                <c:pt idx="244">
                  <c:v>0.78549010957261378</c:v>
                </c:pt>
                <c:pt idx="245">
                  <c:v>0.785427988000302</c:v>
                </c:pt>
                <c:pt idx="246">
                  <c:v>0.78536569005760648</c:v>
                </c:pt>
                <c:pt idx="247">
                  <c:v>0.78530322151321796</c:v>
                </c:pt>
                <c:pt idx="248">
                  <c:v>0.78524058801431784</c:v>
                </c:pt>
                <c:pt idx="249">
                  <c:v>0.78517779508931074</c:v>
                </c:pt>
                <c:pt idx="250">
                  <c:v>0.78511484815048893</c:v>
                </c:pt>
                <c:pt idx="251">
                  <c:v>0.78505175249663095</c:v>
                </c:pt>
                <c:pt idx="252">
                  <c:v>0.78498851331553121</c:v>
                </c:pt>
                <c:pt idx="253">
                  <c:v>0.7849251356864686</c:v>
                </c:pt>
                <c:pt idx="254">
                  <c:v>0.78486162458261022</c:v>
                </c:pt>
                <c:pt idx="255">
                  <c:v>0.78479798487335695</c:v>
                </c:pt>
                <c:pt idx="256">
                  <c:v>0.78473422132663029</c:v>
                </c:pt>
                <c:pt idx="257">
                  <c:v>0.78467033861110136</c:v>
                </c:pt>
                <c:pt idx="258">
                  <c:v>0.78460634129836448</c:v>
                </c:pt>
                <c:pt idx="259">
                  <c:v>0.78454223386505872</c:v>
                </c:pt>
                <c:pt idx="260">
                  <c:v>0.78447802069493422</c:v>
                </c:pt>
                <c:pt idx="261">
                  <c:v>0.78441370608087135</c:v>
                </c:pt>
                <c:pt idx="262">
                  <c:v>0.78434929422684785</c:v>
                </c:pt>
                <c:pt idx="263">
                  <c:v>0.78428478924985801</c:v>
                </c:pt>
                <c:pt idx="264">
                  <c:v>0.78422019518178721</c:v>
                </c:pt>
                <c:pt idx="265">
                  <c:v>0.78415551597123967</c:v>
                </c:pt>
                <c:pt idx="266">
                  <c:v>0.78409075548532026</c:v>
                </c:pt>
                <c:pt idx="267">
                  <c:v>0.78402591751137751</c:v>
                </c:pt>
                <c:pt idx="268">
                  <c:v>0.78396100575870165</c:v>
                </c:pt>
                <c:pt idx="269">
                  <c:v>0.78389602386018264</c:v>
                </c:pt>
                <c:pt idx="270">
                  <c:v>0.78383097537392954</c:v>
                </c:pt>
                <c:pt idx="271">
                  <c:v>0.78376586378484969</c:v>
                </c:pt>
                <c:pt idx="272">
                  <c:v>0.78370069250619334</c:v>
                </c:pt>
                <c:pt idx="273">
                  <c:v>0.7836354648810574</c:v>
                </c:pt>
                <c:pt idx="274">
                  <c:v>0.78357018418385938</c:v>
                </c:pt>
                <c:pt idx="275">
                  <c:v>0.78350485362177114</c:v>
                </c:pt>
                <c:pt idx="276">
                  <c:v>0.78343947633612288</c:v>
                </c:pt>
                <c:pt idx="277">
                  <c:v>0.78337405540377336</c:v>
                </c:pt>
                <c:pt idx="278">
                  <c:v>0.78330859383844686</c:v>
                </c:pt>
                <c:pt idx="279">
                  <c:v>0.78324309459204078</c:v>
                </c:pt>
                <c:pt idx="280">
                  <c:v>0.78317756055590304</c:v>
                </c:pt>
                <c:pt idx="281">
                  <c:v>0.78311199456207869</c:v>
                </c:pt>
                <c:pt idx="282">
                  <c:v>0.78304639938452902</c:v>
                </c:pt>
                <c:pt idx="283">
                  <c:v>0.78298077774032204</c:v>
                </c:pt>
                <c:pt idx="284">
                  <c:v>0.7829151322907959</c:v>
                </c:pt>
                <c:pt idx="285">
                  <c:v>0.78284946564269697</c:v>
                </c:pt>
                <c:pt idx="286">
                  <c:v>0.7827837803492893</c:v>
                </c:pt>
                <c:pt idx="287">
                  <c:v>0.78271807891144163</c:v>
                </c:pt>
                <c:pt idx="288">
                  <c:v>0.7826523637786893</c:v>
                </c:pt>
                <c:pt idx="289">
                  <c:v>0.78258663735027056</c:v>
                </c:pt>
                <c:pt idx="290">
                  <c:v>0.78252090197614177</c:v>
                </c:pt>
                <c:pt idx="291">
                  <c:v>0.78245515995796788</c:v>
                </c:pt>
                <c:pt idx="292">
                  <c:v>0.78238941355009328</c:v>
                </c:pt>
                <c:pt idx="293">
                  <c:v>0.78232366496048866</c:v>
                </c:pt>
                <c:pt idx="294">
                  <c:v>0.78225791635167696</c:v>
                </c:pt>
                <c:pt idx="295">
                  <c:v>0.78219216984164031</c:v>
                </c:pt>
                <c:pt idx="296">
                  <c:v>0.78212642750470662</c:v>
                </c:pt>
                <c:pt idx="297">
                  <c:v>0.7820606913724153</c:v>
                </c:pt>
                <c:pt idx="298">
                  <c:v>0.78199496343436492</c:v>
                </c:pt>
                <c:pt idx="299">
                  <c:v>0.78192924563904276</c:v>
                </c:pt>
                <c:pt idx="300">
                  <c:v>0.7818635398946342</c:v>
                </c:pt>
                <c:pt idx="301">
                  <c:v>0.78179784806981856</c:v>
                </c:pt>
                <c:pt idx="302">
                  <c:v>0.78173217199454115</c:v>
                </c:pt>
                <c:pt idx="303">
                  <c:v>0.78166651346077654</c:v>
                </c:pt>
                <c:pt idx="304">
                  <c:v>0.78160087422326729</c:v>
                </c:pt>
                <c:pt idx="305">
                  <c:v>0.78153525600025386</c:v>
                </c:pt>
                <c:pt idx="306">
                  <c:v>0.78146966047418354</c:v>
                </c:pt>
                <c:pt idx="307">
                  <c:v>0.78140408929240601</c:v>
                </c:pt>
                <c:pt idx="308">
                  <c:v>0.78133854406785608</c:v>
                </c:pt>
                <c:pt idx="309">
                  <c:v>0.78127302637971796</c:v>
                </c:pt>
                <c:pt idx="310">
                  <c:v>0.78120753777407848</c:v>
                </c:pt>
                <c:pt idx="311">
                  <c:v>0.78114207976456473</c:v>
                </c:pt>
                <c:pt idx="312">
                  <c:v>0.78107665383296931</c:v>
                </c:pt>
                <c:pt idx="313">
                  <c:v>0.78101126142986099</c:v>
                </c:pt>
                <c:pt idx="314">
                  <c:v>0.78094590397518404</c:v>
                </c:pt>
                <c:pt idx="315">
                  <c:v>0.78088058285884387</c:v>
                </c:pt>
                <c:pt idx="316">
                  <c:v>0.78081529944128103</c:v>
                </c:pt>
                <c:pt idx="317">
                  <c:v>0.78075005505403239</c:v>
                </c:pt>
                <c:pt idx="318">
                  <c:v>0.78068485100028129</c:v>
                </c:pt>
                <c:pt idx="319">
                  <c:v>0.78061968855539654</c:v>
                </c:pt>
                <c:pt idx="320">
                  <c:v>0.78055456896745856</c:v>
                </c:pt>
                <c:pt idx="321">
                  <c:v>0.78048949345777741</c:v>
                </c:pt>
                <c:pt idx="322">
                  <c:v>0.78042446322139691</c:v>
                </c:pt>
                <c:pt idx="323">
                  <c:v>0.7803594794275901</c:v>
                </c:pt>
                <c:pt idx="324">
                  <c:v>0.78029454322034564</c:v>
                </c:pt>
                <c:pt idx="325">
                  <c:v>0.78022965571884106</c:v>
                </c:pt>
                <c:pt idx="326">
                  <c:v>0.78016481801790971</c:v>
                </c:pt>
                <c:pt idx="327">
                  <c:v>0.7801000311884958</c:v>
                </c:pt>
                <c:pt idx="328">
                  <c:v>0.78003529627810009</c:v>
                </c:pt>
                <c:pt idx="329">
                  <c:v>0.77997061431122028</c:v>
                </c:pt>
                <c:pt idx="330">
                  <c:v>0.77990598628977514</c:v>
                </c:pt>
                <c:pt idx="331">
                  <c:v>0.77984141319352929</c:v>
                </c:pt>
                <c:pt idx="332">
                  <c:v>0.77977689598050026</c:v>
                </c:pt>
                <c:pt idx="333">
                  <c:v>0.77971243558736525</c:v>
                </c:pt>
                <c:pt idx="334">
                  <c:v>0.77964803292985285</c:v>
                </c:pt>
                <c:pt idx="335">
                  <c:v>0.77958368890313312</c:v>
                </c:pt>
                <c:pt idx="336">
                  <c:v>0.77951940438219525</c:v>
                </c:pt>
                <c:pt idx="337">
                  <c:v>0.7794551802222186</c:v>
                </c:pt>
                <c:pt idx="338">
                  <c:v>0.77939101725893967</c:v>
                </c:pt>
                <c:pt idx="339">
                  <c:v>0.7793269163090063</c:v>
                </c:pt>
                <c:pt idx="340">
                  <c:v>0.77926287817033046</c:v>
                </c:pt>
                <c:pt idx="341">
                  <c:v>0.77919890362242794</c:v>
                </c:pt>
                <c:pt idx="342">
                  <c:v>0.77913499342675829</c:v>
                </c:pt>
                <c:pt idx="343">
                  <c:v>0.77907114832705249</c:v>
                </c:pt>
                <c:pt idx="344">
                  <c:v>0.77900736904963575</c:v>
                </c:pt>
                <c:pt idx="345">
                  <c:v>0.77894365630374574</c:v>
                </c:pt>
                <c:pt idx="346">
                  <c:v>0.77888001078184232</c:v>
                </c:pt>
                <c:pt idx="347">
                  <c:v>0.77881643315991322</c:v>
                </c:pt>
                <c:pt idx="348">
                  <c:v>0.77875292409777075</c:v>
                </c:pt>
                <c:pt idx="349">
                  <c:v>0.77868948423934625</c:v>
                </c:pt>
                <c:pt idx="350">
                  <c:v>0.77862611421297656</c:v>
                </c:pt>
                <c:pt idx="351">
                  <c:v>0.77856281463168586</c:v>
                </c:pt>
                <c:pt idx="352">
                  <c:v>0.77849958609346248</c:v>
                </c:pt>
                <c:pt idx="353">
                  <c:v>0.77843642918152756</c:v>
                </c:pt>
                <c:pt idx="354">
                  <c:v>0.77837334446460327</c:v>
                </c:pt>
                <c:pt idx="355">
                  <c:v>0.7783103324971713</c:v>
                </c:pt>
                <c:pt idx="356">
                  <c:v>0.77824739381972985</c:v>
                </c:pt>
                <c:pt idx="357">
                  <c:v>0.77818452895904333</c:v>
                </c:pt>
                <c:pt idx="358">
                  <c:v>0.77812173842838805</c:v>
                </c:pt>
                <c:pt idx="359">
                  <c:v>0.77805902272779415</c:v>
                </c:pt>
                <c:pt idx="360">
                  <c:v>0.77799638234428203</c:v>
                </c:pt>
                <c:pt idx="361">
                  <c:v>0.77793381775209358</c:v>
                </c:pt>
                <c:pt idx="362">
                  <c:v>0.77787132941292136</c:v>
                </c:pt>
                <c:pt idx="363">
                  <c:v>0.77780891777612993</c:v>
                </c:pt>
                <c:pt idx="364">
                  <c:v>0.77774658327897783</c:v>
                </c:pt>
                <c:pt idx="365">
                  <c:v>0.77768432634682982</c:v>
                </c:pt>
                <c:pt idx="366">
                  <c:v>0.77762214739336877</c:v>
                </c:pt>
                <c:pt idx="367">
                  <c:v>0.7775600468208046</c:v>
                </c:pt>
                <c:pt idx="368">
                  <c:v>0.77749802502007492</c:v>
                </c:pt>
                <c:pt idx="369">
                  <c:v>0.77743608237104589</c:v>
                </c:pt>
                <c:pt idx="370">
                  <c:v>0.77737421924270711</c:v>
                </c:pt>
                <c:pt idx="371">
                  <c:v>0.77731243599336419</c:v>
                </c:pt>
                <c:pt idx="372">
                  <c:v>0.77725073297082758</c:v>
                </c:pt>
                <c:pt idx="373">
                  <c:v>0.77718911051259654</c:v>
                </c:pt>
                <c:pt idx="374">
                  <c:v>0.77712756894604218</c:v>
                </c:pt>
                <c:pt idx="375">
                  <c:v>0.77706610858858349</c:v>
                </c:pt>
                <c:pt idx="376">
                  <c:v>0.77700472974786505</c:v>
                </c:pt>
                <c:pt idx="377">
                  <c:v>0.77694343272192712</c:v>
                </c:pt>
                <c:pt idx="378">
                  <c:v>0.77688221779937328</c:v>
                </c:pt>
                <c:pt idx="379">
                  <c:v>0.77682108525953875</c:v>
                </c:pt>
                <c:pt idx="380">
                  <c:v>0.77676003537265115</c:v>
                </c:pt>
                <c:pt idx="381">
                  <c:v>0.77669906839998959</c:v>
                </c:pt>
                <c:pt idx="382">
                  <c:v>0.77663818459404221</c:v>
                </c:pt>
                <c:pt idx="383">
                  <c:v>0.77657738419866007</c:v>
                </c:pt>
                <c:pt idx="384">
                  <c:v>0.77651666744920766</c:v>
                </c:pt>
                <c:pt idx="385">
                  <c:v>0.77645603457271151</c:v>
                </c:pt>
                <c:pt idx="386">
                  <c:v>0.77639548578800555</c:v>
                </c:pt>
                <c:pt idx="387">
                  <c:v>0.77633502130587384</c:v>
                </c:pt>
                <c:pt idx="388">
                  <c:v>0.77627464132919222</c:v>
                </c:pt>
                <c:pt idx="389">
                  <c:v>0.77621434605306516</c:v>
                </c:pt>
                <c:pt idx="390">
                  <c:v>0.77615413566496116</c:v>
                </c:pt>
                <c:pt idx="391">
                  <c:v>0.77609401034484615</c:v>
                </c:pt>
                <c:pt idx="392">
                  <c:v>0.77603397026531462</c:v>
                </c:pt>
                <c:pt idx="393">
                  <c:v>0.77597401559171619</c:v>
                </c:pt>
                <c:pt idx="394">
                  <c:v>0.77591414648228396</c:v>
                </c:pt>
                <c:pt idx="395">
                  <c:v>0.77585436308825706</c:v>
                </c:pt>
                <c:pt idx="396">
                  <c:v>0.77579466555400201</c:v>
                </c:pt>
                <c:pt idx="397">
                  <c:v>0.77573505401713261</c:v>
                </c:pt>
                <c:pt idx="398">
                  <c:v>0.77567552860862843</c:v>
                </c:pt>
                <c:pt idx="399">
                  <c:v>0.77561608945294724</c:v>
                </c:pt>
                <c:pt idx="400">
                  <c:v>0.77555673666814162</c:v>
                </c:pt>
                <c:pt idx="401">
                  <c:v>0.77549747036596828</c:v>
                </c:pt>
                <c:pt idx="402">
                  <c:v>0.77543829065199721</c:v>
                </c:pt>
                <c:pt idx="403">
                  <c:v>0.77537919762572083</c:v>
                </c:pt>
                <c:pt idx="404">
                  <c:v>0.77532019138065811</c:v>
                </c:pt>
                <c:pt idx="405">
                  <c:v>0.77526127200445838</c:v>
                </c:pt>
                <c:pt idx="406">
                  <c:v>0.77520243957900392</c:v>
                </c:pt>
                <c:pt idx="407">
                  <c:v>0.7751436941805101</c:v>
                </c:pt>
                <c:pt idx="408">
                  <c:v>0.77508503587962341</c:v>
                </c:pt>
                <c:pt idx="409">
                  <c:v>0.77502646474151837</c:v>
                </c:pt>
                <c:pt idx="410">
                  <c:v>0.77496798082599172</c:v>
                </c:pt>
                <c:pt idx="411">
                  <c:v>0.77490958418755873</c:v>
                </c:pt>
                <c:pt idx="412">
                  <c:v>0.77485127487554062</c:v>
                </c:pt>
                <c:pt idx="413">
                  <c:v>0.77479305293415957</c:v>
                </c:pt>
                <c:pt idx="414">
                  <c:v>0.77473491840262387</c:v>
                </c:pt>
                <c:pt idx="415">
                  <c:v>0.77467687131521645</c:v>
                </c:pt>
                <c:pt idx="416">
                  <c:v>0.77461891170138064</c:v>
                </c:pt>
                <c:pt idx="417">
                  <c:v>0.7745610395858048</c:v>
                </c:pt>
                <c:pt idx="418">
                  <c:v>0.77450325498850503</c:v>
                </c:pt>
                <c:pt idx="419">
                  <c:v>0.77444555792490466</c:v>
                </c:pt>
                <c:pt idx="420">
                  <c:v>0.77438794840591751</c:v>
                </c:pt>
                <c:pt idx="421">
                  <c:v>0.77433042643802463</c:v>
                </c:pt>
                <c:pt idx="422">
                  <c:v>0.77427299202335198</c:v>
                </c:pt>
                <c:pt idx="423">
                  <c:v>0.77421564515974672</c:v>
                </c:pt>
                <c:pt idx="424">
                  <c:v>0.77415838584085184</c:v>
                </c:pt>
                <c:pt idx="425">
                  <c:v>0.77410121405618026</c:v>
                </c:pt>
                <c:pt idx="426">
                  <c:v>0.77404412979118586</c:v>
                </c:pt>
                <c:pt idx="427">
                  <c:v>0.77398713302733646</c:v>
                </c:pt>
                <c:pt idx="428">
                  <c:v>0.77393022374218179</c:v>
                </c:pt>
                <c:pt idx="429">
                  <c:v>0.773873401909424</c:v>
                </c:pt>
                <c:pt idx="430">
                  <c:v>0.7738166674989837</c:v>
                </c:pt>
                <c:pt idx="431">
                  <c:v>0.77376002047706793</c:v>
                </c:pt>
                <c:pt idx="432">
                  <c:v>0.77370346080623442</c:v>
                </c:pt>
                <c:pt idx="433">
                  <c:v>0.7736469884454571</c:v>
                </c:pt>
                <c:pt idx="434">
                  <c:v>0.77359060335018792</c:v>
                </c:pt>
                <c:pt idx="435">
                  <c:v>0.77353430547241964</c:v>
                </c:pt>
                <c:pt idx="436">
                  <c:v>0.77347809476074847</c:v>
                </c:pt>
                <c:pt idx="437">
                  <c:v>0.77342197116043188</c:v>
                </c:pt>
                <c:pt idx="438">
                  <c:v>0.77336593461344882</c:v>
                </c:pt>
                <c:pt idx="439">
                  <c:v>0.77330998505855908</c:v>
                </c:pt>
                <c:pt idx="440">
                  <c:v>0.77325412243135894</c:v>
                </c:pt>
                <c:pt idx="441">
                  <c:v>0.77319834666433884</c:v>
                </c:pt>
                <c:pt idx="442">
                  <c:v>0.7731426576869368</c:v>
                </c:pt>
                <c:pt idx="443">
                  <c:v>0.77308705542559597</c:v>
                </c:pt>
                <c:pt idx="444">
                  <c:v>0.77303153980381589</c:v>
                </c:pt>
                <c:pt idx="445">
                  <c:v>0.77297611074220618</c:v>
                </c:pt>
                <c:pt idx="446">
                  <c:v>0.7729207681585385</c:v>
                </c:pt>
                <c:pt idx="447">
                  <c:v>0.77286551196779762</c:v>
                </c:pt>
                <c:pt idx="448">
                  <c:v>0.77281034208223109</c:v>
                </c:pt>
                <c:pt idx="449">
                  <c:v>0.77275525841140069</c:v>
                </c:pt>
                <c:pt idx="450">
                  <c:v>0.77270026086222821</c:v>
                </c:pt>
                <c:pt idx="451">
                  <c:v>0.77264534933904583</c:v>
                </c:pt>
                <c:pt idx="452">
                  <c:v>0.7725905237436419</c:v>
                </c:pt>
                <c:pt idx="453">
                  <c:v>0.77253578397530775</c:v>
                </c:pt>
                <c:pt idx="454">
                  <c:v>0.77248112993088358</c:v>
                </c:pt>
                <c:pt idx="455">
                  <c:v>0.77242656150480293</c:v>
                </c:pt>
                <c:pt idx="456">
                  <c:v>0.77237207858913737</c:v>
                </c:pt>
                <c:pt idx="457">
                  <c:v>0.77231768107363929</c:v>
                </c:pt>
                <c:pt idx="458">
                  <c:v>0.77226336884578628</c:v>
                </c:pt>
                <c:pt idx="459">
                  <c:v>0.77220914179082134</c:v>
                </c:pt>
                <c:pt idx="460">
                  <c:v>0.7721549997917948</c:v>
                </c:pt>
                <c:pt idx="461">
                  <c:v>0.77210094272960716</c:v>
                </c:pt>
                <c:pt idx="462">
                  <c:v>0.77204697048304605</c:v>
                </c:pt>
                <c:pt idx="463">
                  <c:v>0.77199308292882862</c:v>
                </c:pt>
                <c:pt idx="464">
                  <c:v>0.77193927994163913</c:v>
                </c:pt>
                <c:pt idx="465">
                  <c:v>0.77188556139416753</c:v>
                </c:pt>
                <c:pt idx="466">
                  <c:v>0.77183192715714666</c:v>
                </c:pt>
                <c:pt idx="467">
                  <c:v>0.77177837709939034</c:v>
                </c:pt>
                <c:pt idx="468">
                  <c:v>0.77172491108782992</c:v>
                </c:pt>
                <c:pt idx="469">
                  <c:v>0.7716715289875492</c:v>
                </c:pt>
                <c:pt idx="470">
                  <c:v>0.77161823066182089</c:v>
                </c:pt>
                <c:pt idx="471">
                  <c:v>0.77156501597214133</c:v>
                </c:pt>
                <c:pt idx="472">
                  <c:v>0.77151188477826427</c:v>
                </c:pt>
                <c:pt idx="473">
                  <c:v>0.77145883693823603</c:v>
                </c:pt>
                <c:pt idx="474">
                  <c:v>0.77140587230842672</c:v>
                </c:pt>
                <c:pt idx="475">
                  <c:v>0.77135299074356511</c:v>
                </c:pt>
                <c:pt idx="476">
                  <c:v>0.77130019209677059</c:v>
                </c:pt>
                <c:pt idx="477">
                  <c:v>0.77124747621958267</c:v>
                </c:pt>
                <c:pt idx="478">
                  <c:v>0.77119484296199581</c:v>
                </c:pt>
                <c:pt idx="479">
                  <c:v>0.7711422921724872</c:v>
                </c:pt>
                <c:pt idx="480">
                  <c:v>0.77108982369804935</c:v>
                </c:pt>
                <c:pt idx="481">
                  <c:v>0.77103743738421882</c:v>
                </c:pt>
                <c:pt idx="482">
                  <c:v>0.77098513307510597</c:v>
                </c:pt>
                <c:pt idx="483">
                  <c:v>0.77093291061342384</c:v>
                </c:pt>
                <c:pt idx="484">
                  <c:v>0.77088076984051612</c:v>
                </c:pt>
                <c:pt idx="485">
                  <c:v>0.7708287105963868</c:v>
                </c:pt>
                <c:pt idx="486">
                  <c:v>0.77077673271972713</c:v>
                </c:pt>
                <c:pt idx="487">
                  <c:v>0.77072483604794217</c:v>
                </c:pt>
                <c:pt idx="488">
                  <c:v>0.77067302041717833</c:v>
                </c:pt>
                <c:pt idx="489">
                  <c:v>0.77062128566235011</c:v>
                </c:pt>
                <c:pt idx="490">
                  <c:v>0.77056963161716541</c:v>
                </c:pt>
                <c:pt idx="491">
                  <c:v>0.77051805811415175</c:v>
                </c:pt>
                <c:pt idx="492">
                  <c:v>0.77046656498468158</c:v>
                </c:pt>
                <c:pt idx="493">
                  <c:v>0.77041515205899713</c:v>
                </c:pt>
                <c:pt idx="494">
                  <c:v>0.7703638191662342</c:v>
                </c:pt>
                <c:pt idx="495">
                  <c:v>0.77031256613444776</c:v>
                </c:pt>
                <c:pt idx="496">
                  <c:v>0.77026139279063466</c:v>
                </c:pt>
                <c:pt idx="497">
                  <c:v>0.77021029896075732</c:v>
                </c:pt>
                <c:pt idx="498">
                  <c:v>0.77015928446976722</c:v>
                </c:pt>
                <c:pt idx="499">
                  <c:v>0.77010834914162674</c:v>
                </c:pt>
                <c:pt idx="500">
                  <c:v>0.77005749279933322</c:v>
                </c:pt>
                <c:pt idx="501">
                  <c:v>0.75076172148830833</c:v>
                </c:pt>
                <c:pt idx="502">
                  <c:v>0.7218559281009348</c:v>
                </c:pt>
                <c:pt idx="503">
                  <c:v>0.69190472323922658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E5-4B4E-B290-55497A9D3977}"/>
            </c:ext>
          </c:extLst>
        </c:ser>
        <c:ser>
          <c:idx val="1"/>
          <c:order val="1"/>
          <c:tx>
            <c:strRef>
              <c:f>Plots!$Q$2</c:f>
              <c:strCache>
                <c:ptCount val="1"/>
                <c:pt idx="0">
                  <c:v>Fmax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(Plots!$R$2,Plots!$R$2)</c:f>
              <c:numCache>
                <c:formatCode>General</c:formatCode>
                <c:ptCount val="2"/>
                <c:pt idx="0">
                  <c:v>1.59</c:v>
                </c:pt>
                <c:pt idx="1">
                  <c:v>1.59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E5-4B4E-B290-55497A9D3977}"/>
            </c:ext>
          </c:extLst>
        </c:ser>
        <c:ser>
          <c:idx val="2"/>
          <c:order val="2"/>
          <c:tx>
            <c:strRef>
              <c:f>Plots!$Q$3</c:f>
              <c:strCache>
                <c:ptCount val="1"/>
                <c:pt idx="0">
                  <c:v>F0.1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(Plots!$R$3,Plots!$R$3)</c:f>
              <c:numCache>
                <c:formatCode>General</c:formatCode>
                <c:ptCount val="2"/>
                <c:pt idx="0">
                  <c:v>0.28000000000000003</c:v>
                </c:pt>
                <c:pt idx="1">
                  <c:v>0.28000000000000003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E5-4B4E-B290-55497A9D3977}"/>
            </c:ext>
          </c:extLst>
        </c:ser>
        <c:ser>
          <c:idx val="3"/>
          <c:order val="3"/>
          <c:tx>
            <c:strRef>
              <c:f>Plots!$Q$4</c:f>
              <c:strCache>
                <c:ptCount val="1"/>
                <c:pt idx="0">
                  <c:v>FMSY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(Plots!$R$4,Plots!$R$4)</c:f>
              <c:numCache>
                <c:formatCode>General</c:formatCode>
                <c:ptCount val="2"/>
                <c:pt idx="0">
                  <c:v>0.34</c:v>
                </c:pt>
                <c:pt idx="1">
                  <c:v>0.34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E5-4B4E-B290-55497A9D3977}"/>
            </c:ext>
          </c:extLst>
        </c:ser>
        <c:ser>
          <c:idx val="4"/>
          <c:order val="4"/>
          <c:tx>
            <c:strRef>
              <c:f>Plots!$Q$5</c:f>
              <c:strCache>
                <c:ptCount val="1"/>
                <c:pt idx="0">
                  <c:v>F0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(Plots!$R$5,Plots!$R$5)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E5-4B4E-B290-55497A9D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0.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Per Recruit (kg)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28262543824357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MSY!$A$44:$A$547</c:f>
              <c:numCache>
                <c:formatCode>General</c:formatCode>
                <c:ptCount val="504"/>
                <c:pt idx="0">
                  <c:v>9.9999999999999995E-7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10</c:v>
                </c:pt>
                <c:pt idx="502">
                  <c:v>20</c:v>
                </c:pt>
                <c:pt idx="503">
                  <c:v>35</c:v>
                </c:pt>
              </c:numCache>
            </c:numRef>
          </c:xVal>
          <c:yVal>
            <c:numRef>
              <c:f>MSY!$B$44:$B$547</c:f>
              <c:numCache>
                <c:formatCode>General</c:formatCode>
                <c:ptCount val="504"/>
                <c:pt idx="0">
                  <c:v>0.9999952134662361</c:v>
                </c:pt>
                <c:pt idx="1">
                  <c:v>0.95448419702497456</c:v>
                </c:pt>
                <c:pt idx="2">
                  <c:v>0.91323765685305125</c:v>
                </c:pt>
                <c:pt idx="3">
                  <c:v>0.87569913806345145</c:v>
                </c:pt>
                <c:pt idx="4">
                  <c:v>0.84140098817357856</c:v>
                </c:pt>
                <c:pt idx="5">
                  <c:v>0.80995044719986264</c:v>
                </c:pt>
                <c:pt idx="6">
                  <c:v>0.78101525965315455</c:v>
                </c:pt>
                <c:pt idx="7">
                  <c:v>0.75431247955756053</c:v>
                </c:pt>
                <c:pt idx="8">
                  <c:v>0.72959967133015535</c:v>
                </c:pt>
                <c:pt idx="9">
                  <c:v>0.7066679289726443</c:v>
                </c:pt>
                <c:pt idx="10">
                  <c:v>0.68533628984063166</c:v>
                </c:pt>
                <c:pt idx="11">
                  <c:v>0.66544722847070559</c:v>
                </c:pt>
                <c:pt idx="12">
                  <c:v>0.64686299448063744</c:v>
                </c:pt>
                <c:pt idx="13">
                  <c:v>0.62946261569958595</c:v>
                </c:pt>
                <c:pt idx="14">
                  <c:v>0.6131394297182754</c:v>
                </c:pt>
                <c:pt idx="15">
                  <c:v>0.59779903828564174</c:v>
                </c:pt>
                <c:pt idx="16">
                  <c:v>0.58335760241424339</c:v>
                </c:pt>
                <c:pt idx="17">
                  <c:v>0.56974041379787388</c:v>
                </c:pt>
                <c:pt idx="18">
                  <c:v>0.55688069168838961</c:v>
                </c:pt>
                <c:pt idx="19">
                  <c:v>0.54471856479999958</c:v>
                </c:pt>
                <c:pt idx="20">
                  <c:v>0.53320020588797934</c:v>
                </c:pt>
                <c:pt idx="21">
                  <c:v>0.52227709295577129</c:v>
                </c:pt>
                <c:pt idx="22">
                  <c:v>0.51190537600119057</c:v>
                </c:pt>
                <c:pt idx="23">
                  <c:v>0.50204533213265934</c:v>
                </c:pt>
                <c:pt idx="24">
                  <c:v>0.4926608950054514</c:v>
                </c:pt>
                <c:pt idx="25">
                  <c:v>0.48371924702369723</c:v>
                </c:pt>
                <c:pt idx="26">
                  <c:v>0.47519046476178278</c:v>
                </c:pt>
                <c:pt idx="27">
                  <c:v>0.46704720968245955</c:v>
                </c:pt>
                <c:pt idx="28">
                  <c:v>0.45926445754849993</c:v>
                </c:pt>
                <c:pt idx="29">
                  <c:v>0.45181926100204461</c:v>
                </c:pt>
                <c:pt idx="30">
                  <c:v>0.44469054066934505</c:v>
                </c:pt>
                <c:pt idx="31">
                  <c:v>0.43785890087636159</c:v>
                </c:pt>
                <c:pt idx="32">
                  <c:v>0.43130646666254246</c:v>
                </c:pt>
                <c:pt idx="33">
                  <c:v>0.42501673927986727</c:v>
                </c:pt>
                <c:pt idx="34">
                  <c:v>0.41897446778074526</c:v>
                </c:pt>
                <c:pt idx="35">
                  <c:v>0.41316553464675532</c:v>
                </c:pt>
                <c:pt idx="36">
                  <c:v>0.40757685370266106</c:v>
                </c:pt>
                <c:pt idx="37">
                  <c:v>0.40219627880642972</c:v>
                </c:pt>
                <c:pt idx="38">
                  <c:v>0.39701252201407877</c:v>
                </c:pt>
                <c:pt idx="39">
                  <c:v>0.3920150800945556</c:v>
                </c:pt>
                <c:pt idx="40">
                  <c:v>0.38719416841978377</c:v>
                </c:pt>
                <c:pt idx="41">
                  <c:v>0.3825406613828321</c:v>
                </c:pt>
                <c:pt idx="42">
                  <c:v>0.37804603860644587</c:v>
                </c:pt>
                <c:pt idx="43">
                  <c:v>0.37370233629784722</c:v>
                </c:pt>
                <c:pt idx="44">
                  <c:v>0.36950210318622317</c:v>
                </c:pt>
                <c:pt idx="45">
                  <c:v>0.36543836054868317</c:v>
                </c:pt>
                <c:pt idx="46">
                  <c:v>0.36150456589037933</c:v>
                </c:pt>
                <c:pt idx="47">
                  <c:v>0.35769457989634645</c:v>
                </c:pt>
                <c:pt idx="48">
                  <c:v>0.35400263631762141</c:v>
                </c:pt>
                <c:pt idx="49">
                  <c:v>0.35042331449334041</c:v>
                </c:pt>
                <c:pt idx="50">
                  <c:v>0.34695151424461262</c:v>
                </c:pt>
                <c:pt idx="51">
                  <c:v>0.34358243290575535</c:v>
                </c:pt>
                <c:pt idx="52">
                  <c:v>0.34031154428453309</c:v>
                </c:pt>
                <c:pt idx="53">
                  <c:v>0.33713457936589597</c:v>
                </c:pt>
                <c:pt idx="54">
                  <c:v>0.3340475085937758</c:v>
                </c:pt>
                <c:pt idx="55">
                  <c:v>0.33104652558316783</c:v>
                </c:pt>
                <c:pt idx="56">
                  <c:v>0.32812803213029046</c:v>
                </c:pt>
                <c:pt idx="57">
                  <c:v>0.32528862440236567</c:v>
                </c:pt>
                <c:pt idx="58">
                  <c:v>0.32252508020073262</c:v>
                </c:pt>
                <c:pt idx="59">
                  <c:v>0.31983434720177595</c:v>
                </c:pt>
                <c:pt idx="60">
                  <c:v>0.31721353208972275</c:v>
                </c:pt>
                <c:pt idx="61">
                  <c:v>0.31465989050385901</c:v>
                </c:pt>
                <c:pt idx="62">
                  <c:v>0.31217081773028965</c:v>
                </c:pt>
                <c:pt idx="63">
                  <c:v>0.30974384007510924</c:v>
                </c:pt>
                <c:pt idx="64">
                  <c:v>0.30737660686187851</c:v>
                </c:pt>
                <c:pt idx="65">
                  <c:v>0.30506688300168533</c:v>
                </c:pt>
                <c:pt idx="66">
                  <c:v>0.30281254208889358</c:v>
                </c:pt>
                <c:pt idx="67">
                  <c:v>0.30061155998000538</c:v>
                </c:pt>
                <c:pt idx="68">
                  <c:v>0.29846200881694057</c:v>
                </c:pt>
                <c:pt idx="69">
                  <c:v>0.29636205145952887</c:v>
                </c:pt>
                <c:pt idx="70">
                  <c:v>0.2943099362951469</c:v>
                </c:pt>
                <c:pt idx="71">
                  <c:v>0.29230399239626098</c:v>
                </c:pt>
                <c:pt idx="72">
                  <c:v>0.29034262499918528</c:v>
                </c:pt>
                <c:pt idx="73">
                  <c:v>0.28842431127967422</c:v>
                </c:pt>
                <c:pt idx="74">
                  <c:v>0.28654759640304583</c:v>
                </c:pt>
                <c:pt idx="75">
                  <c:v>0.28471108982841986</c:v>
                </c:pt>
                <c:pt idx="76">
                  <c:v>0.28291346184836447</c:v>
                </c:pt>
                <c:pt idx="77">
                  <c:v>0.28115344034679318</c:v>
                </c:pt>
                <c:pt idx="78">
                  <c:v>0.27942980775936099</c:v>
                </c:pt>
                <c:pt idx="79">
                  <c:v>0.27774139822188904</c:v>
                </c:pt>
                <c:pt idx="80">
                  <c:v>0.27608709489350874</c:v>
                </c:pt>
                <c:pt idx="81">
                  <c:v>0.27446582744227777</c:v>
                </c:pt>
                <c:pt idx="82">
                  <c:v>0.27287656968198415</c:v>
                </c:pt>
                <c:pt idx="83">
                  <c:v>0.27131833734974009</c:v>
                </c:pt>
                <c:pt idx="84">
                  <c:v>0.26979018601476701</c:v>
                </c:pt>
                <c:pt idx="85">
                  <c:v>0.26829120910951282</c:v>
                </c:pt>
                <c:pt idx="86">
                  <c:v>0.26682053607491346</c:v>
                </c:pt>
                <c:pt idx="87">
                  <c:v>0.26537733061222946</c:v>
                </c:pt>
                <c:pt idx="88">
                  <c:v>0.26396078903444964</c:v>
                </c:pt>
                <c:pt idx="89">
                  <c:v>0.2625701387107745</c:v>
                </c:pt>
                <c:pt idx="90">
                  <c:v>0.26120463659816773</c:v>
                </c:pt>
                <c:pt idx="91">
                  <c:v>0.25986356785439985</c:v>
                </c:pt>
                <c:pt idx="92">
                  <c:v>0.25854624452740771</c:v>
                </c:pt>
                <c:pt idx="93">
                  <c:v>0.25725200431616829</c:v>
                </c:pt>
                <c:pt idx="94">
                  <c:v>0.25598020939862115</c:v>
                </c:pt>
                <c:pt idx="95">
                  <c:v>0.25473024532248617</c:v>
                </c:pt>
                <c:pt idx="96">
                  <c:v>0.25350151995511871</c:v>
                </c:pt>
                <c:pt idx="97">
                  <c:v>0.25229346248880324</c:v>
                </c:pt>
                <c:pt idx="98">
                  <c:v>0.25110552249813711</c:v>
                </c:pt>
                <c:pt idx="99">
                  <c:v>0.24993716904638388</c:v>
                </c:pt>
                <c:pt idx="100">
                  <c:v>0.24878788983788414</c:v>
                </c:pt>
                <c:pt idx="101">
                  <c:v>0.24765719041380529</c:v>
                </c:pt>
                <c:pt idx="102">
                  <c:v>0.24654459338869789</c:v>
                </c:pt>
                <c:pt idx="103">
                  <c:v>0.24544963772548459</c:v>
                </c:pt>
                <c:pt idx="104">
                  <c:v>0.24437187804666854</c:v>
                </c:pt>
                <c:pt idx="105">
                  <c:v>0.243310883979691</c:v>
                </c:pt>
                <c:pt idx="106">
                  <c:v>0.24226623953449766</c:v>
                </c:pt>
                <c:pt idx="107">
                  <c:v>0.24123754251150048</c:v>
                </c:pt>
                <c:pt idx="108">
                  <c:v>0.24022440393823571</c:v>
                </c:pt>
                <c:pt idx="109">
                  <c:v>0.23922644753312411</c:v>
                </c:pt>
                <c:pt idx="110">
                  <c:v>0.2382433091948403</c:v>
                </c:pt>
                <c:pt idx="111">
                  <c:v>0.23727463651589242</c:v>
                </c:pt>
                <c:pt idx="112">
                  <c:v>0.23632008831909385</c:v>
                </c:pt>
                <c:pt idx="113">
                  <c:v>0.23537933421569526</c:v>
                </c:pt>
                <c:pt idx="114">
                  <c:v>0.23445205418401688</c:v>
                </c:pt>
                <c:pt idx="115">
                  <c:v>0.23353793816749024</c:v>
                </c:pt>
                <c:pt idx="116">
                  <c:v>0.23263668569108592</c:v>
                </c:pt>
                <c:pt idx="117">
                  <c:v>0.23174800549516245</c:v>
                </c:pt>
                <c:pt idx="118">
                  <c:v>0.23087161518582994</c:v>
                </c:pt>
                <c:pt idx="119">
                  <c:v>0.23000724090097513</c:v>
                </c:pt>
                <c:pt idx="120">
                  <c:v>0.22915461699114162</c:v>
                </c:pt>
                <c:pt idx="121">
                  <c:v>0.22831348571450999</c:v>
                </c:pt>
                <c:pt idx="122">
                  <c:v>0.22748359694526149</c:v>
                </c:pt>
                <c:pt idx="123">
                  <c:v>0.2266647078946521</c:v>
                </c:pt>
                <c:pt idx="124">
                  <c:v>0.22585658284416293</c:v>
                </c:pt>
                <c:pt idx="125">
                  <c:v>0.22505899289012465</c:v>
                </c:pt>
                <c:pt idx="126">
                  <c:v>0.22427171569925192</c:v>
                </c:pt>
                <c:pt idx="127">
                  <c:v>0.22349453527455171</c:v>
                </c:pt>
                <c:pt idx="128">
                  <c:v>0.2227272417311007</c:v>
                </c:pt>
                <c:pt idx="129">
                  <c:v>0.22196963108121426</c:v>
                </c:pt>
                <c:pt idx="130">
                  <c:v>0.22122150502855434</c:v>
                </c:pt>
                <c:pt idx="131">
                  <c:v>0.22048267077075084</c:v>
                </c:pt>
                <c:pt idx="132">
                  <c:v>0.21975294081013066</c:v>
                </c:pt>
                <c:pt idx="133">
                  <c:v>0.2190321327721724</c:v>
                </c:pt>
                <c:pt idx="134">
                  <c:v>0.21832006923132488</c:v>
                </c:pt>
                <c:pt idx="135">
                  <c:v>0.21761657754384495</c:v>
                </c:pt>
                <c:pt idx="136">
                  <c:v>0.21692148968733141</c:v>
                </c:pt>
                <c:pt idx="137">
                  <c:v>0.2162346421066447</c:v>
                </c:pt>
                <c:pt idx="138">
                  <c:v>0.21555587556592173</c:v>
                </c:pt>
                <c:pt idx="139">
                  <c:v>0.21488503500640771</c:v>
                </c:pt>
                <c:pt idx="140">
                  <c:v>0.21422196940984226</c:v>
                </c:pt>
                <c:pt idx="141">
                  <c:v>0.21356653166715087</c:v>
                </c:pt>
                <c:pt idx="142">
                  <c:v>0.21291857845220305</c:v>
                </c:pt>
                <c:pt idx="143">
                  <c:v>0.21227797010041399</c:v>
                </c:pt>
                <c:pt idx="144">
                  <c:v>0.21164457049197488</c:v>
                </c:pt>
                <c:pt idx="145">
                  <c:v>0.21101824693950885</c:v>
                </c:pt>
                <c:pt idx="146">
                  <c:v>0.21039887007995942</c:v>
                </c:pt>
                <c:pt idx="147">
                  <c:v>0.20978631377052842</c:v>
                </c:pt>
                <c:pt idx="148">
                  <c:v>0.20918045498848767</c:v>
                </c:pt>
                <c:pt idx="149">
                  <c:v>0.20858117373469906</c:v>
                </c:pt>
                <c:pt idx="150">
                  <c:v>0.20798835294068493</c:v>
                </c:pt>
                <c:pt idx="151">
                  <c:v>0.20740187837909746</c:v>
                </c:pt>
                <c:pt idx="152">
                  <c:v>0.20682163857744484</c:v>
                </c:pt>
                <c:pt idx="153">
                  <c:v>0.20624752473493652</c:v>
                </c:pt>
                <c:pt idx="154">
                  <c:v>0.20567943064231864</c:v>
                </c:pt>
                <c:pt idx="155">
                  <c:v>0.20511725260457475</c:v>
                </c:pt>
                <c:pt idx="156">
                  <c:v>0.20456088936637412</c:v>
                </c:pt>
                <c:pt idx="157">
                  <c:v>0.20401024204015508</c:v>
                </c:pt>
                <c:pt idx="158">
                  <c:v>0.20346521403673554</c:v>
                </c:pt>
                <c:pt idx="159">
                  <c:v>0.20292571099834836</c:v>
                </c:pt>
                <c:pt idx="160">
                  <c:v>0.20239164073400459</c:v>
                </c:pt>
                <c:pt idx="161">
                  <c:v>0.20186291315708896</c:v>
                </c:pt>
                <c:pt idx="162">
                  <c:v>0.20133944022510139</c:v>
                </c:pt>
                <c:pt idx="163">
                  <c:v>0.20082113588145756</c:v>
                </c:pt>
                <c:pt idx="164">
                  <c:v>0.20030791599926717</c:v>
                </c:pt>
                <c:pt idx="165">
                  <c:v>0.19979969832701328</c:v>
                </c:pt>
                <c:pt idx="166">
                  <c:v>0.1992964024360577</c:v>
                </c:pt>
                <c:pt idx="167">
                  <c:v>0.1987979496699018</c:v>
                </c:pt>
                <c:pt idx="168">
                  <c:v>0.19830426309513469</c:v>
                </c:pt>
                <c:pt idx="169">
                  <c:v>0.19781526745400385</c:v>
                </c:pt>
                <c:pt idx="170">
                  <c:v>0.1973308891185466</c:v>
                </c:pt>
                <c:pt idx="171">
                  <c:v>0.19685105604622252</c:v>
                </c:pt>
                <c:pt idx="172">
                  <c:v>0.19637569773699026</c:v>
                </c:pt>
                <c:pt idx="173">
                  <c:v>0.19590474519177409</c:v>
                </c:pt>
                <c:pt idx="174">
                  <c:v>0.19543813087226836</c:v>
                </c:pt>
                <c:pt idx="175">
                  <c:v>0.19497578866203025</c:v>
                </c:pt>
                <c:pt idx="176">
                  <c:v>0.19451765382881223</c:v>
                </c:pt>
                <c:pt idx="177">
                  <c:v>0.19406366298808897</c:v>
                </c:pt>
                <c:pt idx="178">
                  <c:v>0.19361375406773551</c:v>
                </c:pt>
                <c:pt idx="179">
                  <c:v>0.19316786627381274</c:v>
                </c:pt>
                <c:pt idx="180">
                  <c:v>0.1927259400574225</c:v>
                </c:pt>
                <c:pt idx="181">
                  <c:v>0.19228791708259099</c:v>
                </c:pt>
                <c:pt idx="182">
                  <c:v>0.19185374019514573</c:v>
                </c:pt>
                <c:pt idx="183">
                  <c:v>0.19142335339254885</c:v>
                </c:pt>
                <c:pt idx="184">
                  <c:v>0.19099670179465358</c:v>
                </c:pt>
                <c:pt idx="185">
                  <c:v>0.19057373161535066</c:v>
                </c:pt>
                <c:pt idx="186">
                  <c:v>0.19015439013507379</c:v>
                </c:pt>
                <c:pt idx="187">
                  <c:v>0.18973862567413327</c:v>
                </c:pt>
                <c:pt idx="188">
                  <c:v>0.18932638756684964</c:v>
                </c:pt>
                <c:pt idx="189">
                  <c:v>0.18891762613645882</c:v>
                </c:pt>
                <c:pt idx="190">
                  <c:v>0.18851229267076222</c:v>
                </c:pt>
                <c:pt idx="191">
                  <c:v>0.18811033939849681</c:v>
                </c:pt>
                <c:pt idx="192">
                  <c:v>0.18771171946639917</c:v>
                </c:pt>
                <c:pt idx="193">
                  <c:v>0.18731638691694127</c:v>
                </c:pt>
                <c:pt idx="194">
                  <c:v>0.18692429666671428</c:v>
                </c:pt>
                <c:pt idx="195">
                  <c:v>0.18653540448543784</c:v>
                </c:pt>
                <c:pt idx="196">
                  <c:v>0.18614966697557628</c:v>
                </c:pt>
                <c:pt idx="197">
                  <c:v>0.18576704155253804</c:v>
                </c:pt>
                <c:pt idx="198">
                  <c:v>0.18538748642544212</c:v>
                </c:pt>
                <c:pt idx="199">
                  <c:v>0.18501096057842967</c:v>
                </c:pt>
                <c:pt idx="200">
                  <c:v>0.18463742375250583</c:v>
                </c:pt>
                <c:pt idx="201">
                  <c:v>0.18426683642789146</c:v>
                </c:pt>
                <c:pt idx="202">
                  <c:v>0.18389915980687038</c:v>
                </c:pt>
                <c:pt idx="203">
                  <c:v>0.18353435579711447</c:v>
                </c:pt>
                <c:pt idx="204">
                  <c:v>0.18317238699547211</c:v>
                </c:pt>
                <c:pt idx="205">
                  <c:v>0.18281321667220407</c:v>
                </c:pt>
                <c:pt idx="206">
                  <c:v>0.18245680875565323</c:v>
                </c:pt>
                <c:pt idx="207">
                  <c:v>0.18210312781733473</c:v>
                </c:pt>
                <c:pt idx="208">
                  <c:v>0.18175213905743073</c:v>
                </c:pt>
                <c:pt idx="209">
                  <c:v>0.18140380829068042</c:v>
                </c:pt>
                <c:pt idx="210">
                  <c:v>0.1810581019326501</c:v>
                </c:pt>
                <c:pt idx="211">
                  <c:v>0.18071498698637242</c:v>
                </c:pt>
                <c:pt idx="212">
                  <c:v>0.18037443102934322</c:v>
                </c:pt>
                <c:pt idx="213">
                  <c:v>0.180036402200865</c:v>
                </c:pt>
                <c:pt idx="214">
                  <c:v>0.17970086918972533</c:v>
                </c:pt>
                <c:pt idx="215">
                  <c:v>0.17936780122220169</c:v>
                </c:pt>
                <c:pt idx="216">
                  <c:v>0.17903716805038003</c:v>
                </c:pt>
                <c:pt idx="217">
                  <c:v>0.17870893994078052</c:v>
                </c:pt>
                <c:pt idx="218">
                  <c:v>0.17838308766327837</c:v>
                </c:pt>
                <c:pt idx="219">
                  <c:v>0.17805958248031289</c:v>
                </c:pt>
                <c:pt idx="220">
                  <c:v>0.1777383961363744</c:v>
                </c:pt>
                <c:pt idx="221">
                  <c:v>0.17741950084776195</c:v>
                </c:pt>
                <c:pt idx="222">
                  <c:v>0.17710286929260316</c:v>
                </c:pt>
                <c:pt idx="223">
                  <c:v>0.17678847460112776</c:v>
                </c:pt>
                <c:pt idx="224">
                  <c:v>0.17647629034618892</c:v>
                </c:pt>
                <c:pt idx="225">
                  <c:v>0.17616629053402327</c:v>
                </c:pt>
                <c:pt idx="226">
                  <c:v>0.17585844959524363</c:v>
                </c:pt>
                <c:pt idx="227">
                  <c:v>0.1755527423760572</c:v>
                </c:pt>
                <c:pt idx="228">
                  <c:v>0.17524914412970322</c:v>
                </c:pt>
                <c:pt idx="229">
                  <c:v>0.17494763050810253</c:v>
                </c:pt>
                <c:pt idx="230">
                  <c:v>0.17464817755371459</c:v>
                </c:pt>
                <c:pt idx="231">
                  <c:v>0.17435076169159369</c:v>
                </c:pt>
                <c:pt idx="232">
                  <c:v>0.17405535972164157</c:v>
                </c:pt>
                <c:pt idx="233">
                  <c:v>0.17376194881104792</c:v>
                </c:pt>
                <c:pt idx="234">
                  <c:v>0.173470506486915</c:v>
                </c:pt>
                <c:pt idx="235">
                  <c:v>0.17318101062906152</c:v>
                </c:pt>
                <c:pt idx="236">
                  <c:v>0.17289343946299918</c:v>
                </c:pt>
                <c:pt idx="237">
                  <c:v>0.17260777155307835</c:v>
                </c:pt>
                <c:pt idx="238">
                  <c:v>0.17232398579579764</c:v>
                </c:pt>
                <c:pt idx="239">
                  <c:v>0.17204206141327241</c:v>
                </c:pt>
                <c:pt idx="240">
                  <c:v>0.1717619779468591</c:v>
                </c:pt>
                <c:pt idx="241">
                  <c:v>0.17148371525092945</c:v>
                </c:pt>
                <c:pt idx="242">
                  <c:v>0.17120725348679094</c:v>
                </c:pt>
                <c:pt idx="243">
                  <c:v>0.17093257311675078</c:v>
                </c:pt>
                <c:pt idx="244">
                  <c:v>0.17065965489831747</c:v>
                </c:pt>
                <c:pt idx="245">
                  <c:v>0.17038847987853742</c:v>
                </c:pt>
                <c:pt idx="246">
                  <c:v>0.17011902938846288</c:v>
                </c:pt>
                <c:pt idx="247">
                  <c:v>0.16985128503774724</c:v>
                </c:pt>
                <c:pt idx="248">
                  <c:v>0.16958522870936446</c:v>
                </c:pt>
                <c:pt idx="249">
                  <c:v>0.16932084255444962</c:v>
                </c:pt>
                <c:pt idx="250">
                  <c:v>0.16905810898725607</c:v>
                </c:pt>
                <c:pt idx="251">
                  <c:v>0.16879701068022879</c:v>
                </c:pt>
                <c:pt idx="252">
                  <c:v>0.16853753055918699</c:v>
                </c:pt>
                <c:pt idx="253">
                  <c:v>0.16827965179861709</c:v>
                </c:pt>
                <c:pt idx="254">
                  <c:v>0.16802335781707023</c:v>
                </c:pt>
                <c:pt idx="255">
                  <c:v>0.16776863227266239</c:v>
                </c:pt>
                <c:pt idx="256">
                  <c:v>0.16751545905867593</c:v>
                </c:pt>
                <c:pt idx="257">
                  <c:v>0.16726382229925751</c:v>
                </c:pt>
                <c:pt idx="258">
                  <c:v>0.16701370634521115</c:v>
                </c:pt>
                <c:pt idx="259">
                  <c:v>0.16676509576988452</c:v>
                </c:pt>
                <c:pt idx="260">
                  <c:v>0.16651797536514457</c:v>
                </c:pt>
                <c:pt idx="261">
                  <c:v>0.16627233013744183</c:v>
                </c:pt>
                <c:pt idx="262">
                  <c:v>0.16602814530395976</c:v>
                </c:pt>
                <c:pt idx="263">
                  <c:v>0.16578540628884772</c:v>
                </c:pt>
                <c:pt idx="264">
                  <c:v>0.16554409871953504</c:v>
                </c:pt>
                <c:pt idx="265">
                  <c:v>0.1653042084231251</c:v>
                </c:pt>
                <c:pt idx="266">
                  <c:v>0.16506572142286566</c:v>
                </c:pt>
                <c:pt idx="267">
                  <c:v>0.16482862393469544</c:v>
                </c:pt>
                <c:pt idx="268">
                  <c:v>0.16459290236386337</c:v>
                </c:pt>
                <c:pt idx="269">
                  <c:v>0.16435854330162039</c:v>
                </c:pt>
                <c:pt idx="270">
                  <c:v>0.1641255335219802</c:v>
                </c:pt>
                <c:pt idx="271">
                  <c:v>0.16389385997854836</c:v>
                </c:pt>
                <c:pt idx="272">
                  <c:v>0.1636635098014185</c:v>
                </c:pt>
                <c:pt idx="273">
                  <c:v>0.16343447029413258</c:v>
                </c:pt>
                <c:pt idx="274">
                  <c:v>0.16320672893070454</c:v>
                </c:pt>
                <c:pt idx="275">
                  <c:v>0.16298027335270607</c:v>
                </c:pt>
                <c:pt idx="276">
                  <c:v>0.16275509136641192</c:v>
                </c:pt>
                <c:pt idx="277">
                  <c:v>0.16253117094000463</c:v>
                </c:pt>
                <c:pt idx="278">
                  <c:v>0.16230850020083601</c:v>
                </c:pt>
                <c:pt idx="279">
                  <c:v>0.16208706743274495</c:v>
                </c:pt>
                <c:pt idx="280">
                  <c:v>0.16186686107342985</c:v>
                </c:pt>
                <c:pt idx="281">
                  <c:v>0.16164786971187375</c:v>
                </c:pt>
                <c:pt idx="282">
                  <c:v>0.1614300820858226</c:v>
                </c:pt>
                <c:pt idx="283">
                  <c:v>0.16121348707931329</c:v>
                </c:pt>
                <c:pt idx="284">
                  <c:v>0.16099807372025182</c:v>
                </c:pt>
                <c:pt idx="285">
                  <c:v>0.16078383117803993</c:v>
                </c:pt>
                <c:pt idx="286">
                  <c:v>0.16057074876124891</c:v>
                </c:pt>
                <c:pt idx="287">
                  <c:v>0.16035881591533943</c:v>
                </c:pt>
                <c:pt idx="288">
                  <c:v>0.16014802222042707</c:v>
                </c:pt>
                <c:pt idx="289">
                  <c:v>0.15993835738909121</c:v>
                </c:pt>
                <c:pt idx="290">
                  <c:v>0.1597298112642275</c:v>
                </c:pt>
                <c:pt idx="291">
                  <c:v>0.15952237381694254</c:v>
                </c:pt>
                <c:pt idx="292">
                  <c:v>0.1593160351444888</c:v>
                </c:pt>
                <c:pt idx="293">
                  <c:v>0.1591107854682409</c:v>
                </c:pt>
                <c:pt idx="294">
                  <c:v>0.15890661513170998</c:v>
                </c:pt>
                <c:pt idx="295">
                  <c:v>0.15870351459859744</c:v>
                </c:pt>
                <c:pt idx="296">
                  <c:v>0.15850147445088555</c:v>
                </c:pt>
                <c:pt idx="297">
                  <c:v>0.15830048538696487</c:v>
                </c:pt>
                <c:pt idx="298">
                  <c:v>0.15810053821979733</c:v>
                </c:pt>
                <c:pt idx="299">
                  <c:v>0.15790162387511492</c:v>
                </c:pt>
                <c:pt idx="300">
                  <c:v>0.15770373338965171</c:v>
                </c:pt>
                <c:pt idx="301">
                  <c:v>0.15750685790941016</c:v>
                </c:pt>
                <c:pt idx="302">
                  <c:v>0.15731098868795979</c:v>
                </c:pt>
                <c:pt idx="303">
                  <c:v>0.15711611708476786</c:v>
                </c:pt>
                <c:pt idx="304">
                  <c:v>0.15692223456356119</c:v>
                </c:pt>
                <c:pt idx="305">
                  <c:v>0.1567293326907192</c:v>
                </c:pt>
                <c:pt idx="306">
                  <c:v>0.15653740313369602</c:v>
                </c:pt>
                <c:pt idx="307">
                  <c:v>0.15634643765947276</c:v>
                </c:pt>
                <c:pt idx="308">
                  <c:v>0.15615642813303784</c:v>
                </c:pt>
                <c:pt idx="309">
                  <c:v>0.15596736651589546</c:v>
                </c:pt>
                <c:pt idx="310">
                  <c:v>0.1557792448646019</c:v>
                </c:pt>
                <c:pt idx="311">
                  <c:v>0.15559205532932777</c:v>
                </c:pt>
                <c:pt idx="312">
                  <c:v>0.15540579015244765</c:v>
                </c:pt>
                <c:pt idx="313">
                  <c:v>0.15522044166715449</c:v>
                </c:pt>
                <c:pt idx="314">
                  <c:v>0.15503600229609968</c:v>
                </c:pt>
                <c:pt idx="315">
                  <c:v>0.15485246455005738</c:v>
                </c:pt>
                <c:pt idx="316">
                  <c:v>0.15466982102661339</c:v>
                </c:pt>
                <c:pt idx="317">
                  <c:v>0.15448806440887713</c:v>
                </c:pt>
                <c:pt idx="318">
                  <c:v>0.15430718746421682</c:v>
                </c:pt>
                <c:pt idx="319">
                  <c:v>0.15412718304301781</c:v>
                </c:pt>
                <c:pt idx="320">
                  <c:v>0.15394804407746188</c:v>
                </c:pt>
                <c:pt idx="321">
                  <c:v>0.15376976358032951</c:v>
                </c:pt>
                <c:pt idx="322">
                  <c:v>0.1535923346438223</c:v>
                </c:pt>
                <c:pt idx="323">
                  <c:v>0.15341575043840697</c:v>
                </c:pt>
                <c:pt idx="324">
                  <c:v>0.15324000421167891</c:v>
                </c:pt>
                <c:pt idx="325">
                  <c:v>0.15306508928724652</c:v>
                </c:pt>
                <c:pt idx="326">
                  <c:v>0.1528909990636344</c:v>
                </c:pt>
                <c:pt idx="327">
                  <c:v>0.1527177270132058</c:v>
                </c:pt>
                <c:pt idx="328">
                  <c:v>0.15254526668110394</c:v>
                </c:pt>
                <c:pt idx="329">
                  <c:v>0.15237361168421179</c:v>
                </c:pt>
                <c:pt idx="330">
                  <c:v>0.15220275571012931</c:v>
                </c:pt>
                <c:pt idx="331">
                  <c:v>0.15203269251616869</c:v>
                </c:pt>
                <c:pt idx="332">
                  <c:v>0.15186341592836694</c:v>
                </c:pt>
                <c:pt idx="333">
                  <c:v>0.15169491984051511</c:v>
                </c:pt>
                <c:pt idx="334">
                  <c:v>0.15152719821320401</c:v>
                </c:pt>
                <c:pt idx="335">
                  <c:v>0.15136024507288653</c:v>
                </c:pt>
                <c:pt idx="336">
                  <c:v>0.15119405451095569</c:v>
                </c:pt>
                <c:pt idx="337">
                  <c:v>0.15102862068283793</c:v>
                </c:pt>
                <c:pt idx="338">
                  <c:v>0.15086393780710231</c:v>
                </c:pt>
                <c:pt idx="339">
                  <c:v>0.15070000016458435</c:v>
                </c:pt>
                <c:pt idx="340">
                  <c:v>0.15053680209752446</c:v>
                </c:pt>
                <c:pt idx="341">
                  <c:v>0.15037433800872099</c:v>
                </c:pt>
                <c:pt idx="342">
                  <c:v>0.15021260236069728</c:v>
                </c:pt>
                <c:pt idx="343">
                  <c:v>0.15005158967488269</c:v>
                </c:pt>
                <c:pt idx="344">
                  <c:v>0.14989129453080674</c:v>
                </c:pt>
                <c:pt idx="345">
                  <c:v>0.14973171156530743</c:v>
                </c:pt>
                <c:pt idx="346">
                  <c:v>0.14957283547175157</c:v>
                </c:pt>
                <c:pt idx="347">
                  <c:v>0.14941466099926884</c:v>
                </c:pt>
                <c:pt idx="348">
                  <c:v>0.14925718295199764</c:v>
                </c:pt>
                <c:pt idx="349">
                  <c:v>0.1491003961883437</c:v>
                </c:pt>
                <c:pt idx="350">
                  <c:v>0.14894429562025088</c:v>
                </c:pt>
                <c:pt idx="351">
                  <c:v>0.14878887621248327</c:v>
                </c:pt>
                <c:pt idx="352">
                  <c:v>0.14863413298191944</c:v>
                </c:pt>
                <c:pt idx="353">
                  <c:v>0.14848006099685779</c:v>
                </c:pt>
                <c:pt idx="354">
                  <c:v>0.14832665537633319</c:v>
                </c:pt>
                <c:pt idx="355">
                  <c:v>0.1481739112894446</c:v>
                </c:pt>
                <c:pt idx="356">
                  <c:v>0.1480218239546934</c:v>
                </c:pt>
                <c:pt idx="357">
                  <c:v>0.14787038863933233</c:v>
                </c:pt>
                <c:pt idx="358">
                  <c:v>0.14771960065872483</c:v>
                </c:pt>
                <c:pt idx="359">
                  <c:v>0.14756945537571431</c:v>
                </c:pt>
                <c:pt idx="360">
                  <c:v>0.14741994820000395</c:v>
                </c:pt>
                <c:pt idx="361">
                  <c:v>0.14727107458754574</c:v>
                </c:pt>
                <c:pt idx="362">
                  <c:v>0.1471228300399392</c:v>
                </c:pt>
                <c:pt idx="363">
                  <c:v>0.14697521010383996</c:v>
                </c:pt>
                <c:pt idx="364">
                  <c:v>0.14682821037037719</c:v>
                </c:pt>
                <c:pt idx="365">
                  <c:v>0.14668182647458036</c:v>
                </c:pt>
                <c:pt idx="366">
                  <c:v>0.14653605409481477</c:v>
                </c:pt>
                <c:pt idx="367">
                  <c:v>0.14639088895222585</c:v>
                </c:pt>
                <c:pt idx="368">
                  <c:v>0.14624632681019237</c:v>
                </c:pt>
                <c:pt idx="369">
                  <c:v>0.14610236347378761</c:v>
                </c:pt>
                <c:pt idx="370">
                  <c:v>0.14595899478924926</c:v>
                </c:pt>
                <c:pt idx="371">
                  <c:v>0.14581621664345734</c:v>
                </c:pt>
                <c:pt idx="372">
                  <c:v>0.14567402496341983</c:v>
                </c:pt>
                <c:pt idx="373">
                  <c:v>0.14553241571576672</c:v>
                </c:pt>
                <c:pt idx="374">
                  <c:v>0.14539138490625131</c:v>
                </c:pt>
                <c:pt idx="375">
                  <c:v>0.1452509285792592</c:v>
                </c:pt>
                <c:pt idx="376">
                  <c:v>0.14511104281732484</c:v>
                </c:pt>
                <c:pt idx="377">
                  <c:v>0.14497172374065562</c:v>
                </c:pt>
                <c:pt idx="378">
                  <c:v>0.14483296750666214</c:v>
                </c:pt>
                <c:pt idx="379">
                  <c:v>0.14469477030949707</c:v>
                </c:pt>
                <c:pt idx="380">
                  <c:v>0.14455712837959972</c:v>
                </c:pt>
                <c:pt idx="381">
                  <c:v>0.14442003798324779</c:v>
                </c:pt>
                <c:pt idx="382">
                  <c:v>0.14428349542211596</c:v>
                </c:pt>
                <c:pt idx="383">
                  <c:v>0.14414749703284099</c:v>
                </c:pt>
                <c:pt idx="384">
                  <c:v>0.14401203918659311</c:v>
                </c:pt>
                <c:pt idx="385">
                  <c:v>0.14387711828865415</c:v>
                </c:pt>
                <c:pt idx="386">
                  <c:v>0.14374273077800132</c:v>
                </c:pt>
                <c:pt idx="387">
                  <c:v>0.14360887312689763</c:v>
                </c:pt>
                <c:pt idx="388">
                  <c:v>0.14347554184048825</c:v>
                </c:pt>
                <c:pt idx="389">
                  <c:v>0.14334273345640247</c:v>
                </c:pt>
                <c:pt idx="390">
                  <c:v>0.14321044454436194</c:v>
                </c:pt>
                <c:pt idx="391">
                  <c:v>0.14307867170579422</c:v>
                </c:pt>
                <c:pt idx="392">
                  <c:v>0.14294741157345228</c:v>
                </c:pt>
                <c:pt idx="393">
                  <c:v>0.14281666081103925</c:v>
                </c:pt>
                <c:pt idx="394">
                  <c:v>0.14268641611283892</c:v>
                </c:pt>
                <c:pt idx="395">
                  <c:v>0.14255667420335119</c:v>
                </c:pt>
                <c:pt idx="396">
                  <c:v>0.1424274318369331</c:v>
                </c:pt>
                <c:pt idx="397">
                  <c:v>0.14229868579744484</c:v>
                </c:pt>
                <c:pt idx="398">
                  <c:v>0.1421704328979011</c:v>
                </c:pt>
                <c:pt idx="399">
                  <c:v>0.14204266998012685</c:v>
                </c:pt>
                <c:pt idx="400">
                  <c:v>0.1419153939144189</c:v>
                </c:pt>
                <c:pt idx="401">
                  <c:v>0.14178860159921122</c:v>
                </c:pt>
                <c:pt idx="402">
                  <c:v>0.1416622899607459</c:v>
                </c:pt>
                <c:pt idx="403">
                  <c:v>0.14153645595274833</c:v>
                </c:pt>
                <c:pt idx="404">
                  <c:v>0.14141109655610734</c:v>
                </c:pt>
                <c:pt idx="405">
                  <c:v>0.14128620877855907</c:v>
                </c:pt>
                <c:pt idx="406">
                  <c:v>0.14116178965437634</c:v>
                </c:pt>
                <c:pt idx="407">
                  <c:v>0.14103783624406152</c:v>
                </c:pt>
                <c:pt idx="408">
                  <c:v>0.14091434563404434</c:v>
                </c:pt>
                <c:pt idx="409">
                  <c:v>0.14079131493638294</c:v>
                </c:pt>
                <c:pt idx="410">
                  <c:v>0.14066874128847084</c:v>
                </c:pt>
                <c:pt idx="411">
                  <c:v>0.14054662185274586</c:v>
                </c:pt>
                <c:pt idx="412">
                  <c:v>0.14042495381640471</c:v>
                </c:pt>
                <c:pt idx="413">
                  <c:v>0.14030373439112087</c:v>
                </c:pt>
                <c:pt idx="414">
                  <c:v>0.14018296081276616</c:v>
                </c:pt>
                <c:pt idx="415">
                  <c:v>0.14006263034113675</c:v>
                </c:pt>
                <c:pt idx="416">
                  <c:v>0.13994274025968237</c:v>
                </c:pt>
                <c:pt idx="417">
                  <c:v>0.13982328787523968</c:v>
                </c:pt>
                <c:pt idx="418">
                  <c:v>0.13970427051776882</c:v>
                </c:pt>
                <c:pt idx="419">
                  <c:v>0.13958568554009398</c:v>
                </c:pt>
                <c:pt idx="420">
                  <c:v>0.13946753031764741</c:v>
                </c:pt>
                <c:pt idx="421">
                  <c:v>0.13934980224821653</c:v>
                </c:pt>
                <c:pt idx="422">
                  <c:v>0.13923249875169505</c:v>
                </c:pt>
                <c:pt idx="423">
                  <c:v>0.13911561726983693</c:v>
                </c:pt>
                <c:pt idx="424">
                  <c:v>0.13899915526601425</c:v>
                </c:pt>
                <c:pt idx="425">
                  <c:v>0.13888311022497757</c:v>
                </c:pt>
                <c:pt idx="426">
                  <c:v>0.13876747965262023</c:v>
                </c:pt>
                <c:pt idx="427">
                  <c:v>0.13865226107574552</c:v>
                </c:pt>
                <c:pt idx="428">
                  <c:v>0.13853745204183648</c:v>
                </c:pt>
                <c:pt idx="429">
                  <c:v>0.13842305011882985</c:v>
                </c:pt>
                <c:pt idx="430">
                  <c:v>0.13830905289489223</c:v>
                </c:pt>
                <c:pt idx="431">
                  <c:v>0.13819545797819907</c:v>
                </c:pt>
                <c:pt idx="432">
                  <c:v>0.13808226299671733</c:v>
                </c:pt>
                <c:pt idx="433">
                  <c:v>0.13796946559799061</c:v>
                </c:pt>
                <c:pt idx="434">
                  <c:v>0.13785706344892662</c:v>
                </c:pt>
                <c:pt idx="435">
                  <c:v>0.13774505423558836</c:v>
                </c:pt>
                <c:pt idx="436">
                  <c:v>0.1376334356629878</c:v>
                </c:pt>
                <c:pt idx="437">
                  <c:v>0.13752220545488134</c:v>
                </c:pt>
                <c:pt idx="438">
                  <c:v>0.13741136135356954</c:v>
                </c:pt>
                <c:pt idx="439">
                  <c:v>0.13730090111969806</c:v>
                </c:pt>
                <c:pt idx="440">
                  <c:v>0.13719082253206188</c:v>
                </c:pt>
                <c:pt idx="441">
                  <c:v>0.1370811233874121</c:v>
                </c:pt>
                <c:pt idx="442">
                  <c:v>0.13697180150026467</c:v>
                </c:pt>
                <c:pt idx="443">
                  <c:v>0.13686285470271253</c:v>
                </c:pt>
                <c:pt idx="444">
                  <c:v>0.1367542808442391</c:v>
                </c:pt>
                <c:pt idx="445">
                  <c:v>0.13664607779153518</c:v>
                </c:pt>
                <c:pt idx="446">
                  <c:v>0.13653824342831736</c:v>
                </c:pt>
                <c:pt idx="447">
                  <c:v>0.13643077565514936</c:v>
                </c:pt>
                <c:pt idx="448">
                  <c:v>0.1363236723892654</c:v>
                </c:pt>
                <c:pt idx="449">
                  <c:v>0.13621693156439582</c:v>
                </c:pt>
                <c:pt idx="450">
                  <c:v>0.136110551130595</c:v>
                </c:pt>
                <c:pt idx="451">
                  <c:v>0.13600452905407134</c:v>
                </c:pt>
                <c:pt idx="452">
                  <c:v>0.13589886331701956</c:v>
                </c:pt>
                <c:pt idx="453">
                  <c:v>0.13579355191745499</c:v>
                </c:pt>
                <c:pt idx="454">
                  <c:v>0.13568859286905016</c:v>
                </c:pt>
                <c:pt idx="455">
                  <c:v>0.1355839842009732</c:v>
                </c:pt>
                <c:pt idx="456">
                  <c:v>0.13547972395772831</c:v>
                </c:pt>
                <c:pt idx="457">
                  <c:v>0.13537581019899839</c:v>
                </c:pt>
                <c:pt idx="458">
                  <c:v>0.1352722409994897</c:v>
                </c:pt>
                <c:pt idx="459">
                  <c:v>0.13516901444877799</c:v>
                </c:pt>
                <c:pt idx="460">
                  <c:v>0.13506612865115705</c:v>
                </c:pt>
                <c:pt idx="461">
                  <c:v>0.13496358172548903</c:v>
                </c:pt>
                <c:pt idx="462">
                  <c:v>0.13486137180505661</c:v>
                </c:pt>
                <c:pt idx="463">
                  <c:v>0.1347594970374168</c:v>
                </c:pt>
                <c:pt idx="464">
                  <c:v>0.13465795558425672</c:v>
                </c:pt>
                <c:pt idx="465">
                  <c:v>0.13455674562125122</c:v>
                </c:pt>
                <c:pt idx="466">
                  <c:v>0.13445586533792225</c:v>
                </c:pt>
                <c:pt idx="467">
                  <c:v>0.13435531293749978</c:v>
                </c:pt>
                <c:pt idx="468">
                  <c:v>0.13425508663678473</c:v>
                </c:pt>
                <c:pt idx="469">
                  <c:v>0.13415518466601295</c:v>
                </c:pt>
                <c:pt idx="470">
                  <c:v>0.13405560526872184</c:v>
                </c:pt>
                <c:pt idx="471">
                  <c:v>0.13395634670161788</c:v>
                </c:pt>
                <c:pt idx="472">
                  <c:v>0.13385740723444584</c:v>
                </c:pt>
                <c:pt idx="473">
                  <c:v>0.13375878514985981</c:v>
                </c:pt>
                <c:pt idx="474">
                  <c:v>0.13366047874329554</c:v>
                </c:pt>
                <c:pt idx="475">
                  <c:v>0.1335624863228449</c:v>
                </c:pt>
                <c:pt idx="476">
                  <c:v>0.13346480620913079</c:v>
                </c:pt>
                <c:pt idx="477">
                  <c:v>0.13336743673518478</c:v>
                </c:pt>
                <c:pt idx="478">
                  <c:v>0.13327037624632532</c:v>
                </c:pt>
                <c:pt idx="479">
                  <c:v>0.13317362310003766</c:v>
                </c:pt>
                <c:pt idx="480">
                  <c:v>0.13307717566585572</c:v>
                </c:pt>
                <c:pt idx="481">
                  <c:v>0.13298103232524433</c:v>
                </c:pt>
                <c:pt idx="482">
                  <c:v>0.13288519147148412</c:v>
                </c:pt>
                <c:pt idx="483">
                  <c:v>0.1327896515095566</c:v>
                </c:pt>
                <c:pt idx="484">
                  <c:v>0.13269441085603145</c:v>
                </c:pt>
                <c:pt idx="485">
                  <c:v>0.13259946793895483</c:v>
                </c:pt>
                <c:pt idx="486">
                  <c:v>0.1325048211977389</c:v>
                </c:pt>
                <c:pt idx="487">
                  <c:v>0.13241046908305287</c:v>
                </c:pt>
                <c:pt idx="488">
                  <c:v>0.13231641005671546</c:v>
                </c:pt>
                <c:pt idx="489">
                  <c:v>0.13222264259158775</c:v>
                </c:pt>
                <c:pt idx="490">
                  <c:v>0.13212916517146889</c:v>
                </c:pt>
                <c:pt idx="491">
                  <c:v>0.13203597629099129</c:v>
                </c:pt>
                <c:pt idx="492">
                  <c:v>0.13194307445551837</c:v>
                </c:pt>
                <c:pt idx="493">
                  <c:v>0.13185045818104257</c:v>
                </c:pt>
                <c:pt idx="494">
                  <c:v>0.13175812599408529</c:v>
                </c:pt>
                <c:pt idx="495">
                  <c:v>0.13166607643159758</c:v>
                </c:pt>
                <c:pt idx="496">
                  <c:v>0.1315743080408619</c:v>
                </c:pt>
                <c:pt idx="497">
                  <c:v>0.13148281937939552</c:v>
                </c:pt>
                <c:pt idx="498">
                  <c:v>0.1313916090148543</c:v>
                </c:pt>
                <c:pt idx="499">
                  <c:v>0.13130067552493829</c:v>
                </c:pt>
                <c:pt idx="500">
                  <c:v>0.13121001749729819</c:v>
                </c:pt>
                <c:pt idx="501">
                  <c:v>0.10443490769012664</c:v>
                </c:pt>
                <c:pt idx="502">
                  <c:v>8.1398173687757411E-2</c:v>
                </c:pt>
                <c:pt idx="503">
                  <c:v>6.3405413323626592E-2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6-4A78-850D-950D71314C63}"/>
            </c:ext>
          </c:extLst>
        </c:ser>
        <c:ser>
          <c:idx val="1"/>
          <c:order val="1"/>
          <c:tx>
            <c:strRef>
              <c:f>Plots!$Q$2</c:f>
              <c:strCache>
                <c:ptCount val="1"/>
                <c:pt idx="0">
                  <c:v>Fmax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(Plots!$R$2,Plots!$R$2)</c:f>
              <c:numCache>
                <c:formatCode>General</c:formatCode>
                <c:ptCount val="2"/>
                <c:pt idx="0">
                  <c:v>1.59</c:v>
                </c:pt>
                <c:pt idx="1">
                  <c:v>1.59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6-4A78-850D-950D71314C63}"/>
            </c:ext>
          </c:extLst>
        </c:ser>
        <c:ser>
          <c:idx val="2"/>
          <c:order val="2"/>
          <c:tx>
            <c:strRef>
              <c:f>Plots!$Q$3</c:f>
              <c:strCache>
                <c:ptCount val="1"/>
                <c:pt idx="0">
                  <c:v>F0.1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(Plots!$R$3,Plots!$R$3)</c:f>
              <c:numCache>
                <c:formatCode>General</c:formatCode>
                <c:ptCount val="2"/>
                <c:pt idx="0">
                  <c:v>0.28000000000000003</c:v>
                </c:pt>
                <c:pt idx="1">
                  <c:v>0.28000000000000003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66-4A78-850D-950D71314C63}"/>
            </c:ext>
          </c:extLst>
        </c:ser>
        <c:ser>
          <c:idx val="3"/>
          <c:order val="3"/>
          <c:tx>
            <c:strRef>
              <c:f>Plots!$Q$4</c:f>
              <c:strCache>
                <c:ptCount val="1"/>
                <c:pt idx="0">
                  <c:v>FMSY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(Plots!$R$4,Plots!$R$4)</c:f>
              <c:numCache>
                <c:formatCode>General</c:formatCode>
                <c:ptCount val="2"/>
                <c:pt idx="0">
                  <c:v>0.34</c:v>
                </c:pt>
                <c:pt idx="1">
                  <c:v>0.34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66-4A78-850D-950D71314C63}"/>
            </c:ext>
          </c:extLst>
        </c:ser>
        <c:ser>
          <c:idx val="4"/>
          <c:order val="4"/>
          <c:tx>
            <c:strRef>
              <c:f>Plots!$Q$5</c:f>
              <c:strCache>
                <c:ptCount val="1"/>
                <c:pt idx="0">
                  <c:v>F0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(Plots!$R$5,Plots!$R$5)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66-4A78-850D-950D71314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1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Spawning Potential Ratio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28262543824357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MSY!$A$44:$A$547</c:f>
              <c:numCache>
                <c:formatCode>General</c:formatCode>
                <c:ptCount val="504"/>
                <c:pt idx="0">
                  <c:v>9.9999999999999995E-7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10</c:v>
                </c:pt>
                <c:pt idx="502">
                  <c:v>20</c:v>
                </c:pt>
                <c:pt idx="503">
                  <c:v>35</c:v>
                </c:pt>
              </c:numCache>
            </c:numRef>
          </c:xVal>
          <c:yVal>
            <c:numRef>
              <c:f>MSY!$G$44:$G$547</c:f>
              <c:numCache>
                <c:formatCode>General</c:formatCode>
                <c:ptCount val="504"/>
                <c:pt idx="0">
                  <c:v>2.914803736686416E-5</c:v>
                </c:pt>
                <c:pt idx="1">
                  <c:v>0.27304398896818233</c:v>
                </c:pt>
                <c:pt idx="2">
                  <c:v>0.51281605101056194</c:v>
                </c:pt>
                <c:pt idx="3">
                  <c:v>0.72400581381951945</c:v>
                </c:pt>
                <c:pt idx="4">
                  <c:v>0.91050609253656378</c:v>
                </c:pt>
                <c:pt idx="5">
                  <c:v>1.0755727349274968</c:v>
                </c:pt>
                <c:pt idx="6">
                  <c:v>1.2219476063613954</c:v>
                </c:pt>
                <c:pt idx="7">
                  <c:v>1.3519542579358321</c:v>
                </c:pt>
                <c:pt idx="8">
                  <c:v>1.4675730981922595</c:v>
                </c:pt>
                <c:pt idx="9">
                  <c:v>1.5705010098770316</c:v>
                </c:pt>
                <c:pt idx="10">
                  <c:v>1.6621990371843163</c:v>
                </c:pt>
                <c:pt idx="11">
                  <c:v>1.7439308344906912</c:v>
                </c:pt>
                <c:pt idx="12">
                  <c:v>1.8167938956536049</c:v>
                </c:pt>
                <c:pt idx="13">
                  <c:v>1.8817450940482598</c:v>
                </c:pt>
                <c:pt idx="14">
                  <c:v>1.9396217038856089</c:v>
                </c:pt>
                <c:pt idx="15">
                  <c:v>1.9911588060957366</c:v>
                </c:pt>
                <c:pt idx="16">
                  <c:v>2.0370037815441675</c:v>
                </c:pt>
                <c:pt idx="17">
                  <c:v>2.0777284425541551</c:v>
                </c:pt>
                <c:pt idx="18">
                  <c:v>2.1138392378271735</c:v>
                </c:pt>
                <c:pt idx="19">
                  <c:v>2.1457858766871878</c:v>
                </c:pt>
                <c:pt idx="20">
                  <c:v>2.173968649449848</c:v>
                </c:pt>
                <c:pt idx="21">
                  <c:v>2.1987446667517236</c:v>
                </c:pt>
                <c:pt idx="22">
                  <c:v>2.2204331982614707</c:v>
                </c:pt>
                <c:pt idx="23">
                  <c:v>2.2393202576500992</c:v>
                </c:pt>
                <c:pt idx="24">
                  <c:v>2.2556625540075705</c:v>
                </c:pt>
                <c:pt idx="25">
                  <c:v>2.269690908535932</c:v>
                </c:pt>
                <c:pt idx="26">
                  <c:v>2.2816132181667914</c:v>
                </c:pt>
                <c:pt idx="27">
                  <c:v>2.2916170338556863</c:v>
                </c:pt>
                <c:pt idx="28">
                  <c:v>2.2998718100137019</c:v>
                </c:pt>
                <c:pt idx="29">
                  <c:v>2.3065308723166775</c:v>
                </c:pt>
                <c:pt idx="30">
                  <c:v>2.3117331435704997</c:v>
                </c:pt>
                <c:pt idx="31">
                  <c:v>2.3156046610825411</c:v>
                </c:pt>
                <c:pt idx="32">
                  <c:v>2.3182599138379025</c:v>
                </c:pt>
                <c:pt idx="33">
                  <c:v>2.3198030235019598</c:v>
                </c:pt>
                <c:pt idx="34">
                  <c:v>2.3203287897058655</c:v>
                </c:pt>
                <c:pt idx="35">
                  <c:v>2.3199236170898287</c:v>
                </c:pt>
                <c:pt idx="36">
                  <c:v>2.3186663390761426</c:v>
                </c:pt>
                <c:pt idx="37">
                  <c:v>2.3166289512361455</c:v>
                </c:pt>
                <c:pt idx="38">
                  <c:v>2.3138772653344453</c:v>
                </c:pt>
                <c:pt idx="39">
                  <c:v>2.3104714936245649</c:v>
                </c:pt>
                <c:pt idx="40">
                  <c:v>2.306466771687373</c:v>
                </c:pt>
                <c:pt idx="41">
                  <c:v>2.3019136270101468</c:v>
                </c:pt>
                <c:pt idx="42">
                  <c:v>2.2968583995695155</c:v>
                </c:pt>
                <c:pt idx="43">
                  <c:v>2.2913436198804105</c:v>
                </c:pt>
                <c:pt idx="44">
                  <c:v>2.285408349284932</c:v>
                </c:pt>
                <c:pt idx="45">
                  <c:v>2.2790884866621814</c:v>
                </c:pt>
                <c:pt idx="46">
                  <c:v>2.2724170452282357</c:v>
                </c:pt>
                <c:pt idx="47">
                  <c:v>2.2654244026525157</c:v>
                </c:pt>
                <c:pt idx="48">
                  <c:v>2.2581385273325787</c:v>
                </c:pt>
                <c:pt idx="49">
                  <c:v>2.2505851833355002</c:v>
                </c:pt>
                <c:pt idx="50">
                  <c:v>2.24278811622314</c:v>
                </c:pt>
                <c:pt idx="51">
                  <c:v>2.2347692217248012</c:v>
                </c:pt>
                <c:pt idx="52">
                  <c:v>2.2265486989988399</c:v>
                </c:pt>
                <c:pt idx="53">
                  <c:v>2.2181451900303721</c:v>
                </c:pt>
                <c:pt idx="54">
                  <c:v>2.2095759065415765</c:v>
                </c:pt>
                <c:pt idx="55">
                  <c:v>2.2008567456410715</c:v>
                </c:pt>
                <c:pt idx="56">
                  <c:v>2.1920023953067438</c:v>
                </c:pt>
                <c:pt idx="57">
                  <c:v>2.1830264306798139</c:v>
                </c:pt>
                <c:pt idx="58">
                  <c:v>2.1739414020450298</c:v>
                </c:pt>
                <c:pt idx="59">
                  <c:v>2.1647589152806566</c:v>
                </c:pt>
                <c:pt idx="60">
                  <c:v>2.1554897054812558</c:v>
                </c:pt>
                <c:pt idx="61">
                  <c:v>2.1461437043845444</c:v>
                </c:pt>
                <c:pt idx="62">
                  <c:v>2.1367301021699161</c:v>
                </c:pt>
                <c:pt idx="63">
                  <c:v>2.1272574041395176</c:v>
                </c:pt>
                <c:pt idx="64">
                  <c:v>2.1177334827422656</c:v>
                </c:pt>
                <c:pt idx="65">
                  <c:v>2.1081656253560737</c:v>
                </c:pt>
                <c:pt idx="66">
                  <c:v>2.0985605782033105</c:v>
                </c:pt>
                <c:pt idx="67">
                  <c:v>2.0889245867384556</c:v>
                </c:pt>
                <c:pt idx="68">
                  <c:v>2.0792634328146629</c:v>
                </c:pt>
                <c:pt idx="69">
                  <c:v>2.0695824689069902</c:v>
                </c:pt>
                <c:pt idx="70">
                  <c:v>2.0598866496441053</c:v>
                </c:pt>
                <c:pt idx="71">
                  <c:v>2.0501805608769268</c:v>
                </c:pt>
                <c:pt idx="72">
                  <c:v>2.0404684464916505</c:v>
                </c:pt>
                <c:pt idx="73">
                  <c:v>2.0307542331557391</c:v>
                </c:pt>
                <c:pt idx="74">
                  <c:v>2.0210415531683918</c:v>
                </c:pt>
                <c:pt idx="75">
                  <c:v>2.0113337655716381</c:v>
                </c:pt>
                <c:pt idx="76">
                  <c:v>2.0016339756643102</c:v>
                </c:pt>
                <c:pt idx="77">
                  <c:v>1.9919450530486216</c:v>
                </c:pt>
                <c:pt idx="78">
                  <c:v>1.9822696483276958</c:v>
                </c:pt>
                <c:pt idx="79">
                  <c:v>1.9726102085621231</c:v>
                </c:pt>
                <c:pt idx="80">
                  <c:v>1.9629689915842869</c:v>
                </c:pt>
                <c:pt idx="81">
                  <c:v>1.9533480792607902</c:v>
                </c:pt>
                <c:pt idx="82">
                  <c:v>1.9437493897855564</c:v>
                </c:pt>
                <c:pt idx="83">
                  <c:v>1.9341746890793194</c:v>
                </c:pt>
                <c:pt idx="84">
                  <c:v>1.9246256013647649</c:v>
                </c:pt>
                <c:pt idx="85">
                  <c:v>1.9151036189808996</c:v>
                </c:pt>
                <c:pt idx="86">
                  <c:v>1.9056101114949253</c:v>
                </c:pt>
                <c:pt idx="87">
                  <c:v>1.8961463341651443</c:v>
                </c:pt>
                <c:pt idx="88">
                  <c:v>1.8867134358040138</c:v>
                </c:pt>
                <c:pt idx="89">
                  <c:v>1.8773124660865257</c:v>
                </c:pt>
                <c:pt idx="90">
                  <c:v>1.8679443823454329</c:v>
                </c:pt>
                <c:pt idx="91">
                  <c:v>1.8586100558915299</c:v>
                </c:pt>
                <c:pt idx="92">
                  <c:v>1.8493102778941231</c:v>
                </c:pt>
                <c:pt idx="93">
                  <c:v>1.8400457648541011</c:v>
                </c:pt>
                <c:pt idx="94">
                  <c:v>1.8308171636994495</c:v>
                </c:pt>
                <c:pt idx="95">
                  <c:v>1.8216250565306746</c:v>
                </c:pt>
                <c:pt idx="96">
                  <c:v>1.8124699650415572</c:v>
                </c:pt>
                <c:pt idx="97">
                  <c:v>1.8033523546386321</c:v>
                </c:pt>
                <c:pt idx="98">
                  <c:v>1.7942726382809828</c:v>
                </c:pt>
                <c:pt idx="99">
                  <c:v>1.7852311800603653</c:v>
                </c:pt>
                <c:pt idx="100">
                  <c:v>1.7762282985400653</c:v>
                </c:pt>
                <c:pt idx="101">
                  <c:v>1.7672642698695775</c:v>
                </c:pt>
                <c:pt idx="102">
                  <c:v>1.7583393306908597</c:v>
                </c:pt>
                <c:pt idx="103">
                  <c:v>1.7494536808507788</c:v>
                </c:pt>
                <c:pt idx="104">
                  <c:v>1.7406074859332386</c:v>
                </c:pt>
                <c:pt idx="105">
                  <c:v>1.7318008796235227</c:v>
                </c:pt>
                <c:pt idx="106">
                  <c:v>1.7230339659164342</c:v>
                </c:pt>
                <c:pt idx="107">
                  <c:v>1.7143068211789765</c:v>
                </c:pt>
                <c:pt idx="108">
                  <c:v>1.7056194960775501</c:v>
                </c:pt>
                <c:pt idx="109">
                  <c:v>1.6969720173788787</c:v>
                </c:pt>
                <c:pt idx="110">
                  <c:v>1.6883643896332658</c:v>
                </c:pt>
                <c:pt idx="111">
                  <c:v>1.6797965967481325</c:v>
                </c:pt>
                <c:pt idx="112">
                  <c:v>1.6712686034592099</c:v>
                </c:pt>
                <c:pt idx="113">
                  <c:v>1.6627803567062767</c:v>
                </c:pt>
                <c:pt idx="114">
                  <c:v>1.6543317869197984</c:v>
                </c:pt>
                <c:pt idx="115">
                  <c:v>1.6459228092244178</c:v>
                </c:pt>
                <c:pt idx="116">
                  <c:v>1.6375533245647884</c:v>
                </c:pt>
                <c:pt idx="117">
                  <c:v>1.6292232207589006</c:v>
                </c:pt>
                <c:pt idx="118">
                  <c:v>1.6209323734836529</c:v>
                </c:pt>
                <c:pt idx="119">
                  <c:v>1.6126806471971338</c:v>
                </c:pt>
                <c:pt idx="120">
                  <c:v>1.6044678960017258</c:v>
                </c:pt>
                <c:pt idx="121">
                  <c:v>1.5962939644519025</c:v>
                </c:pt>
                <c:pt idx="122">
                  <c:v>1.5881586883102981</c:v>
                </c:pt>
                <c:pt idx="123">
                  <c:v>1.5800618952553918</c:v>
                </c:pt>
                <c:pt idx="124">
                  <c:v>1.5720034055439429</c:v>
                </c:pt>
                <c:pt idx="125">
                  <c:v>1.5639830326310575</c:v>
                </c:pt>
                <c:pt idx="126">
                  <c:v>1.5560005837506241</c:v>
                </c:pt>
                <c:pt idx="127">
                  <c:v>1.5480558604586325</c:v>
                </c:pt>
                <c:pt idx="128">
                  <c:v>1.540148659141749</c:v>
                </c:pt>
                <c:pt idx="129">
                  <c:v>1.5322787714933415</c:v>
                </c:pt>
                <c:pt idx="130">
                  <c:v>1.5244459849590282</c:v>
                </c:pt>
                <c:pt idx="131">
                  <c:v>1.5166500831536585</c:v>
                </c:pt>
                <c:pt idx="132">
                  <c:v>1.5088908462515405</c:v>
                </c:pt>
                <c:pt idx="133">
                  <c:v>1.5011680513515737</c:v>
                </c:pt>
                <c:pt idx="134">
                  <c:v>1.493481472818881</c:v>
                </c:pt>
                <c:pt idx="135">
                  <c:v>1.4858308826043805</c:v>
                </c:pt>
                <c:pt idx="136">
                  <c:v>1.4782160505437039</c:v>
                </c:pt>
                <c:pt idx="137">
                  <c:v>1.4706367446367159</c:v>
                </c:pt>
                <c:pt idx="138">
                  <c:v>1.4630927313088504</c:v>
                </c:pt>
                <c:pt idx="139">
                  <c:v>1.455583775655396</c:v>
                </c:pt>
                <c:pt idx="140">
                  <c:v>1.4481096416697581</c:v>
                </c:pt>
                <c:pt idx="141">
                  <c:v>1.4406700924567297</c:v>
                </c:pt>
                <c:pt idx="142">
                  <c:v>1.4332648904316345</c:v>
                </c:pt>
                <c:pt idx="143">
                  <c:v>1.4258937975062649</c:v>
                </c:pt>
                <c:pt idx="144">
                  <c:v>1.4185565752623883</c:v>
                </c:pt>
                <c:pt idx="145">
                  <c:v>1.4112529851136018</c:v>
                </c:pt>
                <c:pt idx="146">
                  <c:v>1.4039827884562333</c:v>
                </c:pt>
                <c:pt idx="147">
                  <c:v>1.3967457468099715</c:v>
                </c:pt>
                <c:pt idx="148">
                  <c:v>1.3895416219488421</c:v>
                </c:pt>
                <c:pt idx="149">
                  <c:v>1.3823701760231177</c:v>
                </c:pt>
                <c:pt idx="150">
                  <c:v>1.3752311716727206</c:v>
                </c:pt>
                <c:pt idx="151">
                  <c:v>1.3681243721326228</c:v>
                </c:pt>
                <c:pt idx="152">
                  <c:v>1.3610495413307491</c:v>
                </c:pt>
                <c:pt idx="153">
                  <c:v>1.3540064439788091</c:v>
                </c:pt>
                <c:pt idx="154">
                  <c:v>1.3469948456565242</c:v>
                </c:pt>
                <c:pt idx="155">
                  <c:v>1.3400145128896122</c:v>
                </c:pt>
                <c:pt idx="156">
                  <c:v>1.3330652132219387</c:v>
                </c:pt>
                <c:pt idx="157">
                  <c:v>1.3261467152821695</c:v>
                </c:pt>
                <c:pt idx="158">
                  <c:v>1.3192587888452718</c:v>
                </c:pt>
                <c:pt idx="159">
                  <c:v>1.3124012048891556</c:v>
                </c:pt>
                <c:pt idx="160">
                  <c:v>1.3055737356467889</c:v>
                </c:pt>
                <c:pt idx="161">
                  <c:v>1.2987761546540053</c:v>
                </c:pt>
                <c:pt idx="162">
                  <c:v>1.2920082367933265</c:v>
                </c:pt>
                <c:pt idx="163">
                  <c:v>1.2852697583340014</c:v>
                </c:pt>
                <c:pt idx="164">
                  <c:v>1.2785604969685009</c:v>
                </c:pt>
                <c:pt idx="165">
                  <c:v>1.2718802318456945</c:v>
                </c:pt>
                <c:pt idx="166">
                  <c:v>1.2652287436009078</c:v>
                </c:pt>
                <c:pt idx="167">
                  <c:v>1.2586058143830408</c:v>
                </c:pt>
                <c:pt idx="168">
                  <c:v>1.2520112278789524</c:v>
                </c:pt>
                <c:pt idx="169">
                  <c:v>1.2454447693352431</c:v>
                </c:pt>
                <c:pt idx="170">
                  <c:v>1.2389062255776373</c:v>
                </c:pt>
                <c:pt idx="171">
                  <c:v>1.2323953850280789</c:v>
                </c:pt>
                <c:pt idx="172">
                  <c:v>1.2259120377197119</c:v>
                </c:pt>
                <c:pt idx="173">
                  <c:v>1.219455975309846</c:v>
                </c:pt>
                <c:pt idx="174">
                  <c:v>1.2130269910910658</c:v>
                </c:pt>
                <c:pt idx="175">
                  <c:v>1.2066248800005792</c:v>
                </c:pt>
                <c:pt idx="176">
                  <c:v>1.200249438627923</c:v>
                </c:pt>
                <c:pt idx="177">
                  <c:v>1.1939004652211276</c:v>
                </c:pt>
                <c:pt idx="178">
                  <c:v>1.1875777596914503</c:v>
                </c:pt>
                <c:pt idx="179">
                  <c:v>1.1812811236167462</c:v>
                </c:pt>
                <c:pt idx="180">
                  <c:v>1.1750103602435937</c:v>
                </c:pt>
                <c:pt idx="181">
                  <c:v>1.1687652744882271</c:v>
                </c:pt>
                <c:pt idx="182">
                  <c:v>1.1625456729363828</c:v>
                </c:pt>
                <c:pt idx="183">
                  <c:v>1.1563513638421079</c:v>
                </c:pt>
                <c:pt idx="184">
                  <c:v>1.1501821571256077</c:v>
                </c:pt>
                <c:pt idx="185">
                  <c:v>1.1440378643702072</c:v>
                </c:pt>
                <c:pt idx="186">
                  <c:v>1.1379182988184708</c:v>
                </c:pt>
                <c:pt idx="187">
                  <c:v>1.1318232753675523</c:v>
                </c:pt>
                <c:pt idx="188">
                  <c:v>1.1257526105638131</c:v>
                </c:pt>
                <c:pt idx="189">
                  <c:v>1.1197061225967821</c:v>
                </c:pt>
                <c:pt idx="190">
                  <c:v>1.1136836312924778</c:v>
                </c:pt>
                <c:pt idx="191">
                  <c:v>1.1076849581061634</c:v>
                </c:pt>
                <c:pt idx="192">
                  <c:v>1.1017099261145606</c:v>
                </c:pt>
                <c:pt idx="193">
                  <c:v>1.0957583600075693</c:v>
                </c:pt>
                <c:pt idx="194">
                  <c:v>1.0898300860795331</c:v>
                </c:pt>
                <c:pt idx="195">
                  <c:v>1.0839249322200697</c:v>
                </c:pt>
                <c:pt idx="196">
                  <c:v>1.0780427279045319</c:v>
                </c:pt>
                <c:pt idx="197">
                  <c:v>1.0721833041840936</c:v>
                </c:pt>
                <c:pt idx="198">
                  <c:v>1.0663464936755238</c:v>
                </c:pt>
                <c:pt idx="199">
                  <c:v>1.0605321305506412</c:v>
                </c:pt>
                <c:pt idx="200">
                  <c:v>1.0547400505255202</c:v>
                </c:pt>
                <c:pt idx="201">
                  <c:v>1.0489700908494257</c:v>
                </c:pt>
                <c:pt idx="202">
                  <c:v>1.0432220902935379</c:v>
                </c:pt>
                <c:pt idx="203">
                  <c:v>1.0374958891394648</c:v>
                </c:pt>
                <c:pt idx="204">
                  <c:v>1.0317913291675802</c:v>
                </c:pt>
                <c:pt idx="205">
                  <c:v>1.0261082536451895</c:v>
                </c:pt>
                <c:pt idx="206">
                  <c:v>1.020446507314549</c:v>
                </c:pt>
                <c:pt idx="207">
                  <c:v>1.0148059363807795</c:v>
                </c:pt>
                <c:pt idx="208">
                  <c:v>1.0091863884996339</c:v>
                </c:pt>
                <c:pt idx="209">
                  <c:v>1.0035877127651927</c:v>
                </c:pt>
                <c:pt idx="210">
                  <c:v>0.99800975969747241</c:v>
                </c:pt>
                <c:pt idx="211">
                  <c:v>0.99245238122995505</c:v>
                </c:pt>
                <c:pt idx="212">
                  <c:v>0.98691543069707299</c:v>
                </c:pt>
                <c:pt idx="213">
                  <c:v>0.98139876282164151</c:v>
                </c:pt>
                <c:pt idx="214">
                  <c:v>0.97590223370225626</c:v>
                </c:pt>
                <c:pt idx="215">
                  <c:v>0.97042570080068102</c:v>
                </c:pt>
                <c:pt idx="216">
                  <c:v>0.96496902292919451</c:v>
                </c:pt>
                <c:pt idx="217">
                  <c:v>0.95953206023796345</c:v>
                </c:pt>
                <c:pt idx="218">
                  <c:v>0.95411467420239526</c:v>
                </c:pt>
                <c:pt idx="219">
                  <c:v>0.94871672761051451</c:v>
                </c:pt>
                <c:pt idx="220">
                  <c:v>0.94333808455035195</c:v>
                </c:pt>
                <c:pt idx="221">
                  <c:v>0.93797861039736519</c:v>
                </c:pt>
                <c:pt idx="222">
                  <c:v>0.93263817180188924</c:v>
                </c:pt>
                <c:pt idx="223">
                  <c:v>0.9273166366766169</c:v>
                </c:pt>
                <c:pt idx="224">
                  <c:v>0.92201387418413927</c:v>
                </c:pt>
                <c:pt idx="225">
                  <c:v>0.91672975472452456</c:v>
                </c:pt>
                <c:pt idx="226">
                  <c:v>0.91146414992294877</c:v>
                </c:pt>
                <c:pt idx="227">
                  <c:v>0.90621693261739045</c:v>
                </c:pt>
                <c:pt idx="228">
                  <c:v>0.90098797684638876</c:v>
                </c:pt>
                <c:pt idx="229">
                  <c:v>0.89577715783685996</c:v>
                </c:pt>
                <c:pt idx="230">
                  <c:v>0.89058435199200003</c:v>
                </c:pt>
                <c:pt idx="231">
                  <c:v>0.88540943687923201</c:v>
                </c:pt>
                <c:pt idx="232">
                  <c:v>0.8802522912182642</c:v>
                </c:pt>
                <c:pt idx="233">
                  <c:v>0.8751127948692019</c:v>
                </c:pt>
                <c:pt idx="234">
                  <c:v>0.86999082882075007</c:v>
                </c:pt>
                <c:pt idx="235">
                  <c:v>0.86488627517850136</c:v>
                </c:pt>
                <c:pt idx="236">
                  <c:v>0.85979901715330675</c:v>
                </c:pt>
                <c:pt idx="237">
                  <c:v>0.85472893904973812</c:v>
                </c:pt>
                <c:pt idx="238">
                  <c:v>0.84967592625463295</c:v>
                </c:pt>
                <c:pt idx="239">
                  <c:v>0.84463986522573931</c:v>
                </c:pt>
                <c:pt idx="240">
                  <c:v>0.8396206434804494</c:v>
                </c:pt>
                <c:pt idx="241">
                  <c:v>0.83461814958463143</c:v>
                </c:pt>
                <c:pt idx="242">
                  <c:v>0.82963227314154298</c:v>
                </c:pt>
                <c:pt idx="243">
                  <c:v>0.82466290478086046</c:v>
                </c:pt>
                <c:pt idx="244">
                  <c:v>0.81970993614779331</c:v>
                </c:pt>
                <c:pt idx="245">
                  <c:v>0.81477325989229388</c:v>
                </c:pt>
                <c:pt idx="246">
                  <c:v>0.80985276965837727</c:v>
                </c:pt>
                <c:pt idx="247">
                  <c:v>0.80494836007352832</c:v>
                </c:pt>
                <c:pt idx="248">
                  <c:v>0.80005992673821602</c:v>
                </c:pt>
                <c:pt idx="249">
                  <c:v>0.79518736621550601</c:v>
                </c:pt>
                <c:pt idx="250">
                  <c:v>0.79033057602076107</c:v>
                </c:pt>
                <c:pt idx="251">
                  <c:v>0.78548945461147246</c:v>
                </c:pt>
                <c:pt idx="252">
                  <c:v>0.78066390137714869</c:v>
                </c:pt>
                <c:pt idx="253">
                  <c:v>0.77585381662934727</c:v>
                </c:pt>
                <c:pt idx="254">
                  <c:v>0.77105910159177815</c:v>
                </c:pt>
                <c:pt idx="255">
                  <c:v>0.76627965839050827</c:v>
                </c:pt>
                <c:pt idx="256">
                  <c:v>0.76151539004428936</c:v>
                </c:pt>
                <c:pt idx="257">
                  <c:v>0.75676620045496312</c:v>
                </c:pt>
                <c:pt idx="258">
                  <c:v>0.75203199439796764</c:v>
                </c:pt>
                <c:pt idx="259">
                  <c:v>0.74731267751295627</c:v>
                </c:pt>
                <c:pt idx="260">
                  <c:v>0.74260815629449872</c:v>
                </c:pt>
                <c:pt idx="261">
                  <c:v>0.73791833808289631</c:v>
                </c:pt>
                <c:pt idx="262">
                  <c:v>0.73324313105508487</c:v>
                </c:pt>
                <c:pt idx="263">
                  <c:v>0.72858244421563734</c:v>
                </c:pt>
                <c:pt idx="264">
                  <c:v>0.72393618738785748</c:v>
                </c:pt>
                <c:pt idx="265">
                  <c:v>0.7193042712049893</c:v>
                </c:pt>
                <c:pt idx="266">
                  <c:v>0.71468660710149523</c:v>
                </c:pt>
                <c:pt idx="267">
                  <c:v>0.71008310730445201</c:v>
                </c:pt>
                <c:pt idx="268">
                  <c:v>0.70549368482502484</c:v>
                </c:pt>
                <c:pt idx="269">
                  <c:v>0.7009182534500511</c:v>
                </c:pt>
                <c:pt idx="270">
                  <c:v>0.69635672773370227</c:v>
                </c:pt>
                <c:pt idx="271">
                  <c:v>0.69180902298924229</c:v>
                </c:pt>
                <c:pt idx="272">
                  <c:v>0.68727505528088806</c:v>
                </c:pt>
                <c:pt idx="273">
                  <c:v>0.68275474141574555</c:v>
                </c:pt>
                <c:pt idx="274">
                  <c:v>0.67824799893584686</c:v>
                </c:pt>
                <c:pt idx="275">
                  <c:v>0.67375474611027475</c:v>
                </c:pt>
                <c:pt idx="276">
                  <c:v>0.66927490192736716</c:v>
                </c:pt>
                <c:pt idx="277">
                  <c:v>0.6648083860870273</c:v>
                </c:pt>
                <c:pt idx="278">
                  <c:v>0.66035511899310084</c:v>
                </c:pt>
                <c:pt idx="279">
                  <c:v>0.65591502174585359</c:v>
                </c:pt>
                <c:pt idx="280">
                  <c:v>0.65148801613453255</c:v>
                </c:pt>
                <c:pt idx="281">
                  <c:v>0.64707402463000252</c:v>
                </c:pt>
                <c:pt idx="282">
                  <c:v>0.64267297037747972</c:v>
                </c:pt>
                <c:pt idx="283">
                  <c:v>0.63828477718933974</c:v>
                </c:pt>
                <c:pt idx="284">
                  <c:v>0.63390936953800736</c:v>
                </c:pt>
                <c:pt idx="285">
                  <c:v>0.62954667254893748</c:v>
                </c:pt>
                <c:pt idx="286">
                  <c:v>0.62519661199366472</c:v>
                </c:pt>
                <c:pt idx="287">
                  <c:v>0.62085911428293572</c:v>
                </c:pt>
                <c:pt idx="288">
                  <c:v>0.61653410645993201</c:v>
                </c:pt>
                <c:pt idx="289">
                  <c:v>0.61222151619355025</c:v>
                </c:pt>
                <c:pt idx="290">
                  <c:v>0.60792127177177746</c:v>
                </c:pt>
                <c:pt idx="291">
                  <c:v>0.60363330209513932</c:v>
                </c:pt>
                <c:pt idx="292">
                  <c:v>0.59935753667021252</c:v>
                </c:pt>
                <c:pt idx="293">
                  <c:v>0.5950939056032305</c:v>
                </c:pt>
                <c:pt idx="294">
                  <c:v>0.59084233959374333</c:v>
                </c:pt>
                <c:pt idx="295">
                  <c:v>0.58660276992836902</c:v>
                </c:pt>
                <c:pt idx="296">
                  <c:v>0.5823751284746076</c:v>
                </c:pt>
                <c:pt idx="297">
                  <c:v>0.57815934767472388</c:v>
                </c:pt>
                <c:pt idx="298">
                  <c:v>0.5739553605397083</c:v>
                </c:pt>
                <c:pt idx="299">
                  <c:v>0.56976310064330704</c:v>
                </c:pt>
                <c:pt idx="300">
                  <c:v>0.56558250211611338</c:v>
                </c:pt>
                <c:pt idx="301">
                  <c:v>0.56141349963973852</c:v>
                </c:pt>
                <c:pt idx="302">
                  <c:v>0.55725602844104216</c:v>
                </c:pt>
                <c:pt idx="303">
                  <c:v>0.55311002428643552</c:v>
                </c:pt>
                <c:pt idx="304">
                  <c:v>0.54897542347623918</c:v>
                </c:pt>
                <c:pt idx="305">
                  <c:v>0.54485216283912474</c:v>
                </c:pt>
                <c:pt idx="306">
                  <c:v>0.5407401797265996</c:v>
                </c:pt>
                <c:pt idx="307">
                  <c:v>0.53663941200757703</c:v>
                </c:pt>
                <c:pt idx="308">
                  <c:v>0.53254979806299263</c:v>
                </c:pt>
                <c:pt idx="309">
                  <c:v>0.52847127678048733</c:v>
                </c:pt>
                <c:pt idx="310">
                  <c:v>0.52440378754916195</c:v>
                </c:pt>
                <c:pt idx="311">
                  <c:v>0.52034727025437177</c:v>
                </c:pt>
                <c:pt idx="312">
                  <c:v>0.51630166527260546</c:v>
                </c:pt>
                <c:pt idx="313">
                  <c:v>0.51226691346640418</c:v>
                </c:pt>
                <c:pt idx="314">
                  <c:v>0.50824295617935011</c:v>
                </c:pt>
                <c:pt idx="315">
                  <c:v>0.5042297352311057</c:v>
                </c:pt>
                <c:pt idx="316">
                  <c:v>0.50022719291252016</c:v>
                </c:pt>
                <c:pt idx="317">
                  <c:v>0.49623527198078043</c:v>
                </c:pt>
                <c:pt idx="318">
                  <c:v>0.49225391565462168</c:v>
                </c:pt>
                <c:pt idx="319">
                  <c:v>0.48828306760960827</c:v>
                </c:pt>
                <c:pt idx="320">
                  <c:v>0.48432267197343615</c:v>
                </c:pt>
                <c:pt idx="321">
                  <c:v>0.48037267332132644</c:v>
                </c:pt>
                <c:pt idx="322">
                  <c:v>0.47643301667144583</c:v>
                </c:pt>
                <c:pt idx="323">
                  <c:v>0.47250364748038881</c:v>
                </c:pt>
                <c:pt idx="324">
                  <c:v>0.46858451163871312</c:v>
                </c:pt>
                <c:pt idx="325">
                  <c:v>0.46467555546652584</c:v>
                </c:pt>
                <c:pt idx="326">
                  <c:v>0.4607767257091166</c:v>
                </c:pt>
                <c:pt idx="327">
                  <c:v>0.45688796953264366</c:v>
                </c:pt>
                <c:pt idx="328">
                  <c:v>0.45300923451986741</c:v>
                </c:pt>
                <c:pt idx="329">
                  <c:v>0.44914046866594082</c:v>
                </c:pt>
                <c:pt idx="330">
                  <c:v>0.44528162037423141</c:v>
                </c:pt>
                <c:pt idx="331">
                  <c:v>0.44143263845220609</c:v>
                </c:pt>
                <c:pt idx="332">
                  <c:v>0.43759347210736027</c:v>
                </c:pt>
                <c:pt idx="333">
                  <c:v>0.4337640709431867</c:v>
                </c:pt>
                <c:pt idx="334">
                  <c:v>0.42994438495519305</c:v>
                </c:pt>
                <c:pt idx="335">
                  <c:v>0.42613436452697051</c:v>
                </c:pt>
                <c:pt idx="336">
                  <c:v>0.42233396042630433</c:v>
                </c:pt>
                <c:pt idx="337">
                  <c:v>0.41854312380131575</c:v>
                </c:pt>
                <c:pt idx="338">
                  <c:v>0.41476180617667036</c:v>
                </c:pt>
                <c:pt idx="339">
                  <c:v>0.41098995944981365</c:v>
                </c:pt>
                <c:pt idx="340">
                  <c:v>0.40722753588725286</c:v>
                </c:pt>
                <c:pt idx="341">
                  <c:v>0.40347448812087977</c:v>
                </c:pt>
                <c:pt idx="342">
                  <c:v>0.39973076914434136</c:v>
                </c:pt>
                <c:pt idx="343">
                  <c:v>0.39599633230944503</c:v>
                </c:pt>
                <c:pt idx="344">
                  <c:v>0.39227113132259933</c:v>
                </c:pt>
                <c:pt idx="345">
                  <c:v>0.3885551202413155</c:v>
                </c:pt>
                <c:pt idx="346">
                  <c:v>0.3848482534707181</c:v>
                </c:pt>
                <c:pt idx="347">
                  <c:v>0.38115048576012683</c:v>
                </c:pt>
                <c:pt idx="348">
                  <c:v>0.37746177219964661</c:v>
                </c:pt>
                <c:pt idx="349">
                  <c:v>0.3737820682168192</c:v>
                </c:pt>
                <c:pt idx="350">
                  <c:v>0.37011132957330362</c:v>
                </c:pt>
                <c:pt idx="351">
                  <c:v>0.36644951236158679</c:v>
                </c:pt>
                <c:pt idx="352">
                  <c:v>0.36279657300174711</c:v>
                </c:pt>
                <c:pt idx="353">
                  <c:v>0.35915246823823627</c:v>
                </c:pt>
                <c:pt idx="354">
                  <c:v>0.3555171551367094</c:v>
                </c:pt>
                <c:pt idx="355">
                  <c:v>0.35189059108088477</c:v>
                </c:pt>
                <c:pt idx="356">
                  <c:v>0.34827273376944495</c:v>
                </c:pt>
                <c:pt idx="357">
                  <c:v>0.34466354121296094</c:v>
                </c:pt>
                <c:pt idx="358">
                  <c:v>0.34106297173086109</c:v>
                </c:pt>
                <c:pt idx="359">
                  <c:v>0.33747098394842784</c:v>
                </c:pt>
                <c:pt idx="360">
                  <c:v>0.33388753679383193</c:v>
                </c:pt>
                <c:pt idx="361">
                  <c:v>0.33031258949519909</c:v>
                </c:pt>
                <c:pt idx="362">
                  <c:v>0.32674610157769823</c:v>
                </c:pt>
                <c:pt idx="363">
                  <c:v>0.32318803286067843</c:v>
                </c:pt>
                <c:pt idx="364">
                  <c:v>0.3196383434548295</c:v>
                </c:pt>
                <c:pt idx="365">
                  <c:v>0.31609699375937028</c:v>
                </c:pt>
                <c:pt idx="366">
                  <c:v>0.31256394445927493</c:v>
                </c:pt>
                <c:pt idx="367">
                  <c:v>0.30903915652252406</c:v>
                </c:pt>
                <c:pt idx="368">
                  <c:v>0.30552259119739072</c:v>
                </c:pt>
                <c:pt idx="369">
                  <c:v>0.30201421000975121</c:v>
                </c:pt>
                <c:pt idx="370">
                  <c:v>0.29851397476042973</c:v>
                </c:pt>
                <c:pt idx="371">
                  <c:v>0.29502184752257177</c:v>
                </c:pt>
                <c:pt idx="372">
                  <c:v>0.29153779063903984</c:v>
                </c:pt>
                <c:pt idx="373">
                  <c:v>0.28806176671984735</c:v>
                </c:pt>
                <c:pt idx="374">
                  <c:v>0.28459373863961412</c:v>
                </c:pt>
                <c:pt idx="375">
                  <c:v>0.28113366953504937</c:v>
                </c:pt>
                <c:pt idx="376">
                  <c:v>0.27768152280246289</c:v>
                </c:pt>
                <c:pt idx="377">
                  <c:v>0.27423726209531363</c:v>
                </c:pt>
                <c:pt idx="378">
                  <c:v>0.2708008513217578</c:v>
                </c:pt>
                <c:pt idx="379">
                  <c:v>0.26737225464225817</c:v>
                </c:pt>
                <c:pt idx="380">
                  <c:v>0.26395143646719588</c:v>
                </c:pt>
                <c:pt idx="381">
                  <c:v>0.26053836145450998</c:v>
                </c:pt>
                <c:pt idx="382">
                  <c:v>0.25713299450737226</c:v>
                </c:pt>
                <c:pt idx="383">
                  <c:v>0.25373530077188161</c:v>
                </c:pt>
                <c:pt idx="384">
                  <c:v>0.25034524563477711</c:v>
                </c:pt>
                <c:pt idx="385">
                  <c:v>0.24696279472119476</c:v>
                </c:pt>
                <c:pt idx="386">
                  <c:v>0.24358791389242038</c:v>
                </c:pt>
                <c:pt idx="387">
                  <c:v>0.24022056924369112</c:v>
                </c:pt>
                <c:pt idx="388">
                  <c:v>0.23686072710201161</c:v>
                </c:pt>
                <c:pt idx="389">
                  <c:v>0.23350835402398823</c:v>
                </c:pt>
                <c:pt idx="390">
                  <c:v>0.23016341679369448</c:v>
                </c:pt>
                <c:pt idx="391">
                  <c:v>0.22682588242055501</c:v>
                </c:pt>
                <c:pt idx="392">
                  <c:v>0.22349571813725613</c:v>
                </c:pt>
                <c:pt idx="393">
                  <c:v>0.22017289139767032</c:v>
                </c:pt>
                <c:pt idx="394">
                  <c:v>0.2168573698748158</c:v>
                </c:pt>
                <c:pt idx="395">
                  <c:v>0.21354912145882485</c:v>
                </c:pt>
                <c:pt idx="396">
                  <c:v>0.21024811425493847</c:v>
                </c:pt>
                <c:pt idx="397">
                  <c:v>0.2069543165815271</c:v>
                </c:pt>
                <c:pt idx="398">
                  <c:v>0.20366769696813</c:v>
                </c:pt>
                <c:pt idx="399">
                  <c:v>0.20038822415350332</c:v>
                </c:pt>
                <c:pt idx="400">
                  <c:v>0.19711586708371764</c:v>
                </c:pt>
                <c:pt idx="401">
                  <c:v>0.19385059491023587</c:v>
                </c:pt>
                <c:pt idx="402">
                  <c:v>0.19059237698804782</c:v>
                </c:pt>
                <c:pt idx="403">
                  <c:v>0.18734118287380416</c:v>
                </c:pt>
                <c:pt idx="404">
                  <c:v>0.18409698232397884</c:v>
                </c:pt>
                <c:pt idx="405">
                  <c:v>0.18085974529303953</c:v>
                </c:pt>
                <c:pt idx="406">
                  <c:v>0.17762944193165628</c:v>
                </c:pt>
                <c:pt idx="407">
                  <c:v>0.17440604258490738</c:v>
                </c:pt>
                <c:pt idx="408">
                  <c:v>0.17118951779052555</c:v>
                </c:pt>
                <c:pt idx="409">
                  <c:v>0.16797983827713375</c:v>
                </c:pt>
                <c:pt idx="410">
                  <c:v>0.16477697496254348</c:v>
                </c:pt>
                <c:pt idx="411">
                  <c:v>0.16158089895201933</c:v>
                </c:pt>
                <c:pt idx="412">
                  <c:v>0.15839158153660143</c:v>
                </c:pt>
                <c:pt idx="413">
                  <c:v>0.15520899419142889</c:v>
                </c:pt>
                <c:pt idx="414">
                  <c:v>0.15203310857407717</c:v>
                </c:pt>
                <c:pt idx="415">
                  <c:v>0.14886389652292781</c:v>
                </c:pt>
                <c:pt idx="416">
                  <c:v>0.14570133005553407</c:v>
                </c:pt>
                <c:pt idx="417">
                  <c:v>0.14254538136702805</c:v>
                </c:pt>
                <c:pt idx="418">
                  <c:v>0.13939602282852165</c:v>
                </c:pt>
                <c:pt idx="419">
                  <c:v>0.13625322698553755</c:v>
                </c:pt>
                <c:pt idx="420">
                  <c:v>0.13311696655645563</c:v>
                </c:pt>
                <c:pt idx="421">
                  <c:v>0.12998721443096742</c:v>
                </c:pt>
                <c:pt idx="422">
                  <c:v>0.12686394366855777</c:v>
                </c:pt>
                <c:pt idx="423">
                  <c:v>0.12374712749698867</c:v>
                </c:pt>
                <c:pt idx="424">
                  <c:v>0.12063673931081674</c:v>
                </c:pt>
                <c:pt idx="425">
                  <c:v>0.11753275266990679</c:v>
                </c:pt>
                <c:pt idx="426">
                  <c:v>0.11443514129797461</c:v>
                </c:pt>
                <c:pt idx="427">
                  <c:v>0.11134387908114007</c:v>
                </c:pt>
                <c:pt idx="428">
                  <c:v>0.10825894006648827</c:v>
                </c:pt>
                <c:pt idx="429">
                  <c:v>0.10518029846065977</c:v>
                </c:pt>
                <c:pt idx="430">
                  <c:v>0.10210792862844814</c:v>
                </c:pt>
                <c:pt idx="431">
                  <c:v>9.9041805091401439E-2</c:v>
                </c:pt>
                <c:pt idx="432">
                  <c:v>9.5981902526458177E-2</c:v>
                </c:pt>
                <c:pt idx="433">
                  <c:v>9.2928195764588301E-2</c:v>
                </c:pt>
                <c:pt idx="434">
                  <c:v>8.9880659789433104E-2</c:v>
                </c:pt>
                <c:pt idx="435">
                  <c:v>8.6839269735984326E-2</c:v>
                </c:pt>
                <c:pt idx="436">
                  <c:v>8.3804000889270022E-2</c:v>
                </c:pt>
                <c:pt idx="437">
                  <c:v>8.0774828683029667E-2</c:v>
                </c:pt>
                <c:pt idx="438">
                  <c:v>7.7751728698443254E-2</c:v>
                </c:pt>
                <c:pt idx="439">
                  <c:v>7.4734676662840685E-2</c:v>
                </c:pt>
                <c:pt idx="440">
                  <c:v>7.1723648448436608E-2</c:v>
                </c:pt>
                <c:pt idx="441">
                  <c:v>6.8718620071082731E-2</c:v>
                </c:pt>
                <c:pt idx="442">
                  <c:v>6.571956768901796E-2</c:v>
                </c:pt>
                <c:pt idx="443">
                  <c:v>6.272646760165268E-2</c:v>
                </c:pt>
                <c:pt idx="444">
                  <c:v>5.9739296248343732E-2</c:v>
                </c:pt>
                <c:pt idx="445">
                  <c:v>5.675803020719751E-2</c:v>
                </c:pt>
                <c:pt idx="446">
                  <c:v>5.3782646193873532E-2</c:v>
                </c:pt>
                <c:pt idx="447">
                  <c:v>5.0813121060411026E-2</c:v>
                </c:pt>
                <c:pt idx="448">
                  <c:v>4.7849431794061086E-2</c:v>
                </c:pt>
                <c:pt idx="449">
                  <c:v>4.4891555516128501E-2</c:v>
                </c:pt>
                <c:pt idx="450">
                  <c:v>4.1939469480834456E-2</c:v>
                </c:pt>
                <c:pt idx="451">
                  <c:v>3.8993151074177702E-2</c:v>
                </c:pt>
                <c:pt idx="452">
                  <c:v>3.6052577812818606E-2</c:v>
                </c:pt>
                <c:pt idx="453">
                  <c:v>3.3117727342966537E-2</c:v>
                </c:pt>
                <c:pt idx="454">
                  <c:v>3.0188577439288843E-2</c:v>
                </c:pt>
                <c:pt idx="455">
                  <c:v>2.7265106003818165E-2</c:v>
                </c:pt>
                <c:pt idx="456">
                  <c:v>2.434729106487549E-2</c:v>
                </c:pt>
                <c:pt idx="457">
                  <c:v>2.1435110776007862E-2</c:v>
                </c:pt>
                <c:pt idx="458">
                  <c:v>1.8528543414939921E-2</c:v>
                </c:pt>
                <c:pt idx="459">
                  <c:v>1.5627567382514466E-2</c:v>
                </c:pt>
                <c:pt idx="460">
                  <c:v>1.2732161201672466E-2</c:v>
                </c:pt>
                <c:pt idx="461">
                  <c:v>9.8423035164247503E-3</c:v>
                </c:pt>
                <c:pt idx="462">
                  <c:v>6.9579730908423216E-3</c:v>
                </c:pt>
                <c:pt idx="463">
                  <c:v>4.0791488080507655E-3</c:v>
                </c:pt>
                <c:pt idx="464">
                  <c:v>1.2058096692374267E-3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9-4726-872B-A4BCFC394F31}"/>
            </c:ext>
          </c:extLst>
        </c:ser>
        <c:ser>
          <c:idx val="1"/>
          <c:order val="1"/>
          <c:tx>
            <c:strRef>
              <c:f>Plots!$Q$2</c:f>
              <c:strCache>
                <c:ptCount val="1"/>
                <c:pt idx="0">
                  <c:v>Fmax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(Plots!$R$2,Plots!$R$2)</c:f>
              <c:numCache>
                <c:formatCode>General</c:formatCode>
                <c:ptCount val="2"/>
                <c:pt idx="0">
                  <c:v>1.59</c:v>
                </c:pt>
                <c:pt idx="1">
                  <c:v>1.59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99-4726-872B-A4BCFC394F31}"/>
            </c:ext>
          </c:extLst>
        </c:ser>
        <c:ser>
          <c:idx val="2"/>
          <c:order val="2"/>
          <c:tx>
            <c:strRef>
              <c:f>Plots!$Q$3</c:f>
              <c:strCache>
                <c:ptCount val="1"/>
                <c:pt idx="0">
                  <c:v>F0.1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(Plots!$R$3,Plots!$R$3)</c:f>
              <c:numCache>
                <c:formatCode>General</c:formatCode>
                <c:ptCount val="2"/>
                <c:pt idx="0">
                  <c:v>0.28000000000000003</c:v>
                </c:pt>
                <c:pt idx="1">
                  <c:v>0.28000000000000003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99-4726-872B-A4BCFC394F31}"/>
            </c:ext>
          </c:extLst>
        </c:ser>
        <c:ser>
          <c:idx val="3"/>
          <c:order val="3"/>
          <c:tx>
            <c:strRef>
              <c:f>Plots!$Q$4</c:f>
              <c:strCache>
                <c:ptCount val="1"/>
                <c:pt idx="0">
                  <c:v>FMSY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(Plots!$R$4,Plots!$R$4)</c:f>
              <c:numCache>
                <c:formatCode>General</c:formatCode>
                <c:ptCount val="2"/>
                <c:pt idx="0">
                  <c:v>0.34</c:v>
                </c:pt>
                <c:pt idx="1">
                  <c:v>0.34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99-4726-872B-A4BCFC394F31}"/>
            </c:ext>
          </c:extLst>
        </c:ser>
        <c:ser>
          <c:idx val="4"/>
          <c:order val="4"/>
          <c:tx>
            <c:strRef>
              <c:f>Plots!$Q$5</c:f>
              <c:strCache>
                <c:ptCount val="1"/>
                <c:pt idx="0">
                  <c:v>F0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(Plots!$R$5,Plots!$R$5)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99-4726-872B-A4BCFC394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28262543824357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MSY!$A$44:$A$547</c:f>
              <c:numCache>
                <c:formatCode>General</c:formatCode>
                <c:ptCount val="504"/>
                <c:pt idx="0">
                  <c:v>9.9999999999999995E-7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10</c:v>
                </c:pt>
                <c:pt idx="502">
                  <c:v>20</c:v>
                </c:pt>
                <c:pt idx="503">
                  <c:v>35</c:v>
                </c:pt>
              </c:numCache>
            </c:numRef>
          </c:xVal>
          <c:yVal>
            <c:numRef>
              <c:f>MSY!$F$44:$F$547</c:f>
              <c:numCache>
                <c:formatCode>General</c:formatCode>
                <c:ptCount val="504"/>
                <c:pt idx="0">
                  <c:v>36.967694044555962</c:v>
                </c:pt>
                <c:pt idx="1">
                  <c:v>35.023533485958886</c:v>
                </c:pt>
                <c:pt idx="2">
                  <c:v>33.261544788467582</c:v>
                </c:pt>
                <c:pt idx="3">
                  <c:v>31.65795705596577</c:v>
                </c:pt>
                <c:pt idx="4">
                  <c:v>30.192792894343413</c:v>
                </c:pt>
                <c:pt idx="5">
                  <c:v>28.849274201752682</c:v>
                </c:pt>
                <c:pt idx="6">
                  <c:v>27.613207535201237</c:v>
                </c:pt>
                <c:pt idx="7">
                  <c:v>26.472505878191477</c:v>
                </c:pt>
                <c:pt idx="8">
                  <c:v>25.416812755848127</c:v>
                </c:pt>
                <c:pt idx="9">
                  <c:v>24.437204025532836</c:v>
                </c:pt>
                <c:pt idx="10">
                  <c:v>23.525949241667259</c:v>
                </c:pt>
                <c:pt idx="11">
                  <c:v>22.676319158963373</c:v>
                </c:pt>
                <c:pt idx="12">
                  <c:v>21.88242929315776</c:v>
                </c:pt>
                <c:pt idx="13">
                  <c:v>21.139111899347601</c:v>
                </c:pt>
                <c:pt idx="14">
                  <c:v>20.441810523614382</c:v>
                </c:pt>
                <c:pt idx="15">
                  <c:v>19.786492617997865</c:v>
                </c:pt>
                <c:pt idx="16">
                  <c:v>19.169576710023843</c:v>
                </c:pt>
                <c:pt idx="17">
                  <c:v>18.587871375863898</c:v>
                </c:pt>
                <c:pt idx="18">
                  <c:v>18.03852384476566</c:v>
                </c:pt>
                <c:pt idx="19">
                  <c:v>17.51897650757142</c:v>
                </c:pt>
                <c:pt idx="20">
                  <c:v>17.02692994725307</c:v>
                </c:pt>
                <c:pt idx="21">
                  <c:v>16.560311378816806</c:v>
                </c:pt>
                <c:pt idx="22">
                  <c:v>16.11724759767597</c:v>
                </c:pt>
                <c:pt idx="23">
                  <c:v>15.696041703055343</c:v>
                </c:pt>
                <c:pt idx="24">
                  <c:v>15.29515299623203</c:v>
                </c:pt>
                <c:pt idx="25">
                  <c:v>14.913179560032866</c:v>
                </c:pt>
                <c:pt idx="26">
                  <c:v>14.54884311178243</c:v>
                </c:pt>
                <c:pt idx="27">
                  <c:v>14.200975791256885</c:v>
                </c:pt>
                <c:pt idx="28">
                  <c:v>13.86850860156645</c:v>
                </c:pt>
                <c:pt idx="29">
                  <c:v>13.550461266910602</c:v>
                </c:pt>
                <c:pt idx="30">
                  <c:v>13.245933308894308</c:v>
                </c:pt>
                <c:pt idx="31">
                  <c:v>12.954096174182045</c:v>
                </c:pt>
                <c:pt idx="32">
                  <c:v>12.674186271977357</c:v>
                </c:pt>
                <c:pt idx="33">
                  <c:v>12.405498801164498</c:v>
                </c:pt>
                <c:pt idx="34">
                  <c:v>12.147382264741063</c:v>
                </c:pt>
                <c:pt idx="35">
                  <c:v>11.899233584053899</c:v>
                </c:pt>
                <c:pt idx="36">
                  <c:v>11.660493737842945</c:v>
                </c:pt>
                <c:pt idx="37">
                  <c:v>11.430643861619425</c:v>
                </c:pt>
                <c:pt idx="38">
                  <c:v>11.209201751794087</c:v>
                </c:pt>
                <c:pt idx="39">
                  <c:v>10.995718726505999</c:v>
                </c:pt>
                <c:pt idx="40">
                  <c:v>10.789776801507063</c:v>
                </c:pt>
                <c:pt idx="41">
                  <c:v>10.590986144917974</c:v>
                </c:pt>
                <c:pt idx="42">
                  <c:v>10.398982779339436</c:v>
                </c:pt>
                <c:pt idx="43">
                  <c:v>10.213426503804175</c:v>
                </c:pt>
                <c:pt idx="44">
                  <c:v>10.033999011494213</c:v>
                </c:pt>
                <c:pt idx="45">
                  <c:v>9.8604021821113488</c:v>
                </c:pt>
                <c:pt idx="46">
                  <c:v>9.6923565303477819</c:v>
                </c:pt>
                <c:pt idx="47">
                  <c:v>9.5295997941196227</c:v>
                </c:pt>
                <c:pt idx="48">
                  <c:v>9.3718856481482433</c:v>
                </c:pt>
                <c:pt idx="49">
                  <c:v>9.2189825301465955</c:v>
                </c:pt>
                <c:pt idx="50">
                  <c:v>9.0706725683241558</c:v>
                </c:pt>
                <c:pt idx="51">
                  <c:v>8.9267506001966002</c:v>
                </c:pt>
                <c:pt idx="52">
                  <c:v>8.7870232737996758</c:v>
                </c:pt>
                <c:pt idx="53">
                  <c:v>8.6513082233825429</c:v>
                </c:pt>
                <c:pt idx="54">
                  <c:v>8.5194333125134314</c:v>
                </c:pt>
                <c:pt idx="55">
                  <c:v>8.39123593828484</c:v>
                </c:pt>
                <c:pt idx="56">
                  <c:v>8.2665623909706198</c:v>
                </c:pt>
                <c:pt idx="57">
                  <c:v>8.145267264074656</c:v>
                </c:pt>
                <c:pt idx="58">
                  <c:v>8.0272129102307002</c:v>
                </c:pt>
                <c:pt idx="59">
                  <c:v>7.9122689388729395</c:v>
                </c:pt>
                <c:pt idx="60">
                  <c:v>7.8003117520057694</c:v>
                </c:pt>
                <c:pt idx="61">
                  <c:v>7.6912241147644185</c:v>
                </c:pt>
                <c:pt idx="62">
                  <c:v>7.584894757781214</c:v>
                </c:pt>
                <c:pt idx="63">
                  <c:v>7.4812180086607452</c:v>
                </c:pt>
                <c:pt idx="64">
                  <c:v>7.3800934501243711</c:v>
                </c:pt>
                <c:pt idx="65">
                  <c:v>7.2814256026146635</c:v>
                </c:pt>
                <c:pt idx="66">
                  <c:v>7.1851236293564282</c:v>
                </c:pt>
                <c:pt idx="67">
                  <c:v>7.0911010620555874</c:v>
                </c:pt>
                <c:pt idx="68">
                  <c:v>6.9992755455828739</c:v>
                </c:pt>
                <c:pt idx="69">
                  <c:v>6.9095686001384689</c:v>
                </c:pt>
                <c:pt idx="70">
                  <c:v>6.8219053995276981</c:v>
                </c:pt>
                <c:pt idx="71">
                  <c:v>6.7362145642986979</c:v>
                </c:pt>
                <c:pt idx="72">
                  <c:v>6.652427968601935</c:v>
                </c:pt>
                <c:pt idx="73">
                  <c:v>6.5704805597300089</c:v>
                </c:pt>
                <c:pt idx="74">
                  <c:v>6.4903101893850099</c:v>
                </c:pt>
                <c:pt idx="75">
                  <c:v>6.4118574558012575</c:v>
                </c:pt>
                <c:pt idx="76">
                  <c:v>6.3350655559243378</c:v>
                </c:pt>
                <c:pt idx="77">
                  <c:v>6.2598801469134449</c:v>
                </c:pt>
                <c:pt idx="78">
                  <c:v>6.186249216294188</c:v>
                </c:pt>
                <c:pt idx="79">
                  <c:v>6.1141229601436899</c:v>
                </c:pt>
                <c:pt idx="80">
                  <c:v>6.043453668739402</c:v>
                </c:pt>
                <c:pt idx="81">
                  <c:v>5.9741956191485182</c:v>
                </c:pt>
                <c:pt idx="82">
                  <c:v>5.9063049742758631</c:v>
                </c:pt>
                <c:pt idx="83">
                  <c:v>5.8397396879261372</c:v>
                </c:pt>
                <c:pt idx="84">
                  <c:v>5.774459415470421</c:v>
                </c:pt>
                <c:pt idx="85">
                  <c:v>5.7104254297385415</c:v>
                </c:pt>
                <c:pt idx="86">
                  <c:v>5.6476005417874999</c:v>
                </c:pt>
                <c:pt idx="87">
                  <c:v>5.5859490262226164</c:v>
                </c:pt>
                <c:pt idx="88">
                  <c:v>5.5254365507720431</c:v>
                </c:pt>
                <c:pt idx="89">
                  <c:v>5.4660301098374875</c:v>
                </c:pt>
                <c:pt idx="90">
                  <c:v>5.4076979617643417</c:v>
                </c:pt>
                <c:pt idx="91">
                  <c:v>5.3504095695930518</c:v>
                </c:pt>
                <c:pt idx="92">
                  <c:v>5.2941355450705867</c:v>
                </c:pt>
                <c:pt idx="93">
                  <c:v>5.2388475957168401</c:v>
                </c:pt>
                <c:pt idx="94">
                  <c:v>5.1845184747553104</c:v>
                </c:pt>
                <c:pt idx="95">
                  <c:v>5.1311219337305429</c:v>
                </c:pt>
                <c:pt idx="96">
                  <c:v>5.0786326776475299</c:v>
                </c:pt>
                <c:pt idx="97">
                  <c:v>5.0270263224794238</c:v>
                </c:pt>
                <c:pt idx="98">
                  <c:v>4.9762793549003961</c:v>
                </c:pt>
                <c:pt idx="99">
                  <c:v>4.9263690941104397</c:v>
                </c:pt>
                <c:pt idx="100">
                  <c:v>4.8772736556276559</c:v>
                </c:pt>
                <c:pt idx="101">
                  <c:v>4.8289719169319358</c:v>
                </c:pt>
                <c:pt idx="102">
                  <c:v>4.7814434848518053</c:v>
                </c:pt>
                <c:pt idx="103">
                  <c:v>4.7346686645930793</c:v>
                </c:pt>
                <c:pt idx="104">
                  <c:v>4.6886284303147541</c:v>
                </c:pt>
                <c:pt idx="105">
                  <c:v>4.6433043971636705</c:v>
                </c:pt>
                <c:pt idx="106">
                  <c:v>4.5986787946851244</c:v>
                </c:pt>
                <c:pt idx="107">
                  <c:v>4.5547344415318909</c:v>
                </c:pt>
                <c:pt idx="108">
                  <c:v>4.5114547213991445</c:v>
                </c:pt>
                <c:pt idx="109">
                  <c:v>4.4688235601170954</c:v>
                </c:pt>
                <c:pt idx="110">
                  <c:v>4.426825403837662</c:v>
                </c:pt>
                <c:pt idx="111">
                  <c:v>4.3854451982553124</c:v>
                </c:pt>
                <c:pt idx="112">
                  <c:v>4.3446683688058769</c:v>
                </c:pt>
                <c:pt idx="113">
                  <c:v>4.304480801790616</c:v>
                </c:pt>
                <c:pt idx="114">
                  <c:v>4.2648688263760377</c:v>
                </c:pt>
                <c:pt idx="115">
                  <c:v>4.2258191974228669</c:v>
                </c:pt>
                <c:pt idx="116">
                  <c:v>4.1873190791004227</c:v>
                </c:pt>
                <c:pt idx="117">
                  <c:v>4.1493560292452152</c:v>
                </c:pt>
                <c:pt idx="118">
                  <c:v>4.1119179844250127</c:v>
                </c:pt>
                <c:pt idx="119">
                  <c:v>4.0749932456719424</c:v>
                </c:pt>
                <c:pt idx="120">
                  <c:v>4.0385704648501921</c:v>
                </c:pt>
                <c:pt idx="121">
                  <c:v>4.002638631626029</c:v>
                </c:pt>
                <c:pt idx="122">
                  <c:v>3.9671870610095361</c:v>
                </c:pt>
                <c:pt idx="123">
                  <c:v>3.9322053814393496</c:v>
                </c:pt>
                <c:pt idx="124">
                  <c:v>3.8976835233832214</c:v>
                </c:pt>
                <c:pt idx="125">
                  <c:v>3.863611708428798</c:v>
                </c:pt>
                <c:pt idx="126">
                  <c:v>3.8299804388404048</c:v>
                </c:pt>
                <c:pt idx="127">
                  <c:v>3.7967804875590256</c:v>
                </c:pt>
                <c:pt idx="128">
                  <c:v>3.7640028886238559</c:v>
                </c:pt>
                <c:pt idx="129">
                  <c:v>3.7316389279950415</c:v>
                </c:pt>
                <c:pt idx="130">
                  <c:v>3.6996801347582968</c:v>
                </c:pt>
                <c:pt idx="131">
                  <c:v>3.6681182726931896</c:v>
                </c:pt>
                <c:pt idx="132">
                  <c:v>3.6369453321877776</c:v>
                </c:pt>
                <c:pt idx="133">
                  <c:v>3.6061535224832646</c:v>
                </c:pt>
                <c:pt idx="134">
                  <c:v>3.5757352642332547</c:v>
                </c:pt>
                <c:pt idx="135">
                  <c:v>3.5456831823628225</c:v>
                </c:pt>
                <c:pt idx="136">
                  <c:v>3.5159900992136581</c:v>
                </c:pt>
                <c:pt idx="137">
                  <c:v>3.4866490279619895</c:v>
                </c:pt>
                <c:pt idx="138">
                  <c:v>3.4576531662968875</c:v>
                </c:pt>
                <c:pt idx="139">
                  <c:v>3.4289958903470623</c:v>
                </c:pt>
                <c:pt idx="140">
                  <c:v>3.4006707488449157</c:v>
                </c:pt>
                <c:pt idx="141">
                  <c:v>3.3726714575172618</c:v>
                </c:pt>
                <c:pt idx="142">
                  <c:v>3.3449918936924545</c:v>
                </c:pt>
                <c:pt idx="143">
                  <c:v>3.3176260911144451</c:v>
                </c:pt>
                <c:pt idx="144">
                  <c:v>3.2905682349545518</c:v>
                </c:pt>
                <c:pt idx="145">
                  <c:v>3.2638126570123087</c:v>
                </c:pt>
                <c:pt idx="146">
                  <c:v>3.237353831097098</c:v>
                </c:pt>
                <c:pt idx="147">
                  <c:v>3.2111863685827737</c:v>
                </c:pt>
                <c:pt idx="148">
                  <c:v>3.1853050141277799</c:v>
                </c:pt>
                <c:pt idx="149">
                  <c:v>3.1597046415536769</c:v>
                </c:pt>
                <c:pt idx="150">
                  <c:v>3.1343802498753233</c:v>
                </c:pt>
                <c:pt idx="151">
                  <c:v>3.1093269594762734</c:v>
                </c:pt>
                <c:pt idx="152">
                  <c:v>3.0845400084232861</c:v>
                </c:pt>
                <c:pt idx="153">
                  <c:v>3.0600147489140896</c:v>
                </c:pt>
                <c:pt idx="154">
                  <c:v>3.0357466438528649</c:v>
                </c:pt>
                <c:pt idx="155">
                  <c:v>3.011731263548147</c:v>
                </c:pt>
                <c:pt idx="156">
                  <c:v>2.9879642825280892</c:v>
                </c:pt>
                <c:pt idx="157">
                  <c:v>2.9644414764682918</c:v>
                </c:pt>
                <c:pt idx="158">
                  <c:v>2.9411587192275968</c:v>
                </c:pt>
                <c:pt idx="159">
                  <c:v>2.9181119799874535</c:v>
                </c:pt>
                <c:pt idx="160">
                  <c:v>2.8952973204907417</c:v>
                </c:pt>
                <c:pt idx="161">
                  <c:v>2.8727108923759426</c:v>
                </c:pt>
                <c:pt idx="162">
                  <c:v>2.8503489346029962</c:v>
                </c:pt>
                <c:pt idx="163">
                  <c:v>2.8282077709670994</c:v>
                </c:pt>
                <c:pt idx="164">
                  <c:v>2.8062838076970174</c:v>
                </c:pt>
                <c:pt idx="165">
                  <c:v>2.7845735311345661</c:v>
                </c:pt>
                <c:pt idx="166">
                  <c:v>2.7630735054921454</c:v>
                </c:pt>
                <c:pt idx="167">
                  <c:v>2.7417803706852202</c:v>
                </c:pt>
                <c:pt idx="168">
                  <c:v>2.7206908402369194</c:v>
                </c:pt>
                <c:pt idx="169">
                  <c:v>2.6998016992519127</c:v>
                </c:pt>
                <c:pt idx="170">
                  <c:v>2.6791098024569844</c:v>
                </c:pt>
                <c:pt idx="171">
                  <c:v>2.6586120723057149</c:v>
                </c:pt>
                <c:pt idx="172">
                  <c:v>2.6383054971448745</c:v>
                </c:pt>
                <c:pt idx="173">
                  <c:v>2.6181871294401682</c:v>
                </c:pt>
                <c:pt idx="174">
                  <c:v>2.5982540840591559</c:v>
                </c:pt>
                <c:pt idx="175">
                  <c:v>2.578503536609186</c:v>
                </c:pt>
                <c:pt idx="176">
                  <c:v>2.558932721828298</c:v>
                </c:pt>
                <c:pt idx="177">
                  <c:v>2.5395389320271478</c:v>
                </c:pt>
                <c:pt idx="178">
                  <c:v>2.5203195155801179</c:v>
                </c:pt>
                <c:pt idx="179">
                  <c:v>2.5012718754637233</c:v>
                </c:pt>
                <c:pt idx="180">
                  <c:v>2.4823934678407071</c:v>
                </c:pt>
                <c:pt idx="181">
                  <c:v>2.4636818006880765</c:v>
                </c:pt>
                <c:pt idx="182">
                  <c:v>2.4451344324675701</c:v>
                </c:pt>
                <c:pt idx="183">
                  <c:v>2.4267489708369903</c:v>
                </c:pt>
                <c:pt idx="184">
                  <c:v>2.4085230714009507</c:v>
                </c:pt>
                <c:pt idx="185">
                  <c:v>2.3904544364996672</c:v>
                </c:pt>
                <c:pt idx="186">
                  <c:v>2.3725408140344277</c:v>
                </c:pt>
                <c:pt idx="187">
                  <c:v>2.3547799963284533</c:v>
                </c:pt>
                <c:pt idx="188">
                  <c:v>2.3371698190219115</c:v>
                </c:pt>
                <c:pt idx="189">
                  <c:v>2.3197081599999185</c:v>
                </c:pt>
                <c:pt idx="190">
                  <c:v>2.3023929383523463</c:v>
                </c:pt>
                <c:pt idx="191">
                  <c:v>2.2852221133643771</c:v>
                </c:pt>
                <c:pt idx="192">
                  <c:v>2.2681936835367313</c:v>
                </c:pt>
                <c:pt idx="193">
                  <c:v>2.2513056856345619</c:v>
                </c:pt>
                <c:pt idx="194">
                  <c:v>2.2345561937640461</c:v>
                </c:pt>
                <c:pt idx="195">
                  <c:v>2.2179433184757036</c:v>
                </c:pt>
                <c:pt idx="196">
                  <c:v>2.2014652058936162</c:v>
                </c:pt>
                <c:pt idx="197">
                  <c:v>2.185120036869594</c:v>
                </c:pt>
                <c:pt idx="198">
                  <c:v>2.1689060261615367</c:v>
                </c:pt>
                <c:pt idx="199">
                  <c:v>2.1528214216350974</c:v>
                </c:pt>
                <c:pt idx="200">
                  <c:v>2.1368645034879949</c:v>
                </c:pt>
                <c:pt idx="201">
                  <c:v>2.1210335834961036</c:v>
                </c:pt>
                <c:pt idx="202">
                  <c:v>2.1053270042807166</c:v>
                </c:pt>
                <c:pt idx="203">
                  <c:v>2.0897431385962215</c:v>
                </c:pt>
                <c:pt idx="204">
                  <c:v>2.0742803886375594</c:v>
                </c:pt>
                <c:pt idx="205">
                  <c:v>2.0589371853668204</c:v>
                </c:pt>
                <c:pt idx="206">
                  <c:v>2.0437119878583401</c:v>
                </c:pt>
                <c:pt idx="207">
                  <c:v>2.0286032826617877</c:v>
                </c:pt>
                <c:pt idx="208">
                  <c:v>2.0136095831825211</c:v>
                </c:pt>
                <c:pt idx="209">
                  <c:v>1.9987294290788249</c:v>
                </c:pt>
                <c:pt idx="210">
                  <c:v>1.9839613856753942</c:v>
                </c:pt>
                <c:pt idx="211">
                  <c:v>1.9693040433925821</c:v>
                </c:pt>
                <c:pt idx="212">
                  <c:v>1.9547560171909275</c:v>
                </c:pt>
                <c:pt idx="213">
                  <c:v>1.9403159460304791</c:v>
                </c:pt>
                <c:pt idx="214">
                  <c:v>1.9259824923444477</c:v>
                </c:pt>
                <c:pt idx="215">
                  <c:v>1.9117543415267819</c:v>
                </c:pt>
                <c:pt idx="216">
                  <c:v>1.8976302014331596</c:v>
                </c:pt>
                <c:pt idx="217">
                  <c:v>1.8836088018950969</c:v>
                </c:pt>
                <c:pt idx="218">
                  <c:v>1.8696888942466638</c:v>
                </c:pt>
                <c:pt idx="219">
                  <c:v>1.8558692508635077</c:v>
                </c:pt>
                <c:pt idx="220">
                  <c:v>1.8421486647137522</c:v>
                </c:pt>
                <c:pt idx="221">
                  <c:v>1.8285259489204693</c:v>
                </c:pt>
                <c:pt idx="222">
                  <c:v>1.8149999363353293</c:v>
                </c:pt>
                <c:pt idx="223">
                  <c:v>1.8015694791231156</c:v>
                </c:pt>
                <c:pt idx="224">
                  <c:v>1.7882334483567965</c:v>
                </c:pt>
                <c:pt idx="225">
                  <c:v>1.7749907336228199</c:v>
                </c:pt>
                <c:pt idx="226">
                  <c:v>1.761840242636328</c:v>
                </c:pt>
                <c:pt idx="227">
                  <c:v>1.7487809008660185</c:v>
                </c:pt>
                <c:pt idx="228">
                  <c:v>1.7358116511683661</c:v>
                </c:pt>
                <c:pt idx="229">
                  <c:v>1.7229314534309148</c:v>
                </c:pt>
                <c:pt idx="230">
                  <c:v>1.7101392842244152</c:v>
                </c:pt>
                <c:pt idx="231">
                  <c:v>1.6974341364634797</c:v>
                </c:pt>
                <c:pt idx="232">
                  <c:v>1.6848150190756279</c:v>
                </c:pt>
                <c:pt idx="233">
                  <c:v>1.6722809566783503</c:v>
                </c:pt>
                <c:pt idx="234">
                  <c:v>1.6598309892640579</c:v>
                </c:pt>
                <c:pt idx="235">
                  <c:v>1.6474641718926553</c:v>
                </c:pt>
                <c:pt idx="236">
                  <c:v>1.6351795743915261</c:v>
                </c:pt>
                <c:pt idx="237">
                  <c:v>1.6229762810627189</c:v>
                </c:pt>
                <c:pt idx="238">
                  <c:v>1.6108533903971385</c:v>
                </c:pt>
                <c:pt idx="239">
                  <c:v>1.5988100147955462</c:v>
                </c:pt>
                <c:pt idx="240">
                  <c:v>1.5868452802961823</c:v>
                </c:pt>
                <c:pt idx="241">
                  <c:v>1.5749583263088207</c:v>
                </c:pt>
                <c:pt idx="242">
                  <c:v>1.5631483053550606</c:v>
                </c:pt>
                <c:pt idx="243">
                  <c:v>1.551414382814742</c:v>
                </c:pt>
                <c:pt idx="244">
                  <c:v>1.5397557366782524</c:v>
                </c:pt>
                <c:pt idx="245">
                  <c:v>1.528171557304592</c:v>
                </c:pt>
                <c:pt idx="246">
                  <c:v>1.5166610471850543</c:v>
                </c:pt>
                <c:pt idx="247">
                  <c:v>1.5052234207123438</c:v>
                </c:pt>
                <c:pt idx="248">
                  <c:v>1.4938579039549995</c:v>
                </c:pt>
                <c:pt idx="249">
                  <c:v>1.4825637344369889</c:v>
                </c:pt>
                <c:pt idx="250">
                  <c:v>1.4713401609222891</c:v>
                </c:pt>
                <c:pt idx="251">
                  <c:v>1.4601864432044256</c:v>
                </c:pt>
                <c:pt idx="252">
                  <c:v>1.4491018519006784</c:v>
                </c:pt>
                <c:pt idx="253">
                  <c:v>1.4380856682510124</c:v>
                </c:pt>
                <c:pt idx="254">
                  <c:v>1.4271371839214588</c:v>
                </c:pt>
                <c:pt idx="255">
                  <c:v>1.4162557008118908</c:v>
                </c:pt>
                <c:pt idx="256">
                  <c:v>1.4054405308681255</c:v>
                </c:pt>
                <c:pt idx="257">
                  <c:v>1.3946909958981495</c:v>
                </c:pt>
                <c:pt idx="258">
                  <c:v>1.3840064273924026</c:v>
                </c:pt>
                <c:pt idx="259">
                  <c:v>1.3733861663480467</c:v>
                </c:pt>
                <c:pt idx="260">
                  <c:v>1.3628295630970511</c:v>
                </c:pt>
                <c:pt idx="261">
                  <c:v>1.3523359771380639</c:v>
                </c:pt>
                <c:pt idx="262">
                  <c:v>1.3419047769719201</c:v>
                </c:pt>
                <c:pt idx="263">
                  <c:v>1.3315353399407219</c:v>
                </c:pt>
                <c:pt idx="264">
                  <c:v>1.3212270520703742</c:v>
                </c:pt>
                <c:pt idx="265">
                  <c:v>1.310979307916553</c:v>
                </c:pt>
                <c:pt idx="266">
                  <c:v>1.3007915104139214</c:v>
                </c:pt>
                <c:pt idx="267">
                  <c:v>1.2906630707286006</c:v>
                </c:pt>
                <c:pt idx="268">
                  <c:v>1.280593408113754</c:v>
                </c:pt>
                <c:pt idx="269">
                  <c:v>1.2705819497682644</c:v>
                </c:pt>
                <c:pt idx="270">
                  <c:v>1.2606281306983569</c:v>
                </c:pt>
                <c:pt idx="271">
                  <c:v>1.2507313935821485</c:v>
                </c:pt>
                <c:pt idx="272">
                  <c:v>1.2408911886370519</c:v>
                </c:pt>
                <c:pt idx="273">
                  <c:v>1.2311069734899232</c:v>
                </c:pt>
                <c:pt idx="274">
                  <c:v>1.2213782130499229</c:v>
                </c:pt>
                <c:pt idx="275">
                  <c:v>1.2117043793840203</c:v>
                </c:pt>
                <c:pt idx="276">
                  <c:v>1.2020849515950434</c:v>
                </c:pt>
                <c:pt idx="277">
                  <c:v>1.1925194157022745</c:v>
                </c:pt>
                <c:pt idx="278">
                  <c:v>1.1830072645244603</c:v>
                </c:pt>
                <c:pt idx="279">
                  <c:v>1.173547997565235</c:v>
                </c:pt>
                <c:pt idx="280">
                  <c:v>1.1641411209008723</c:v>
                </c:pt>
                <c:pt idx="281">
                  <c:v>1.1547861470702989</c:v>
                </c:pt>
                <c:pt idx="282">
                  <c:v>1.1454825949673564</c:v>
                </c:pt>
                <c:pt idx="283">
                  <c:v>1.1362299897352157</c:v>
                </c:pt>
                <c:pt idx="284">
                  <c:v>1.1270278626629104</c:v>
                </c:pt>
                <c:pt idx="285">
                  <c:v>1.1178757510839592</c:v>
                </c:pt>
                <c:pt idx="286">
                  <c:v>1.1087731982769857</c:v>
                </c:pt>
                <c:pt idx="287">
                  <c:v>1.099719753368317</c:v>
                </c:pt>
                <c:pt idx="288">
                  <c:v>1.090714971236534</c:v>
                </c:pt>
                <c:pt idx="289">
                  <c:v>1.0817584124188644</c:v>
                </c:pt>
                <c:pt idx="290">
                  <c:v>1.0728496430194476</c:v>
                </c:pt>
                <c:pt idx="291">
                  <c:v>1.0639882346193961</c:v>
                </c:pt>
                <c:pt idx="292">
                  <c:v>1.055173764188581</c:v>
                </c:pt>
                <c:pt idx="293">
                  <c:v>1.0464058139991796</c:v>
                </c:pt>
                <c:pt idx="294">
                  <c:v>1.037683971540855</c:v>
                </c:pt>
                <c:pt idx="295">
                  <c:v>1.0290078294376113</c:v>
                </c:pt>
                <c:pt idx="296">
                  <c:v>1.0203769853662314</c:v>
                </c:pt>
                <c:pt idx="297">
                  <c:v>1.0117910419762768</c:v>
                </c:pt>
                <c:pt idx="298">
                  <c:v>1.0032496068116272</c:v>
                </c:pt>
                <c:pt idx="299">
                  <c:v>0.99475229223352124</c:v>
                </c:pt>
                <c:pt idx="300">
                  <c:v>0.98629871534503888</c:v>
                </c:pt>
                <c:pt idx="301">
                  <c:v>0.97788849791703492</c:v>
                </c:pt>
                <c:pt idx="302">
                  <c:v>0.96952126631546387</c:v>
                </c:pt>
                <c:pt idx="303">
                  <c:v>0.96119665143006983</c:v>
                </c:pt>
                <c:pt idx="304">
                  <c:v>0.95291428860440486</c:v>
                </c:pt>
                <c:pt idx="305">
                  <c:v>0.94467381756717994</c:v>
                </c:pt>
                <c:pt idx="306">
                  <c:v>0.93647488236486232</c:v>
                </c:pt>
                <c:pt idx="307">
                  <c:v>0.92831713129556193</c:v>
                </c:pt>
                <c:pt idx="308">
                  <c:v>0.92020021684410724</c:v>
                </c:pt>
                <c:pt idx="309">
                  <c:v>0.91212379561833257</c:v>
                </c:pt>
                <c:pt idx="310">
                  <c:v>0.90408752828655048</c:v>
                </c:pt>
                <c:pt idx="311">
                  <c:v>0.89609107951613531</c:v>
                </c:pt>
                <c:pt idx="312">
                  <c:v>0.88813411791327146</c:v>
                </c:pt>
                <c:pt idx="313">
                  <c:v>0.8802163159637646</c:v>
                </c:pt>
                <c:pt idx="314">
                  <c:v>0.87233734997494705</c:v>
                </c:pt>
                <c:pt idx="315">
                  <c:v>0.86449690001862023</c:v>
                </c:pt>
                <c:pt idx="316">
                  <c:v>0.85669464987504662</c:v>
                </c:pt>
                <c:pt idx="317">
                  <c:v>0.84893028697792505</c:v>
                </c:pt>
                <c:pt idx="318">
                  <c:v>0.8412035023603589</c:v>
                </c:pt>
                <c:pt idx="319">
                  <c:v>0.83351399060181919</c:v>
                </c:pt>
                <c:pt idx="320">
                  <c:v>0.82586144977599041</c:v>
                </c:pt>
                <c:pt idx="321">
                  <c:v>0.81824558139961079</c:v>
                </c:pt>
                <c:pt idx="322">
                  <c:v>0.81066609038217152</c:v>
                </c:pt>
                <c:pt idx="323">
                  <c:v>0.80312268497651917</c:v>
                </c:pt>
                <c:pt idx="324">
                  <c:v>0.79561507673032805</c:v>
                </c:pt>
                <c:pt idx="325">
                  <c:v>0.7881429804384269</c:v>
                </c:pt>
                <c:pt idx="326">
                  <c:v>0.78070611409594748</c:v>
                </c:pt>
                <c:pt idx="327">
                  <c:v>0.77330419885229851</c:v>
                </c:pt>
                <c:pt idx="328">
                  <c:v>0.76593695896593572</c:v>
                </c:pt>
                <c:pt idx="329">
                  <c:v>0.75860412175992598</c:v>
                </c:pt>
                <c:pt idx="330">
                  <c:v>0.75130541757825697</c:v>
                </c:pt>
                <c:pt idx="331">
                  <c:v>0.74404057974291571</c:v>
                </c:pt>
                <c:pt idx="332">
                  <c:v>0.73680934451171054</c:v>
                </c:pt>
                <c:pt idx="333">
                  <c:v>0.72961145103679292</c:v>
                </c:pt>
                <c:pt idx="334">
                  <c:v>0.72244664132390057</c:v>
                </c:pt>
                <c:pt idx="335">
                  <c:v>0.71531466019229617</c:v>
                </c:pt>
                <c:pt idx="336">
                  <c:v>0.70821525523538797</c:v>
                </c:pt>
                <c:pt idx="337">
                  <c:v>0.70114817678198971</c:v>
                </c:pt>
                <c:pt idx="338">
                  <c:v>0.69411317785827276</c:v>
                </c:pt>
                <c:pt idx="339">
                  <c:v>0.68711001415033479</c:v>
                </c:pt>
                <c:pt idx="340">
                  <c:v>0.6801384439673972</c:v>
                </c:pt>
                <c:pt idx="341">
                  <c:v>0.67319822820562003</c:v>
                </c:pt>
                <c:pt idx="342">
                  <c:v>0.66628913031252734</c:v>
                </c:pt>
                <c:pt idx="343">
                  <c:v>0.65941091625201464</c:v>
                </c:pt>
                <c:pt idx="344">
                  <c:v>0.65256335446992741</c:v>
                </c:pt>
                <c:pt idx="345">
                  <c:v>0.64574621586024372</c:v>
                </c:pt>
                <c:pt idx="346">
                  <c:v>0.63895927373176031</c:v>
                </c:pt>
                <c:pt idx="347">
                  <c:v>0.63220230377538322</c:v>
                </c:pt>
                <c:pt idx="348">
                  <c:v>0.62547508403190111</c:v>
                </c:pt>
                <c:pt idx="349">
                  <c:v>0.6187773948603249</c:v>
                </c:pt>
                <c:pt idx="350">
                  <c:v>0.61210901890672875</c:v>
                </c:pt>
                <c:pt idx="351">
                  <c:v>0.60546974107358398</c:v>
                </c:pt>
                <c:pt idx="352">
                  <c:v>0.59885934848961753</c:v>
                </c:pt>
                <c:pt idx="353">
                  <c:v>0.59227763048012882</c:v>
                </c:pt>
                <c:pt idx="354">
                  <c:v>0.58572437853780113</c:v>
                </c:pt>
                <c:pt idx="355">
                  <c:v>0.57919938629397671</c:v>
                </c:pt>
                <c:pt idx="356">
                  <c:v>0.57270244949039983</c:v>
                </c:pt>
                <c:pt idx="357">
                  <c:v>0.56623336595139206</c:v>
                </c:pt>
                <c:pt idx="358">
                  <c:v>0.55979193555649009</c:v>
                </c:pt>
                <c:pt idx="359">
                  <c:v>0.55337796021350594</c:v>
                </c:pt>
                <c:pt idx="360">
                  <c:v>0.54699124383202258</c:v>
                </c:pt>
                <c:pt idx="361">
                  <c:v>0.54063159229730751</c:v>
                </c:pt>
                <c:pt idx="362">
                  <c:v>0.53429881344461683</c:v>
                </c:pt>
                <c:pt idx="363">
                  <c:v>0.52799271703393347</c:v>
                </c:pt>
                <c:pt idx="364">
                  <c:v>0.52171311472508564</c:v>
                </c:pt>
                <c:pt idx="365">
                  <c:v>0.51545982005324942</c:v>
                </c:pt>
                <c:pt idx="366">
                  <c:v>0.50923264840484417</c:v>
                </c:pt>
                <c:pt idx="367">
                  <c:v>0.5030314169937915</c:v>
                </c:pt>
                <c:pt idx="368">
                  <c:v>0.49685594483815315</c:v>
                </c:pt>
                <c:pt idx="369">
                  <c:v>0.49070605273711848</c:v>
                </c:pt>
                <c:pt idx="370">
                  <c:v>0.48458156324835627</c:v>
                </c:pt>
                <c:pt idx="371">
                  <c:v>0.47848230066571223</c:v>
                </c:pt>
                <c:pt idx="372">
                  <c:v>0.47240809099723885</c:v>
                </c:pt>
                <c:pt idx="373">
                  <c:v>0.46635876194357734</c:v>
                </c:pt>
                <c:pt idx="374">
                  <c:v>0.4603341428766578</c:v>
                </c:pt>
                <c:pt idx="375">
                  <c:v>0.45433406481872457</c:v>
                </c:pt>
                <c:pt idx="376">
                  <c:v>0.44835836042167854</c:v>
                </c:pt>
                <c:pt idx="377">
                  <c:v>0.4424068639467521</c:v>
                </c:pt>
                <c:pt idx="378">
                  <c:v>0.43647941124444373</c:v>
                </c:pt>
                <c:pt idx="379">
                  <c:v>0.4305758397348125</c:v>
                </c:pt>
                <c:pt idx="380">
                  <c:v>0.42469598838802991</c:v>
                </c:pt>
                <c:pt idx="381">
                  <c:v>0.41883969770522617</c:v>
                </c:pt>
                <c:pt idx="382">
                  <c:v>0.4130068096996381</c:v>
                </c:pt>
                <c:pt idx="383">
                  <c:v>0.40719716787802929</c:v>
                </c:pt>
                <c:pt idx="384">
                  <c:v>0.40141061722237509</c:v>
                </c:pt>
                <c:pt idx="385">
                  <c:v>0.39564700417185267</c:v>
                </c:pt>
                <c:pt idx="386">
                  <c:v>0.38990617660504823</c:v>
                </c:pt>
                <c:pt idx="387">
                  <c:v>0.38418798382246921</c:v>
                </c:pt>
                <c:pt idx="388">
                  <c:v>0.37849227652929768</c:v>
                </c:pt>
                <c:pt idx="389">
                  <c:v>0.37281890681838847</c:v>
                </c:pt>
                <c:pt idx="390">
                  <c:v>0.36716772815352938</c:v>
                </c:pt>
                <c:pt idx="391">
                  <c:v>0.36153859535293814</c:v>
                </c:pt>
                <c:pt idx="392">
                  <c:v>0.35593136457300645</c:v>
                </c:pt>
                <c:pt idx="393">
                  <c:v>0.35034589329226695</c:v>
                </c:pt>
                <c:pt idx="394">
                  <c:v>0.3447820402956126</c:v>
                </c:pt>
                <c:pt idx="395">
                  <c:v>0.33923966565872365</c:v>
                </c:pt>
                <c:pt idx="396">
                  <c:v>0.33371863073272656</c:v>
                </c:pt>
                <c:pt idx="397">
                  <c:v>0.32821879812908195</c:v>
                </c:pt>
                <c:pt idx="398">
                  <c:v>0.32274003170468374</c:v>
                </c:pt>
                <c:pt idx="399">
                  <c:v>0.3172821965471545</c:v>
                </c:pt>
                <c:pt idx="400">
                  <c:v>0.31184515896039511</c:v>
                </c:pt>
                <c:pt idx="401">
                  <c:v>0.30642878645027644</c:v>
                </c:pt>
                <c:pt idx="402">
                  <c:v>0.30103294771059425</c:v>
                </c:pt>
                <c:pt idx="403">
                  <c:v>0.29565751260918854</c:v>
                </c:pt>
                <c:pt idx="404">
                  <c:v>0.2903023521742748</c:v>
                </c:pt>
                <c:pt idx="405">
                  <c:v>0.28496733858094886</c:v>
                </c:pt>
                <c:pt idx="406">
                  <c:v>0.27965234513791259</c:v>
                </c:pt>
                <c:pt idx="407">
                  <c:v>0.27435724627435071</c:v>
                </c:pt>
                <c:pt idx="408">
                  <c:v>0.2690819175270267</c:v>
                </c:pt>
                <c:pt idx="409">
                  <c:v>0.26382623552751144</c:v>
                </c:pt>
                <c:pt idx="410">
                  <c:v>0.25859007798966271</c:v>
                </c:pt>
                <c:pt idx="411">
                  <c:v>0.25337332369719262</c:v>
                </c:pt>
                <c:pt idx="412">
                  <c:v>0.24817585249147517</c:v>
                </c:pt>
                <c:pt idx="413">
                  <c:v>0.24299754525949252</c:v>
                </c:pt>
                <c:pt idx="414">
                  <c:v>0.23783828392194462</c:v>
                </c:pt>
                <c:pt idx="415">
                  <c:v>0.2326979514215452</c:v>
                </c:pt>
                <c:pt idx="416">
                  <c:v>0.22757643171144515</c:v>
                </c:pt>
                <c:pt idx="417">
                  <c:v>0.222473609743854</c:v>
                </c:pt>
                <c:pt idx="418">
                  <c:v>0.2173893714587804</c:v>
                </c:pt>
                <c:pt idx="419">
                  <c:v>0.21232360377294865</c:v>
                </c:pt>
                <c:pt idx="420">
                  <c:v>0.20727619456886315</c:v>
                </c:pt>
                <c:pt idx="421">
                  <c:v>0.20224703268400962</c:v>
                </c:pt>
                <c:pt idx="422">
                  <c:v>0.19723600790022083</c:v>
                </c:pt>
                <c:pt idx="423">
                  <c:v>0.19224301093316359</c:v>
                </c:pt>
                <c:pt idx="424">
                  <c:v>0.18726793342199699</c:v>
                </c:pt>
                <c:pt idx="425">
                  <c:v>0.1823106679191388</c:v>
                </c:pt>
                <c:pt idx="426">
                  <c:v>0.17737110788019186</c:v>
                </c:pt>
                <c:pt idx="427">
                  <c:v>0.17244914765399741</c:v>
                </c:pt>
                <c:pt idx="428">
                  <c:v>0.16754468247281104</c:v>
                </c:pt>
                <c:pt idx="429">
                  <c:v>0.16265760844263211</c:v>
                </c:pt>
                <c:pt idx="430">
                  <c:v>0.15778782253365078</c:v>
                </c:pt>
                <c:pt idx="431">
                  <c:v>0.15293522257080477</c:v>
                </c:pt>
                <c:pt idx="432">
                  <c:v>0.14809970722449392</c:v>
                </c:pt>
                <c:pt idx="433">
                  <c:v>0.1432811760014025</c:v>
                </c:pt>
                <c:pt idx="434">
                  <c:v>0.13847952923541984</c:v>
                </c:pt>
                <c:pt idx="435">
                  <c:v>0.13369466807871974</c:v>
                </c:pt>
                <c:pt idx="436">
                  <c:v>0.12892649449294633</c:v>
                </c:pt>
                <c:pt idx="437">
                  <c:v>0.12417491124047804</c:v>
                </c:pt>
                <c:pt idx="438">
                  <c:v>0.11943982187586906</c:v>
                </c:pt>
                <c:pt idx="439">
                  <c:v>0.11472113073735088</c:v>
                </c:pt>
                <c:pt idx="440">
                  <c:v>0.11001874293846443</c:v>
                </c:pt>
                <c:pt idx="441">
                  <c:v>0.10533256435980765</c:v>
                </c:pt>
                <c:pt idx="442">
                  <c:v>0.10066250164086732</c:v>
                </c:pt>
                <c:pt idx="443">
                  <c:v>9.6008462171989287E-2</c:v>
                </c:pt>
                <c:pt idx="444">
                  <c:v>9.1370354086419331E-2</c:v>
                </c:pt>
                <c:pt idx="445">
                  <c:v>8.6748086252470658E-2</c:v>
                </c:pt>
                <c:pt idx="446">
                  <c:v>8.2141568265773915E-2</c:v>
                </c:pt>
                <c:pt idx="447">
                  <c:v>7.75507104416438E-2</c:v>
                </c:pt>
                <c:pt idx="448">
                  <c:v>7.297542380753326E-2</c:v>
                </c:pt>
                <c:pt idx="449">
                  <c:v>6.8415620095580928E-2</c:v>
                </c:pt>
                <c:pt idx="450">
                  <c:v>6.3871211735267927E-2</c:v>
                </c:pt>
                <c:pt idx="451">
                  <c:v>5.9342111846147558E-2</c:v>
                </c:pt>
                <c:pt idx="452">
                  <c:v>5.4828234230685252E-2</c:v>
                </c:pt>
                <c:pt idx="453">
                  <c:v>5.0329493367176723E-2</c:v>
                </c:pt>
                <c:pt idx="454">
                  <c:v>4.5845804402771757E-2</c:v>
                </c:pt>
                <c:pt idx="455">
                  <c:v>4.1377083146566532E-2</c:v>
                </c:pt>
                <c:pt idx="456">
                  <c:v>3.6923246062790155E-2</c:v>
                </c:pt>
                <c:pt idx="457">
                  <c:v>3.2484210264082748E-2</c:v>
                </c:pt>
                <c:pt idx="458">
                  <c:v>2.8059893504862404E-2</c:v>
                </c:pt>
                <c:pt idx="459">
                  <c:v>2.3650214174742584E-2</c:v>
                </c:pt>
                <c:pt idx="460">
                  <c:v>1.925509129207546E-2</c:v>
                </c:pt>
                <c:pt idx="461">
                  <c:v>1.4874444497547433E-2</c:v>
                </c:pt>
                <c:pt idx="462">
                  <c:v>1.0508194047867072E-2</c:v>
                </c:pt>
                <c:pt idx="463">
                  <c:v>6.1562608095221067E-3</c:v>
                </c:pt>
                <c:pt idx="464">
                  <c:v>1.8185662526179359E-3</c:v>
                </c:pt>
                <c:pt idx="465">
                  <c:v>-2.5049675552084294E-3</c:v>
                </c:pt>
                <c:pt idx="466">
                  <c:v>-6.8144179547925407E-3</c:v>
                </c:pt>
                <c:pt idx="467">
                  <c:v>-1.1109861701384251E-2</c:v>
                </c:pt>
                <c:pt idx="468">
                  <c:v>-1.5391374970501925E-2</c:v>
                </c:pt>
                <c:pt idx="469">
                  <c:v>-1.9659033363746602E-2</c:v>
                </c:pt>
                <c:pt idx="470">
                  <c:v>-2.3912911914493424E-2</c:v>
                </c:pt>
                <c:pt idx="471">
                  <c:v>-2.815308509356242E-2</c:v>
                </c:pt>
                <c:pt idx="472">
                  <c:v>-3.2379626814791188E-2</c:v>
                </c:pt>
                <c:pt idx="473">
                  <c:v>-3.6592610440552308E-2</c:v>
                </c:pt>
                <c:pt idx="474">
                  <c:v>-4.0792108787207432E-2</c:v>
                </c:pt>
                <c:pt idx="475">
                  <c:v>-4.4978194130466553E-2</c:v>
                </c:pt>
                <c:pt idx="476">
                  <c:v>-4.9150938210734664E-2</c:v>
                </c:pt>
                <c:pt idx="477">
                  <c:v>-5.3310412238335859E-2</c:v>
                </c:pt>
                <c:pt idx="478">
                  <c:v>-5.7456686898719592E-2</c:v>
                </c:pt>
                <c:pt idx="479">
                  <c:v>-6.1589832357586194E-2</c:v>
                </c:pt>
                <c:pt idx="480">
                  <c:v>-6.5709918265939041E-2</c:v>
                </c:pt>
                <c:pt idx="481">
                  <c:v>-6.9817013765106212E-2</c:v>
                </c:pt>
                <c:pt idx="482">
                  <c:v>-7.391118749166628E-2</c:v>
                </c:pt>
                <c:pt idx="483">
                  <c:v>-7.7992507582354251E-2</c:v>
                </c:pt>
                <c:pt idx="484">
                  <c:v>-8.2061041678874569E-2</c:v>
                </c:pt>
                <c:pt idx="485">
                  <c:v>-8.6116856932678301E-2</c:v>
                </c:pt>
                <c:pt idx="486">
                  <c:v>-9.0160020009670952E-2</c:v>
                </c:pt>
                <c:pt idx="487">
                  <c:v>-9.4190597094882228E-2</c:v>
                </c:pt>
                <c:pt idx="488">
                  <c:v>-9.8208653897047554E-2</c:v>
                </c:pt>
                <c:pt idx="489">
                  <c:v>-0.10221425565318876</c:v>
                </c:pt>
                <c:pt idx="490">
                  <c:v>-0.10620746713307469</c:v>
                </c:pt>
                <c:pt idx="491">
                  <c:v>-0.11018835264368869</c:v>
                </c:pt>
                <c:pt idx="492">
                  <c:v>-0.1141569760336065</c:v>
                </c:pt>
                <c:pt idx="493">
                  <c:v>-0.11811340069734581</c:v>
                </c:pt>
                <c:pt idx="494">
                  <c:v>-0.12205768957964383</c:v>
                </c:pt>
                <c:pt idx="495">
                  <c:v>-0.12598990517969966</c:v>
                </c:pt>
                <c:pt idx="496">
                  <c:v>-0.129910109555371</c:v>
                </c:pt>
                <c:pt idx="497">
                  <c:v>-0.13381836432729663</c:v>
                </c:pt>
                <c:pt idx="498">
                  <c:v>-0.1377147306830151</c:v>
                </c:pt>
                <c:pt idx="499">
                  <c:v>-0.14159926938099152</c:v>
                </c:pt>
                <c:pt idx="500">
                  <c:v>-0.14547204075461204</c:v>
                </c:pt>
                <c:pt idx="501">
                  <c:v>-1.2892635116920539</c:v>
                </c:pt>
                <c:pt idx="502">
                  <c:v>-2.2733573234420623</c:v>
                </c:pt>
                <c:pt idx="503">
                  <c:v>-3.041980346515599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5-4BDF-9C88-DBE55EF46A8A}"/>
            </c:ext>
          </c:extLst>
        </c:ser>
        <c:ser>
          <c:idx val="1"/>
          <c:order val="1"/>
          <c:tx>
            <c:strRef>
              <c:f>Plots!$Q$2</c:f>
              <c:strCache>
                <c:ptCount val="1"/>
                <c:pt idx="0">
                  <c:v>Fmax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(Plots!$R$2,Plots!$R$2)</c:f>
              <c:numCache>
                <c:formatCode>General</c:formatCode>
                <c:ptCount val="2"/>
                <c:pt idx="0">
                  <c:v>1.59</c:v>
                </c:pt>
                <c:pt idx="1">
                  <c:v>1.59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05-4BDF-9C88-DBE55EF46A8A}"/>
            </c:ext>
          </c:extLst>
        </c:ser>
        <c:ser>
          <c:idx val="2"/>
          <c:order val="2"/>
          <c:tx>
            <c:strRef>
              <c:f>Plots!$Q$3</c:f>
              <c:strCache>
                <c:ptCount val="1"/>
                <c:pt idx="0">
                  <c:v>F0.1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(Plots!$R$3,Plots!$R$3)</c:f>
              <c:numCache>
                <c:formatCode>General</c:formatCode>
                <c:ptCount val="2"/>
                <c:pt idx="0">
                  <c:v>0.28000000000000003</c:v>
                </c:pt>
                <c:pt idx="1">
                  <c:v>0.28000000000000003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05-4BDF-9C88-DBE55EF46A8A}"/>
            </c:ext>
          </c:extLst>
        </c:ser>
        <c:ser>
          <c:idx val="3"/>
          <c:order val="3"/>
          <c:tx>
            <c:strRef>
              <c:f>Plots!$Q$4</c:f>
              <c:strCache>
                <c:ptCount val="1"/>
                <c:pt idx="0">
                  <c:v>FMSY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(Plots!$R$4,Plots!$R$4)</c:f>
              <c:numCache>
                <c:formatCode>General</c:formatCode>
                <c:ptCount val="2"/>
                <c:pt idx="0">
                  <c:v>0.34</c:v>
                </c:pt>
                <c:pt idx="1">
                  <c:v>0.34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05-4BDF-9C88-DBE55EF46A8A}"/>
            </c:ext>
          </c:extLst>
        </c:ser>
        <c:ser>
          <c:idx val="4"/>
          <c:order val="4"/>
          <c:tx>
            <c:strRef>
              <c:f>Plots!$Q$5</c:f>
              <c:strCache>
                <c:ptCount val="1"/>
                <c:pt idx="0">
                  <c:v>F0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(Plots!$R$5,Plots!$R$5)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05-4BDF-9C88-DBE55EF4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4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Equilibrium 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28262543824357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MSY!$F$44:$F$547</c:f>
              <c:numCache>
                <c:formatCode>General</c:formatCode>
                <c:ptCount val="504"/>
                <c:pt idx="0">
                  <c:v>36.967694044555962</c:v>
                </c:pt>
                <c:pt idx="1">
                  <c:v>35.023533485958886</c:v>
                </c:pt>
                <c:pt idx="2">
                  <c:v>33.261544788467582</c:v>
                </c:pt>
                <c:pt idx="3">
                  <c:v>31.65795705596577</c:v>
                </c:pt>
                <c:pt idx="4">
                  <c:v>30.192792894343413</c:v>
                </c:pt>
                <c:pt idx="5">
                  <c:v>28.849274201752682</c:v>
                </c:pt>
                <c:pt idx="6">
                  <c:v>27.613207535201237</c:v>
                </c:pt>
                <c:pt idx="7">
                  <c:v>26.472505878191477</c:v>
                </c:pt>
                <c:pt idx="8">
                  <c:v>25.416812755848127</c:v>
                </c:pt>
                <c:pt idx="9">
                  <c:v>24.437204025532836</c:v>
                </c:pt>
                <c:pt idx="10">
                  <c:v>23.525949241667259</c:v>
                </c:pt>
                <c:pt idx="11">
                  <c:v>22.676319158963373</c:v>
                </c:pt>
                <c:pt idx="12">
                  <c:v>21.88242929315776</c:v>
                </c:pt>
                <c:pt idx="13">
                  <c:v>21.139111899347601</c:v>
                </c:pt>
                <c:pt idx="14">
                  <c:v>20.441810523614382</c:v>
                </c:pt>
                <c:pt idx="15">
                  <c:v>19.786492617997865</c:v>
                </c:pt>
                <c:pt idx="16">
                  <c:v>19.169576710023843</c:v>
                </c:pt>
                <c:pt idx="17">
                  <c:v>18.587871375863898</c:v>
                </c:pt>
                <c:pt idx="18">
                  <c:v>18.03852384476566</c:v>
                </c:pt>
                <c:pt idx="19">
                  <c:v>17.51897650757142</c:v>
                </c:pt>
                <c:pt idx="20">
                  <c:v>17.02692994725307</c:v>
                </c:pt>
                <c:pt idx="21">
                  <c:v>16.560311378816806</c:v>
                </c:pt>
                <c:pt idx="22">
                  <c:v>16.11724759767597</c:v>
                </c:pt>
                <c:pt idx="23">
                  <c:v>15.696041703055343</c:v>
                </c:pt>
                <c:pt idx="24">
                  <c:v>15.29515299623203</c:v>
                </c:pt>
                <c:pt idx="25">
                  <c:v>14.913179560032866</c:v>
                </c:pt>
                <c:pt idx="26">
                  <c:v>14.54884311178243</c:v>
                </c:pt>
                <c:pt idx="27">
                  <c:v>14.200975791256885</c:v>
                </c:pt>
                <c:pt idx="28">
                  <c:v>13.86850860156645</c:v>
                </c:pt>
                <c:pt idx="29">
                  <c:v>13.550461266910602</c:v>
                </c:pt>
                <c:pt idx="30">
                  <c:v>13.245933308894308</c:v>
                </c:pt>
                <c:pt idx="31">
                  <c:v>12.954096174182045</c:v>
                </c:pt>
                <c:pt idx="32">
                  <c:v>12.674186271977357</c:v>
                </c:pt>
                <c:pt idx="33">
                  <c:v>12.405498801164498</c:v>
                </c:pt>
                <c:pt idx="34">
                  <c:v>12.147382264741063</c:v>
                </c:pt>
                <c:pt idx="35">
                  <c:v>11.899233584053899</c:v>
                </c:pt>
                <c:pt idx="36">
                  <c:v>11.660493737842945</c:v>
                </c:pt>
                <c:pt idx="37">
                  <c:v>11.430643861619425</c:v>
                </c:pt>
                <c:pt idx="38">
                  <c:v>11.209201751794087</c:v>
                </c:pt>
                <c:pt idx="39">
                  <c:v>10.995718726505999</c:v>
                </c:pt>
                <c:pt idx="40">
                  <c:v>10.789776801507063</c:v>
                </c:pt>
                <c:pt idx="41">
                  <c:v>10.590986144917974</c:v>
                </c:pt>
                <c:pt idx="42">
                  <c:v>10.398982779339436</c:v>
                </c:pt>
                <c:pt idx="43">
                  <c:v>10.213426503804175</c:v>
                </c:pt>
                <c:pt idx="44">
                  <c:v>10.033999011494213</c:v>
                </c:pt>
                <c:pt idx="45">
                  <c:v>9.8604021821113488</c:v>
                </c:pt>
                <c:pt idx="46">
                  <c:v>9.6923565303477819</c:v>
                </c:pt>
                <c:pt idx="47">
                  <c:v>9.5295997941196227</c:v>
                </c:pt>
                <c:pt idx="48">
                  <c:v>9.3718856481482433</c:v>
                </c:pt>
                <c:pt idx="49">
                  <c:v>9.2189825301465955</c:v>
                </c:pt>
                <c:pt idx="50">
                  <c:v>9.0706725683241558</c:v>
                </c:pt>
                <c:pt idx="51">
                  <c:v>8.9267506001966002</c:v>
                </c:pt>
                <c:pt idx="52">
                  <c:v>8.7870232737996758</c:v>
                </c:pt>
                <c:pt idx="53">
                  <c:v>8.6513082233825429</c:v>
                </c:pt>
                <c:pt idx="54">
                  <c:v>8.5194333125134314</c:v>
                </c:pt>
                <c:pt idx="55">
                  <c:v>8.39123593828484</c:v>
                </c:pt>
                <c:pt idx="56">
                  <c:v>8.2665623909706198</c:v>
                </c:pt>
                <c:pt idx="57">
                  <c:v>8.145267264074656</c:v>
                </c:pt>
                <c:pt idx="58">
                  <c:v>8.0272129102307002</c:v>
                </c:pt>
                <c:pt idx="59">
                  <c:v>7.9122689388729395</c:v>
                </c:pt>
                <c:pt idx="60">
                  <c:v>7.8003117520057694</c:v>
                </c:pt>
                <c:pt idx="61">
                  <c:v>7.6912241147644185</c:v>
                </c:pt>
                <c:pt idx="62">
                  <c:v>7.584894757781214</c:v>
                </c:pt>
                <c:pt idx="63">
                  <c:v>7.4812180086607452</c:v>
                </c:pt>
                <c:pt idx="64">
                  <c:v>7.3800934501243711</c:v>
                </c:pt>
                <c:pt idx="65">
                  <c:v>7.2814256026146635</c:v>
                </c:pt>
                <c:pt idx="66">
                  <c:v>7.1851236293564282</c:v>
                </c:pt>
                <c:pt idx="67">
                  <c:v>7.0911010620555874</c:v>
                </c:pt>
                <c:pt idx="68">
                  <c:v>6.9992755455828739</c:v>
                </c:pt>
                <c:pt idx="69">
                  <c:v>6.9095686001384689</c:v>
                </c:pt>
                <c:pt idx="70">
                  <c:v>6.8219053995276981</c:v>
                </c:pt>
                <c:pt idx="71">
                  <c:v>6.7362145642986979</c:v>
                </c:pt>
                <c:pt idx="72">
                  <c:v>6.652427968601935</c:v>
                </c:pt>
                <c:pt idx="73">
                  <c:v>6.5704805597300089</c:v>
                </c:pt>
                <c:pt idx="74">
                  <c:v>6.4903101893850099</c:v>
                </c:pt>
                <c:pt idx="75">
                  <c:v>6.4118574558012575</c:v>
                </c:pt>
                <c:pt idx="76">
                  <c:v>6.3350655559243378</c:v>
                </c:pt>
                <c:pt idx="77">
                  <c:v>6.2598801469134449</c:v>
                </c:pt>
                <c:pt idx="78">
                  <c:v>6.186249216294188</c:v>
                </c:pt>
                <c:pt idx="79">
                  <c:v>6.1141229601436899</c:v>
                </c:pt>
                <c:pt idx="80">
                  <c:v>6.043453668739402</c:v>
                </c:pt>
                <c:pt idx="81">
                  <c:v>5.9741956191485182</c:v>
                </c:pt>
                <c:pt idx="82">
                  <c:v>5.9063049742758631</c:v>
                </c:pt>
                <c:pt idx="83">
                  <c:v>5.8397396879261372</c:v>
                </c:pt>
                <c:pt idx="84">
                  <c:v>5.774459415470421</c:v>
                </c:pt>
                <c:pt idx="85">
                  <c:v>5.7104254297385415</c:v>
                </c:pt>
                <c:pt idx="86">
                  <c:v>5.6476005417874999</c:v>
                </c:pt>
                <c:pt idx="87">
                  <c:v>5.5859490262226164</c:v>
                </c:pt>
                <c:pt idx="88">
                  <c:v>5.5254365507720431</c:v>
                </c:pt>
                <c:pt idx="89">
                  <c:v>5.4660301098374875</c:v>
                </c:pt>
                <c:pt idx="90">
                  <c:v>5.4076979617643417</c:v>
                </c:pt>
                <c:pt idx="91">
                  <c:v>5.3504095695930518</c:v>
                </c:pt>
                <c:pt idx="92">
                  <c:v>5.2941355450705867</c:v>
                </c:pt>
                <c:pt idx="93">
                  <c:v>5.2388475957168401</c:v>
                </c:pt>
                <c:pt idx="94">
                  <c:v>5.1845184747553104</c:v>
                </c:pt>
                <c:pt idx="95">
                  <c:v>5.1311219337305429</c:v>
                </c:pt>
                <c:pt idx="96">
                  <c:v>5.0786326776475299</c:v>
                </c:pt>
                <c:pt idx="97">
                  <c:v>5.0270263224794238</c:v>
                </c:pt>
                <c:pt idx="98">
                  <c:v>4.9762793549003961</c:v>
                </c:pt>
                <c:pt idx="99">
                  <c:v>4.9263690941104397</c:v>
                </c:pt>
                <c:pt idx="100">
                  <c:v>4.8772736556276559</c:v>
                </c:pt>
                <c:pt idx="101">
                  <c:v>4.8289719169319358</c:v>
                </c:pt>
                <c:pt idx="102">
                  <c:v>4.7814434848518053</c:v>
                </c:pt>
                <c:pt idx="103">
                  <c:v>4.7346686645930793</c:v>
                </c:pt>
                <c:pt idx="104">
                  <c:v>4.6886284303147541</c:v>
                </c:pt>
                <c:pt idx="105">
                  <c:v>4.6433043971636705</c:v>
                </c:pt>
                <c:pt idx="106">
                  <c:v>4.5986787946851244</c:v>
                </c:pt>
                <c:pt idx="107">
                  <c:v>4.5547344415318909</c:v>
                </c:pt>
                <c:pt idx="108">
                  <c:v>4.5114547213991445</c:v>
                </c:pt>
                <c:pt idx="109">
                  <c:v>4.4688235601170954</c:v>
                </c:pt>
                <c:pt idx="110">
                  <c:v>4.426825403837662</c:v>
                </c:pt>
                <c:pt idx="111">
                  <c:v>4.3854451982553124</c:v>
                </c:pt>
                <c:pt idx="112">
                  <c:v>4.3446683688058769</c:v>
                </c:pt>
                <c:pt idx="113">
                  <c:v>4.304480801790616</c:v>
                </c:pt>
                <c:pt idx="114">
                  <c:v>4.2648688263760377</c:v>
                </c:pt>
                <c:pt idx="115">
                  <c:v>4.2258191974228669</c:v>
                </c:pt>
                <c:pt idx="116">
                  <c:v>4.1873190791004227</c:v>
                </c:pt>
                <c:pt idx="117">
                  <c:v>4.1493560292452152</c:v>
                </c:pt>
                <c:pt idx="118">
                  <c:v>4.1119179844250127</c:v>
                </c:pt>
                <c:pt idx="119">
                  <c:v>4.0749932456719424</c:v>
                </c:pt>
                <c:pt idx="120">
                  <c:v>4.0385704648501921</c:v>
                </c:pt>
                <c:pt idx="121">
                  <c:v>4.002638631626029</c:v>
                </c:pt>
                <c:pt idx="122">
                  <c:v>3.9671870610095361</c:v>
                </c:pt>
                <c:pt idx="123">
                  <c:v>3.9322053814393496</c:v>
                </c:pt>
                <c:pt idx="124">
                  <c:v>3.8976835233832214</c:v>
                </c:pt>
                <c:pt idx="125">
                  <c:v>3.863611708428798</c:v>
                </c:pt>
                <c:pt idx="126">
                  <c:v>3.8299804388404048</c:v>
                </c:pt>
                <c:pt idx="127">
                  <c:v>3.7967804875590256</c:v>
                </c:pt>
                <c:pt idx="128">
                  <c:v>3.7640028886238559</c:v>
                </c:pt>
                <c:pt idx="129">
                  <c:v>3.7316389279950415</c:v>
                </c:pt>
                <c:pt idx="130">
                  <c:v>3.6996801347582968</c:v>
                </c:pt>
                <c:pt idx="131">
                  <c:v>3.6681182726931896</c:v>
                </c:pt>
                <c:pt idx="132">
                  <c:v>3.6369453321877776</c:v>
                </c:pt>
                <c:pt idx="133">
                  <c:v>3.6061535224832646</c:v>
                </c:pt>
                <c:pt idx="134">
                  <c:v>3.5757352642332547</c:v>
                </c:pt>
                <c:pt idx="135">
                  <c:v>3.5456831823628225</c:v>
                </c:pt>
                <c:pt idx="136">
                  <c:v>3.5159900992136581</c:v>
                </c:pt>
                <c:pt idx="137">
                  <c:v>3.4866490279619895</c:v>
                </c:pt>
                <c:pt idx="138">
                  <c:v>3.4576531662968875</c:v>
                </c:pt>
                <c:pt idx="139">
                  <c:v>3.4289958903470623</c:v>
                </c:pt>
                <c:pt idx="140">
                  <c:v>3.4006707488449157</c:v>
                </c:pt>
                <c:pt idx="141">
                  <c:v>3.3726714575172618</c:v>
                </c:pt>
                <c:pt idx="142">
                  <c:v>3.3449918936924545</c:v>
                </c:pt>
                <c:pt idx="143">
                  <c:v>3.3176260911144451</c:v>
                </c:pt>
                <c:pt idx="144">
                  <c:v>3.2905682349545518</c:v>
                </c:pt>
                <c:pt idx="145">
                  <c:v>3.2638126570123087</c:v>
                </c:pt>
                <c:pt idx="146">
                  <c:v>3.237353831097098</c:v>
                </c:pt>
                <c:pt idx="147">
                  <c:v>3.2111863685827737</c:v>
                </c:pt>
                <c:pt idx="148">
                  <c:v>3.1853050141277799</c:v>
                </c:pt>
                <c:pt idx="149">
                  <c:v>3.1597046415536769</c:v>
                </c:pt>
                <c:pt idx="150">
                  <c:v>3.1343802498753233</c:v>
                </c:pt>
                <c:pt idx="151">
                  <c:v>3.1093269594762734</c:v>
                </c:pt>
                <c:pt idx="152">
                  <c:v>3.0845400084232861</c:v>
                </c:pt>
                <c:pt idx="153">
                  <c:v>3.0600147489140896</c:v>
                </c:pt>
                <c:pt idx="154">
                  <c:v>3.0357466438528649</c:v>
                </c:pt>
                <c:pt idx="155">
                  <c:v>3.011731263548147</c:v>
                </c:pt>
                <c:pt idx="156">
                  <c:v>2.9879642825280892</c:v>
                </c:pt>
                <c:pt idx="157">
                  <c:v>2.9644414764682918</c:v>
                </c:pt>
                <c:pt idx="158">
                  <c:v>2.9411587192275968</c:v>
                </c:pt>
                <c:pt idx="159">
                  <c:v>2.9181119799874535</c:v>
                </c:pt>
                <c:pt idx="160">
                  <c:v>2.8952973204907417</c:v>
                </c:pt>
                <c:pt idx="161">
                  <c:v>2.8727108923759426</c:v>
                </c:pt>
                <c:pt idx="162">
                  <c:v>2.8503489346029962</c:v>
                </c:pt>
                <c:pt idx="163">
                  <c:v>2.8282077709670994</c:v>
                </c:pt>
                <c:pt idx="164">
                  <c:v>2.8062838076970174</c:v>
                </c:pt>
                <c:pt idx="165">
                  <c:v>2.7845735311345661</c:v>
                </c:pt>
                <c:pt idx="166">
                  <c:v>2.7630735054921454</c:v>
                </c:pt>
                <c:pt idx="167">
                  <c:v>2.7417803706852202</c:v>
                </c:pt>
                <c:pt idx="168">
                  <c:v>2.7206908402369194</c:v>
                </c:pt>
                <c:pt idx="169">
                  <c:v>2.6998016992519127</c:v>
                </c:pt>
                <c:pt idx="170">
                  <c:v>2.6791098024569844</c:v>
                </c:pt>
                <c:pt idx="171">
                  <c:v>2.6586120723057149</c:v>
                </c:pt>
                <c:pt idx="172">
                  <c:v>2.6383054971448745</c:v>
                </c:pt>
                <c:pt idx="173">
                  <c:v>2.6181871294401682</c:v>
                </c:pt>
                <c:pt idx="174">
                  <c:v>2.5982540840591559</c:v>
                </c:pt>
                <c:pt idx="175">
                  <c:v>2.578503536609186</c:v>
                </c:pt>
                <c:pt idx="176">
                  <c:v>2.558932721828298</c:v>
                </c:pt>
                <c:pt idx="177">
                  <c:v>2.5395389320271478</c:v>
                </c:pt>
                <c:pt idx="178">
                  <c:v>2.5203195155801179</c:v>
                </c:pt>
                <c:pt idx="179">
                  <c:v>2.5012718754637233</c:v>
                </c:pt>
                <c:pt idx="180">
                  <c:v>2.4823934678407071</c:v>
                </c:pt>
                <c:pt idx="181">
                  <c:v>2.4636818006880765</c:v>
                </c:pt>
                <c:pt idx="182">
                  <c:v>2.4451344324675701</c:v>
                </c:pt>
                <c:pt idx="183">
                  <c:v>2.4267489708369903</c:v>
                </c:pt>
                <c:pt idx="184">
                  <c:v>2.4085230714009507</c:v>
                </c:pt>
                <c:pt idx="185">
                  <c:v>2.3904544364996672</c:v>
                </c:pt>
                <c:pt idx="186">
                  <c:v>2.3725408140344277</c:v>
                </c:pt>
                <c:pt idx="187">
                  <c:v>2.3547799963284533</c:v>
                </c:pt>
                <c:pt idx="188">
                  <c:v>2.3371698190219115</c:v>
                </c:pt>
                <c:pt idx="189">
                  <c:v>2.3197081599999185</c:v>
                </c:pt>
                <c:pt idx="190">
                  <c:v>2.3023929383523463</c:v>
                </c:pt>
                <c:pt idx="191">
                  <c:v>2.2852221133643771</c:v>
                </c:pt>
                <c:pt idx="192">
                  <c:v>2.2681936835367313</c:v>
                </c:pt>
                <c:pt idx="193">
                  <c:v>2.2513056856345619</c:v>
                </c:pt>
                <c:pt idx="194">
                  <c:v>2.2345561937640461</c:v>
                </c:pt>
                <c:pt idx="195">
                  <c:v>2.2179433184757036</c:v>
                </c:pt>
                <c:pt idx="196">
                  <c:v>2.2014652058936162</c:v>
                </c:pt>
                <c:pt idx="197">
                  <c:v>2.185120036869594</c:v>
                </c:pt>
                <c:pt idx="198">
                  <c:v>2.1689060261615367</c:v>
                </c:pt>
                <c:pt idx="199">
                  <c:v>2.1528214216350974</c:v>
                </c:pt>
                <c:pt idx="200">
                  <c:v>2.1368645034879949</c:v>
                </c:pt>
                <c:pt idx="201">
                  <c:v>2.1210335834961036</c:v>
                </c:pt>
                <c:pt idx="202">
                  <c:v>2.1053270042807166</c:v>
                </c:pt>
                <c:pt idx="203">
                  <c:v>2.0897431385962215</c:v>
                </c:pt>
                <c:pt idx="204">
                  <c:v>2.0742803886375594</c:v>
                </c:pt>
                <c:pt idx="205">
                  <c:v>2.0589371853668204</c:v>
                </c:pt>
                <c:pt idx="206">
                  <c:v>2.0437119878583401</c:v>
                </c:pt>
                <c:pt idx="207">
                  <c:v>2.0286032826617877</c:v>
                </c:pt>
                <c:pt idx="208">
                  <c:v>2.0136095831825211</c:v>
                </c:pt>
                <c:pt idx="209">
                  <c:v>1.9987294290788249</c:v>
                </c:pt>
                <c:pt idx="210">
                  <c:v>1.9839613856753942</c:v>
                </c:pt>
                <c:pt idx="211">
                  <c:v>1.9693040433925821</c:v>
                </c:pt>
                <c:pt idx="212">
                  <c:v>1.9547560171909275</c:v>
                </c:pt>
                <c:pt idx="213">
                  <c:v>1.9403159460304791</c:v>
                </c:pt>
                <c:pt idx="214">
                  <c:v>1.9259824923444477</c:v>
                </c:pt>
                <c:pt idx="215">
                  <c:v>1.9117543415267819</c:v>
                </c:pt>
                <c:pt idx="216">
                  <c:v>1.8976302014331596</c:v>
                </c:pt>
                <c:pt idx="217">
                  <c:v>1.8836088018950969</c:v>
                </c:pt>
                <c:pt idx="218">
                  <c:v>1.8696888942466638</c:v>
                </c:pt>
                <c:pt idx="219">
                  <c:v>1.8558692508635077</c:v>
                </c:pt>
                <c:pt idx="220">
                  <c:v>1.8421486647137522</c:v>
                </c:pt>
                <c:pt idx="221">
                  <c:v>1.8285259489204693</c:v>
                </c:pt>
                <c:pt idx="222">
                  <c:v>1.8149999363353293</c:v>
                </c:pt>
                <c:pt idx="223">
                  <c:v>1.8015694791231156</c:v>
                </c:pt>
                <c:pt idx="224">
                  <c:v>1.7882334483567965</c:v>
                </c:pt>
                <c:pt idx="225">
                  <c:v>1.7749907336228199</c:v>
                </c:pt>
                <c:pt idx="226">
                  <c:v>1.761840242636328</c:v>
                </c:pt>
                <c:pt idx="227">
                  <c:v>1.7487809008660185</c:v>
                </c:pt>
                <c:pt idx="228">
                  <c:v>1.7358116511683661</c:v>
                </c:pt>
                <c:pt idx="229">
                  <c:v>1.7229314534309148</c:v>
                </c:pt>
                <c:pt idx="230">
                  <c:v>1.7101392842244152</c:v>
                </c:pt>
                <c:pt idx="231">
                  <c:v>1.6974341364634797</c:v>
                </c:pt>
                <c:pt idx="232">
                  <c:v>1.6848150190756279</c:v>
                </c:pt>
                <c:pt idx="233">
                  <c:v>1.6722809566783503</c:v>
                </c:pt>
                <c:pt idx="234">
                  <c:v>1.6598309892640579</c:v>
                </c:pt>
                <c:pt idx="235">
                  <c:v>1.6474641718926553</c:v>
                </c:pt>
                <c:pt idx="236">
                  <c:v>1.6351795743915261</c:v>
                </c:pt>
                <c:pt idx="237">
                  <c:v>1.6229762810627189</c:v>
                </c:pt>
                <c:pt idx="238">
                  <c:v>1.6108533903971385</c:v>
                </c:pt>
                <c:pt idx="239">
                  <c:v>1.5988100147955462</c:v>
                </c:pt>
                <c:pt idx="240">
                  <c:v>1.5868452802961823</c:v>
                </c:pt>
                <c:pt idx="241">
                  <c:v>1.5749583263088207</c:v>
                </c:pt>
                <c:pt idx="242">
                  <c:v>1.5631483053550606</c:v>
                </c:pt>
                <c:pt idx="243">
                  <c:v>1.551414382814742</c:v>
                </c:pt>
                <c:pt idx="244">
                  <c:v>1.5397557366782524</c:v>
                </c:pt>
                <c:pt idx="245">
                  <c:v>1.528171557304592</c:v>
                </c:pt>
                <c:pt idx="246">
                  <c:v>1.5166610471850543</c:v>
                </c:pt>
                <c:pt idx="247">
                  <c:v>1.5052234207123438</c:v>
                </c:pt>
                <c:pt idx="248">
                  <c:v>1.4938579039549995</c:v>
                </c:pt>
                <c:pt idx="249">
                  <c:v>1.4825637344369889</c:v>
                </c:pt>
                <c:pt idx="250">
                  <c:v>1.4713401609222891</c:v>
                </c:pt>
                <c:pt idx="251">
                  <c:v>1.4601864432044256</c:v>
                </c:pt>
                <c:pt idx="252">
                  <c:v>1.4491018519006784</c:v>
                </c:pt>
                <c:pt idx="253">
                  <c:v>1.4380856682510124</c:v>
                </c:pt>
                <c:pt idx="254">
                  <c:v>1.4271371839214588</c:v>
                </c:pt>
                <c:pt idx="255">
                  <c:v>1.4162557008118908</c:v>
                </c:pt>
                <c:pt idx="256">
                  <c:v>1.4054405308681255</c:v>
                </c:pt>
                <c:pt idx="257">
                  <c:v>1.3946909958981495</c:v>
                </c:pt>
                <c:pt idx="258">
                  <c:v>1.3840064273924026</c:v>
                </c:pt>
                <c:pt idx="259">
                  <c:v>1.3733861663480467</c:v>
                </c:pt>
                <c:pt idx="260">
                  <c:v>1.3628295630970511</c:v>
                </c:pt>
                <c:pt idx="261">
                  <c:v>1.3523359771380639</c:v>
                </c:pt>
                <c:pt idx="262">
                  <c:v>1.3419047769719201</c:v>
                </c:pt>
                <c:pt idx="263">
                  <c:v>1.3315353399407219</c:v>
                </c:pt>
                <c:pt idx="264">
                  <c:v>1.3212270520703742</c:v>
                </c:pt>
                <c:pt idx="265">
                  <c:v>1.310979307916553</c:v>
                </c:pt>
                <c:pt idx="266">
                  <c:v>1.3007915104139214</c:v>
                </c:pt>
                <c:pt idx="267">
                  <c:v>1.2906630707286006</c:v>
                </c:pt>
                <c:pt idx="268">
                  <c:v>1.280593408113754</c:v>
                </c:pt>
                <c:pt idx="269">
                  <c:v>1.2705819497682644</c:v>
                </c:pt>
                <c:pt idx="270">
                  <c:v>1.2606281306983569</c:v>
                </c:pt>
                <c:pt idx="271">
                  <c:v>1.2507313935821485</c:v>
                </c:pt>
                <c:pt idx="272">
                  <c:v>1.2408911886370519</c:v>
                </c:pt>
                <c:pt idx="273">
                  <c:v>1.2311069734899232</c:v>
                </c:pt>
                <c:pt idx="274">
                  <c:v>1.2213782130499229</c:v>
                </c:pt>
                <c:pt idx="275">
                  <c:v>1.2117043793840203</c:v>
                </c:pt>
                <c:pt idx="276">
                  <c:v>1.2020849515950434</c:v>
                </c:pt>
                <c:pt idx="277">
                  <c:v>1.1925194157022745</c:v>
                </c:pt>
                <c:pt idx="278">
                  <c:v>1.1830072645244603</c:v>
                </c:pt>
                <c:pt idx="279">
                  <c:v>1.173547997565235</c:v>
                </c:pt>
                <c:pt idx="280">
                  <c:v>1.1641411209008723</c:v>
                </c:pt>
                <c:pt idx="281">
                  <c:v>1.1547861470702989</c:v>
                </c:pt>
                <c:pt idx="282">
                  <c:v>1.1454825949673564</c:v>
                </c:pt>
                <c:pt idx="283">
                  <c:v>1.1362299897352157</c:v>
                </c:pt>
                <c:pt idx="284">
                  <c:v>1.1270278626629104</c:v>
                </c:pt>
                <c:pt idx="285">
                  <c:v>1.1178757510839592</c:v>
                </c:pt>
                <c:pt idx="286">
                  <c:v>1.1087731982769857</c:v>
                </c:pt>
                <c:pt idx="287">
                  <c:v>1.099719753368317</c:v>
                </c:pt>
                <c:pt idx="288">
                  <c:v>1.090714971236534</c:v>
                </c:pt>
                <c:pt idx="289">
                  <c:v>1.0817584124188644</c:v>
                </c:pt>
                <c:pt idx="290">
                  <c:v>1.0728496430194476</c:v>
                </c:pt>
                <c:pt idx="291">
                  <c:v>1.0639882346193961</c:v>
                </c:pt>
                <c:pt idx="292">
                  <c:v>1.055173764188581</c:v>
                </c:pt>
                <c:pt idx="293">
                  <c:v>1.0464058139991796</c:v>
                </c:pt>
                <c:pt idx="294">
                  <c:v>1.037683971540855</c:v>
                </c:pt>
                <c:pt idx="295">
                  <c:v>1.0290078294376113</c:v>
                </c:pt>
                <c:pt idx="296">
                  <c:v>1.0203769853662314</c:v>
                </c:pt>
                <c:pt idx="297">
                  <c:v>1.0117910419762768</c:v>
                </c:pt>
                <c:pt idx="298">
                  <c:v>1.0032496068116272</c:v>
                </c:pt>
                <c:pt idx="299">
                  <c:v>0.99475229223352124</c:v>
                </c:pt>
                <c:pt idx="300">
                  <c:v>0.98629871534503888</c:v>
                </c:pt>
                <c:pt idx="301">
                  <c:v>0.97788849791703492</c:v>
                </c:pt>
                <c:pt idx="302">
                  <c:v>0.96952126631546387</c:v>
                </c:pt>
                <c:pt idx="303">
                  <c:v>0.96119665143006983</c:v>
                </c:pt>
                <c:pt idx="304">
                  <c:v>0.95291428860440486</c:v>
                </c:pt>
                <c:pt idx="305">
                  <c:v>0.94467381756717994</c:v>
                </c:pt>
                <c:pt idx="306">
                  <c:v>0.93647488236486232</c:v>
                </c:pt>
                <c:pt idx="307">
                  <c:v>0.92831713129556193</c:v>
                </c:pt>
                <c:pt idx="308">
                  <c:v>0.92020021684410724</c:v>
                </c:pt>
                <c:pt idx="309">
                  <c:v>0.91212379561833257</c:v>
                </c:pt>
                <c:pt idx="310">
                  <c:v>0.90408752828655048</c:v>
                </c:pt>
                <c:pt idx="311">
                  <c:v>0.89609107951613531</c:v>
                </c:pt>
                <c:pt idx="312">
                  <c:v>0.88813411791327146</c:v>
                </c:pt>
                <c:pt idx="313">
                  <c:v>0.8802163159637646</c:v>
                </c:pt>
                <c:pt idx="314">
                  <c:v>0.87233734997494705</c:v>
                </c:pt>
                <c:pt idx="315">
                  <c:v>0.86449690001862023</c:v>
                </c:pt>
                <c:pt idx="316">
                  <c:v>0.85669464987504662</c:v>
                </c:pt>
                <c:pt idx="317">
                  <c:v>0.84893028697792505</c:v>
                </c:pt>
                <c:pt idx="318">
                  <c:v>0.8412035023603589</c:v>
                </c:pt>
                <c:pt idx="319">
                  <c:v>0.83351399060181919</c:v>
                </c:pt>
                <c:pt idx="320">
                  <c:v>0.82586144977599041</c:v>
                </c:pt>
                <c:pt idx="321">
                  <c:v>0.81824558139961079</c:v>
                </c:pt>
                <c:pt idx="322">
                  <c:v>0.81066609038217152</c:v>
                </c:pt>
                <c:pt idx="323">
                  <c:v>0.80312268497651917</c:v>
                </c:pt>
                <c:pt idx="324">
                  <c:v>0.79561507673032805</c:v>
                </c:pt>
                <c:pt idx="325">
                  <c:v>0.7881429804384269</c:v>
                </c:pt>
                <c:pt idx="326">
                  <c:v>0.78070611409594748</c:v>
                </c:pt>
                <c:pt idx="327">
                  <c:v>0.77330419885229851</c:v>
                </c:pt>
                <c:pt idx="328">
                  <c:v>0.76593695896593572</c:v>
                </c:pt>
                <c:pt idx="329">
                  <c:v>0.75860412175992598</c:v>
                </c:pt>
                <c:pt idx="330">
                  <c:v>0.75130541757825697</c:v>
                </c:pt>
                <c:pt idx="331">
                  <c:v>0.74404057974291571</c:v>
                </c:pt>
                <c:pt idx="332">
                  <c:v>0.73680934451171054</c:v>
                </c:pt>
                <c:pt idx="333">
                  <c:v>0.72961145103679292</c:v>
                </c:pt>
                <c:pt idx="334">
                  <c:v>0.72244664132390057</c:v>
                </c:pt>
                <c:pt idx="335">
                  <c:v>0.71531466019229617</c:v>
                </c:pt>
                <c:pt idx="336">
                  <c:v>0.70821525523538797</c:v>
                </c:pt>
                <c:pt idx="337">
                  <c:v>0.70114817678198971</c:v>
                </c:pt>
                <c:pt idx="338">
                  <c:v>0.69411317785827276</c:v>
                </c:pt>
                <c:pt idx="339">
                  <c:v>0.68711001415033479</c:v>
                </c:pt>
                <c:pt idx="340">
                  <c:v>0.6801384439673972</c:v>
                </c:pt>
                <c:pt idx="341">
                  <c:v>0.67319822820562003</c:v>
                </c:pt>
                <c:pt idx="342">
                  <c:v>0.66628913031252734</c:v>
                </c:pt>
                <c:pt idx="343">
                  <c:v>0.65941091625201464</c:v>
                </c:pt>
                <c:pt idx="344">
                  <c:v>0.65256335446992741</c:v>
                </c:pt>
                <c:pt idx="345">
                  <c:v>0.64574621586024372</c:v>
                </c:pt>
                <c:pt idx="346">
                  <c:v>0.63895927373176031</c:v>
                </c:pt>
                <c:pt idx="347">
                  <c:v>0.63220230377538322</c:v>
                </c:pt>
                <c:pt idx="348">
                  <c:v>0.62547508403190111</c:v>
                </c:pt>
                <c:pt idx="349">
                  <c:v>0.6187773948603249</c:v>
                </c:pt>
                <c:pt idx="350">
                  <c:v>0.61210901890672875</c:v>
                </c:pt>
                <c:pt idx="351">
                  <c:v>0.60546974107358398</c:v>
                </c:pt>
                <c:pt idx="352">
                  <c:v>0.59885934848961753</c:v>
                </c:pt>
                <c:pt idx="353">
                  <c:v>0.59227763048012882</c:v>
                </c:pt>
                <c:pt idx="354">
                  <c:v>0.58572437853780113</c:v>
                </c:pt>
                <c:pt idx="355">
                  <c:v>0.57919938629397671</c:v>
                </c:pt>
                <c:pt idx="356">
                  <c:v>0.57270244949039983</c:v>
                </c:pt>
                <c:pt idx="357">
                  <c:v>0.56623336595139206</c:v>
                </c:pt>
                <c:pt idx="358">
                  <c:v>0.55979193555649009</c:v>
                </c:pt>
                <c:pt idx="359">
                  <c:v>0.55337796021350594</c:v>
                </c:pt>
                <c:pt idx="360">
                  <c:v>0.54699124383202258</c:v>
                </c:pt>
                <c:pt idx="361">
                  <c:v>0.54063159229730751</c:v>
                </c:pt>
                <c:pt idx="362">
                  <c:v>0.53429881344461683</c:v>
                </c:pt>
                <c:pt idx="363">
                  <c:v>0.52799271703393347</c:v>
                </c:pt>
                <c:pt idx="364">
                  <c:v>0.52171311472508564</c:v>
                </c:pt>
                <c:pt idx="365">
                  <c:v>0.51545982005324942</c:v>
                </c:pt>
                <c:pt idx="366">
                  <c:v>0.50923264840484417</c:v>
                </c:pt>
                <c:pt idx="367">
                  <c:v>0.5030314169937915</c:v>
                </c:pt>
                <c:pt idx="368">
                  <c:v>0.49685594483815315</c:v>
                </c:pt>
                <c:pt idx="369">
                  <c:v>0.49070605273711848</c:v>
                </c:pt>
                <c:pt idx="370">
                  <c:v>0.48458156324835627</c:v>
                </c:pt>
                <c:pt idx="371">
                  <c:v>0.47848230066571223</c:v>
                </c:pt>
                <c:pt idx="372">
                  <c:v>0.47240809099723885</c:v>
                </c:pt>
                <c:pt idx="373">
                  <c:v>0.46635876194357734</c:v>
                </c:pt>
                <c:pt idx="374">
                  <c:v>0.4603341428766578</c:v>
                </c:pt>
                <c:pt idx="375">
                  <c:v>0.45433406481872457</c:v>
                </c:pt>
                <c:pt idx="376">
                  <c:v>0.44835836042167854</c:v>
                </c:pt>
                <c:pt idx="377">
                  <c:v>0.4424068639467521</c:v>
                </c:pt>
                <c:pt idx="378">
                  <c:v>0.43647941124444373</c:v>
                </c:pt>
                <c:pt idx="379">
                  <c:v>0.4305758397348125</c:v>
                </c:pt>
                <c:pt idx="380">
                  <c:v>0.42469598838802991</c:v>
                </c:pt>
                <c:pt idx="381">
                  <c:v>0.41883969770522617</c:v>
                </c:pt>
                <c:pt idx="382">
                  <c:v>0.4130068096996381</c:v>
                </c:pt>
                <c:pt idx="383">
                  <c:v>0.40719716787802929</c:v>
                </c:pt>
                <c:pt idx="384">
                  <c:v>0.40141061722237509</c:v>
                </c:pt>
                <c:pt idx="385">
                  <c:v>0.39564700417185267</c:v>
                </c:pt>
                <c:pt idx="386">
                  <c:v>0.38990617660504823</c:v>
                </c:pt>
                <c:pt idx="387">
                  <c:v>0.38418798382246921</c:v>
                </c:pt>
                <c:pt idx="388">
                  <c:v>0.37849227652929768</c:v>
                </c:pt>
                <c:pt idx="389">
                  <c:v>0.37281890681838847</c:v>
                </c:pt>
                <c:pt idx="390">
                  <c:v>0.36716772815352938</c:v>
                </c:pt>
                <c:pt idx="391">
                  <c:v>0.36153859535293814</c:v>
                </c:pt>
                <c:pt idx="392">
                  <c:v>0.35593136457300645</c:v>
                </c:pt>
                <c:pt idx="393">
                  <c:v>0.35034589329226695</c:v>
                </c:pt>
                <c:pt idx="394">
                  <c:v>0.3447820402956126</c:v>
                </c:pt>
                <c:pt idx="395">
                  <c:v>0.33923966565872365</c:v>
                </c:pt>
                <c:pt idx="396">
                  <c:v>0.33371863073272656</c:v>
                </c:pt>
                <c:pt idx="397">
                  <c:v>0.32821879812908195</c:v>
                </c:pt>
                <c:pt idx="398">
                  <c:v>0.32274003170468374</c:v>
                </c:pt>
                <c:pt idx="399">
                  <c:v>0.3172821965471545</c:v>
                </c:pt>
                <c:pt idx="400">
                  <c:v>0.31184515896039511</c:v>
                </c:pt>
                <c:pt idx="401">
                  <c:v>0.30642878645027644</c:v>
                </c:pt>
                <c:pt idx="402">
                  <c:v>0.30103294771059425</c:v>
                </c:pt>
                <c:pt idx="403">
                  <c:v>0.29565751260918854</c:v>
                </c:pt>
                <c:pt idx="404">
                  <c:v>0.2903023521742748</c:v>
                </c:pt>
                <c:pt idx="405">
                  <c:v>0.28496733858094886</c:v>
                </c:pt>
                <c:pt idx="406">
                  <c:v>0.27965234513791259</c:v>
                </c:pt>
                <c:pt idx="407">
                  <c:v>0.27435724627435071</c:v>
                </c:pt>
                <c:pt idx="408">
                  <c:v>0.2690819175270267</c:v>
                </c:pt>
                <c:pt idx="409">
                  <c:v>0.26382623552751144</c:v>
                </c:pt>
                <c:pt idx="410">
                  <c:v>0.25859007798966271</c:v>
                </c:pt>
                <c:pt idx="411">
                  <c:v>0.25337332369719262</c:v>
                </c:pt>
                <c:pt idx="412">
                  <c:v>0.24817585249147517</c:v>
                </c:pt>
                <c:pt idx="413">
                  <c:v>0.24299754525949252</c:v>
                </c:pt>
                <c:pt idx="414">
                  <c:v>0.23783828392194462</c:v>
                </c:pt>
                <c:pt idx="415">
                  <c:v>0.2326979514215452</c:v>
                </c:pt>
                <c:pt idx="416">
                  <c:v>0.22757643171144515</c:v>
                </c:pt>
                <c:pt idx="417">
                  <c:v>0.222473609743854</c:v>
                </c:pt>
                <c:pt idx="418">
                  <c:v>0.2173893714587804</c:v>
                </c:pt>
                <c:pt idx="419">
                  <c:v>0.21232360377294865</c:v>
                </c:pt>
                <c:pt idx="420">
                  <c:v>0.20727619456886315</c:v>
                </c:pt>
                <c:pt idx="421">
                  <c:v>0.20224703268400962</c:v>
                </c:pt>
                <c:pt idx="422">
                  <c:v>0.19723600790022083</c:v>
                </c:pt>
                <c:pt idx="423">
                  <c:v>0.19224301093316359</c:v>
                </c:pt>
                <c:pt idx="424">
                  <c:v>0.18726793342199699</c:v>
                </c:pt>
                <c:pt idx="425">
                  <c:v>0.1823106679191388</c:v>
                </c:pt>
                <c:pt idx="426">
                  <c:v>0.17737110788019186</c:v>
                </c:pt>
                <c:pt idx="427">
                  <c:v>0.17244914765399741</c:v>
                </c:pt>
                <c:pt idx="428">
                  <c:v>0.16754468247281104</c:v>
                </c:pt>
                <c:pt idx="429">
                  <c:v>0.16265760844263211</c:v>
                </c:pt>
                <c:pt idx="430">
                  <c:v>0.15778782253365078</c:v>
                </c:pt>
                <c:pt idx="431">
                  <c:v>0.15293522257080477</c:v>
                </c:pt>
                <c:pt idx="432">
                  <c:v>0.14809970722449392</c:v>
                </c:pt>
                <c:pt idx="433">
                  <c:v>0.1432811760014025</c:v>
                </c:pt>
                <c:pt idx="434">
                  <c:v>0.13847952923541984</c:v>
                </c:pt>
                <c:pt idx="435">
                  <c:v>0.13369466807871974</c:v>
                </c:pt>
                <c:pt idx="436">
                  <c:v>0.12892649449294633</c:v>
                </c:pt>
                <c:pt idx="437">
                  <c:v>0.12417491124047804</c:v>
                </c:pt>
                <c:pt idx="438">
                  <c:v>0.11943982187586906</c:v>
                </c:pt>
                <c:pt idx="439">
                  <c:v>0.11472113073735088</c:v>
                </c:pt>
                <c:pt idx="440">
                  <c:v>0.11001874293846443</c:v>
                </c:pt>
                <c:pt idx="441">
                  <c:v>0.10533256435980765</c:v>
                </c:pt>
                <c:pt idx="442">
                  <c:v>0.10066250164086732</c:v>
                </c:pt>
                <c:pt idx="443">
                  <c:v>9.6008462171989287E-2</c:v>
                </c:pt>
                <c:pt idx="444">
                  <c:v>9.1370354086419331E-2</c:v>
                </c:pt>
                <c:pt idx="445">
                  <c:v>8.6748086252470658E-2</c:v>
                </c:pt>
                <c:pt idx="446">
                  <c:v>8.2141568265773915E-2</c:v>
                </c:pt>
                <c:pt idx="447">
                  <c:v>7.75507104416438E-2</c:v>
                </c:pt>
                <c:pt idx="448">
                  <c:v>7.297542380753326E-2</c:v>
                </c:pt>
                <c:pt idx="449">
                  <c:v>6.8415620095580928E-2</c:v>
                </c:pt>
                <c:pt idx="450">
                  <c:v>6.3871211735267927E-2</c:v>
                </c:pt>
                <c:pt idx="451">
                  <c:v>5.9342111846147558E-2</c:v>
                </c:pt>
                <c:pt idx="452">
                  <c:v>5.4828234230685252E-2</c:v>
                </c:pt>
                <c:pt idx="453">
                  <c:v>5.0329493367176723E-2</c:v>
                </c:pt>
                <c:pt idx="454">
                  <c:v>4.5845804402771757E-2</c:v>
                </c:pt>
                <c:pt idx="455">
                  <c:v>4.1377083146566532E-2</c:v>
                </c:pt>
                <c:pt idx="456">
                  <c:v>3.6923246062790155E-2</c:v>
                </c:pt>
                <c:pt idx="457">
                  <c:v>3.2484210264082748E-2</c:v>
                </c:pt>
                <c:pt idx="458">
                  <c:v>2.8059893504862404E-2</c:v>
                </c:pt>
                <c:pt idx="459">
                  <c:v>2.3650214174742584E-2</c:v>
                </c:pt>
                <c:pt idx="460">
                  <c:v>1.925509129207546E-2</c:v>
                </c:pt>
                <c:pt idx="461">
                  <c:v>1.4874444497547433E-2</c:v>
                </c:pt>
                <c:pt idx="462">
                  <c:v>1.0508194047867072E-2</c:v>
                </c:pt>
                <c:pt idx="463">
                  <c:v>6.1562608095221067E-3</c:v>
                </c:pt>
                <c:pt idx="464">
                  <c:v>1.8185662526179359E-3</c:v>
                </c:pt>
                <c:pt idx="465">
                  <c:v>-2.5049675552084294E-3</c:v>
                </c:pt>
                <c:pt idx="466">
                  <c:v>-6.8144179547925407E-3</c:v>
                </c:pt>
                <c:pt idx="467">
                  <c:v>-1.1109861701384251E-2</c:v>
                </c:pt>
                <c:pt idx="468">
                  <c:v>-1.5391374970501925E-2</c:v>
                </c:pt>
                <c:pt idx="469">
                  <c:v>-1.9659033363746602E-2</c:v>
                </c:pt>
                <c:pt idx="470">
                  <c:v>-2.3912911914493424E-2</c:v>
                </c:pt>
                <c:pt idx="471">
                  <c:v>-2.815308509356242E-2</c:v>
                </c:pt>
                <c:pt idx="472">
                  <c:v>-3.2379626814791188E-2</c:v>
                </c:pt>
                <c:pt idx="473">
                  <c:v>-3.6592610440552308E-2</c:v>
                </c:pt>
                <c:pt idx="474">
                  <c:v>-4.0792108787207432E-2</c:v>
                </c:pt>
                <c:pt idx="475">
                  <c:v>-4.4978194130466553E-2</c:v>
                </c:pt>
                <c:pt idx="476">
                  <c:v>-4.9150938210734664E-2</c:v>
                </c:pt>
                <c:pt idx="477">
                  <c:v>-5.3310412238335859E-2</c:v>
                </c:pt>
                <c:pt idx="478">
                  <c:v>-5.7456686898719592E-2</c:v>
                </c:pt>
                <c:pt idx="479">
                  <c:v>-6.1589832357586194E-2</c:v>
                </c:pt>
                <c:pt idx="480">
                  <c:v>-6.5709918265939041E-2</c:v>
                </c:pt>
                <c:pt idx="481">
                  <c:v>-6.9817013765106212E-2</c:v>
                </c:pt>
                <c:pt idx="482">
                  <c:v>-7.391118749166628E-2</c:v>
                </c:pt>
                <c:pt idx="483">
                  <c:v>-7.7992507582354251E-2</c:v>
                </c:pt>
                <c:pt idx="484">
                  <c:v>-8.2061041678874569E-2</c:v>
                </c:pt>
                <c:pt idx="485">
                  <c:v>-8.6116856932678301E-2</c:v>
                </c:pt>
                <c:pt idx="486">
                  <c:v>-9.0160020009670952E-2</c:v>
                </c:pt>
                <c:pt idx="487">
                  <c:v>-9.4190597094882228E-2</c:v>
                </c:pt>
                <c:pt idx="488">
                  <c:v>-9.8208653897047554E-2</c:v>
                </c:pt>
                <c:pt idx="489">
                  <c:v>-0.10221425565318876</c:v>
                </c:pt>
                <c:pt idx="490">
                  <c:v>-0.10620746713307469</c:v>
                </c:pt>
                <c:pt idx="491">
                  <c:v>-0.11018835264368869</c:v>
                </c:pt>
                <c:pt idx="492">
                  <c:v>-0.1141569760336065</c:v>
                </c:pt>
                <c:pt idx="493">
                  <c:v>-0.11811340069734581</c:v>
                </c:pt>
                <c:pt idx="494">
                  <c:v>-0.12205768957964383</c:v>
                </c:pt>
                <c:pt idx="495">
                  <c:v>-0.12598990517969966</c:v>
                </c:pt>
                <c:pt idx="496">
                  <c:v>-0.129910109555371</c:v>
                </c:pt>
                <c:pt idx="497">
                  <c:v>-0.13381836432729663</c:v>
                </c:pt>
                <c:pt idx="498">
                  <c:v>-0.1377147306830151</c:v>
                </c:pt>
                <c:pt idx="499">
                  <c:v>-0.14159926938099152</c:v>
                </c:pt>
                <c:pt idx="500">
                  <c:v>-0.14547204075461204</c:v>
                </c:pt>
                <c:pt idx="501">
                  <c:v>-1.2892635116920539</c:v>
                </c:pt>
                <c:pt idx="502">
                  <c:v>-2.2733573234420623</c:v>
                </c:pt>
                <c:pt idx="503">
                  <c:v>-3.041980346515599</c:v>
                </c:pt>
              </c:numCache>
            </c:numRef>
          </c:xVal>
          <c:yVal>
            <c:numRef>
              <c:f>MSY!$G$44:$G$547</c:f>
              <c:numCache>
                <c:formatCode>General</c:formatCode>
                <c:ptCount val="504"/>
                <c:pt idx="0">
                  <c:v>2.914803736686416E-5</c:v>
                </c:pt>
                <c:pt idx="1">
                  <c:v>0.27304398896818233</c:v>
                </c:pt>
                <c:pt idx="2">
                  <c:v>0.51281605101056194</c:v>
                </c:pt>
                <c:pt idx="3">
                  <c:v>0.72400581381951945</c:v>
                </c:pt>
                <c:pt idx="4">
                  <c:v>0.91050609253656378</c:v>
                </c:pt>
                <c:pt idx="5">
                  <c:v>1.0755727349274968</c:v>
                </c:pt>
                <c:pt idx="6">
                  <c:v>1.2219476063613954</c:v>
                </c:pt>
                <c:pt idx="7">
                  <c:v>1.3519542579358321</c:v>
                </c:pt>
                <c:pt idx="8">
                  <c:v>1.4675730981922595</c:v>
                </c:pt>
                <c:pt idx="9">
                  <c:v>1.5705010098770316</c:v>
                </c:pt>
                <c:pt idx="10">
                  <c:v>1.6621990371843163</c:v>
                </c:pt>
                <c:pt idx="11">
                  <c:v>1.7439308344906912</c:v>
                </c:pt>
                <c:pt idx="12">
                  <c:v>1.8167938956536049</c:v>
                </c:pt>
                <c:pt idx="13">
                  <c:v>1.8817450940482598</c:v>
                </c:pt>
                <c:pt idx="14">
                  <c:v>1.9396217038856089</c:v>
                </c:pt>
                <c:pt idx="15">
                  <c:v>1.9911588060957366</c:v>
                </c:pt>
                <c:pt idx="16">
                  <c:v>2.0370037815441675</c:v>
                </c:pt>
                <c:pt idx="17">
                  <c:v>2.0777284425541551</c:v>
                </c:pt>
                <c:pt idx="18">
                  <c:v>2.1138392378271735</c:v>
                </c:pt>
                <c:pt idx="19">
                  <c:v>2.1457858766871878</c:v>
                </c:pt>
                <c:pt idx="20">
                  <c:v>2.173968649449848</c:v>
                </c:pt>
                <c:pt idx="21">
                  <c:v>2.1987446667517236</c:v>
                </c:pt>
                <c:pt idx="22">
                  <c:v>2.2204331982614707</c:v>
                </c:pt>
                <c:pt idx="23">
                  <c:v>2.2393202576500992</c:v>
                </c:pt>
                <c:pt idx="24">
                  <c:v>2.2556625540075705</c:v>
                </c:pt>
                <c:pt idx="25">
                  <c:v>2.269690908535932</c:v>
                </c:pt>
                <c:pt idx="26">
                  <c:v>2.2816132181667914</c:v>
                </c:pt>
                <c:pt idx="27">
                  <c:v>2.2916170338556863</c:v>
                </c:pt>
                <c:pt idx="28">
                  <c:v>2.2998718100137019</c:v>
                </c:pt>
                <c:pt idx="29">
                  <c:v>2.3065308723166775</c:v>
                </c:pt>
                <c:pt idx="30">
                  <c:v>2.3117331435704997</c:v>
                </c:pt>
                <c:pt idx="31">
                  <c:v>2.3156046610825411</c:v>
                </c:pt>
                <c:pt idx="32">
                  <c:v>2.3182599138379025</c:v>
                </c:pt>
                <c:pt idx="33">
                  <c:v>2.3198030235019598</c:v>
                </c:pt>
                <c:pt idx="34">
                  <c:v>2.3203287897058655</c:v>
                </c:pt>
                <c:pt idx="35">
                  <c:v>2.3199236170898287</c:v>
                </c:pt>
                <c:pt idx="36">
                  <c:v>2.3186663390761426</c:v>
                </c:pt>
                <c:pt idx="37">
                  <c:v>2.3166289512361455</c:v>
                </c:pt>
                <c:pt idx="38">
                  <c:v>2.3138772653344453</c:v>
                </c:pt>
                <c:pt idx="39">
                  <c:v>2.3104714936245649</c:v>
                </c:pt>
                <c:pt idx="40">
                  <c:v>2.306466771687373</c:v>
                </c:pt>
                <c:pt idx="41">
                  <c:v>2.3019136270101468</c:v>
                </c:pt>
                <c:pt idx="42">
                  <c:v>2.2968583995695155</c:v>
                </c:pt>
                <c:pt idx="43">
                  <c:v>2.2913436198804105</c:v>
                </c:pt>
                <c:pt idx="44">
                  <c:v>2.285408349284932</c:v>
                </c:pt>
                <c:pt idx="45">
                  <c:v>2.2790884866621814</c:v>
                </c:pt>
                <c:pt idx="46">
                  <c:v>2.2724170452282357</c:v>
                </c:pt>
                <c:pt idx="47">
                  <c:v>2.2654244026525157</c:v>
                </c:pt>
                <c:pt idx="48">
                  <c:v>2.2581385273325787</c:v>
                </c:pt>
                <c:pt idx="49">
                  <c:v>2.2505851833355002</c:v>
                </c:pt>
                <c:pt idx="50">
                  <c:v>2.24278811622314</c:v>
                </c:pt>
                <c:pt idx="51">
                  <c:v>2.2347692217248012</c:v>
                </c:pt>
                <c:pt idx="52">
                  <c:v>2.2265486989988399</c:v>
                </c:pt>
                <c:pt idx="53">
                  <c:v>2.2181451900303721</c:v>
                </c:pt>
                <c:pt idx="54">
                  <c:v>2.2095759065415765</c:v>
                </c:pt>
                <c:pt idx="55">
                  <c:v>2.2008567456410715</c:v>
                </c:pt>
                <c:pt idx="56">
                  <c:v>2.1920023953067438</c:v>
                </c:pt>
                <c:pt idx="57">
                  <c:v>2.1830264306798139</c:v>
                </c:pt>
                <c:pt idx="58">
                  <c:v>2.1739414020450298</c:v>
                </c:pt>
                <c:pt idx="59">
                  <c:v>2.1647589152806566</c:v>
                </c:pt>
                <c:pt idx="60">
                  <c:v>2.1554897054812558</c:v>
                </c:pt>
                <c:pt idx="61">
                  <c:v>2.1461437043845444</c:v>
                </c:pt>
                <c:pt idx="62">
                  <c:v>2.1367301021699161</c:v>
                </c:pt>
                <c:pt idx="63">
                  <c:v>2.1272574041395176</c:v>
                </c:pt>
                <c:pt idx="64">
                  <c:v>2.1177334827422656</c:v>
                </c:pt>
                <c:pt idx="65">
                  <c:v>2.1081656253560737</c:v>
                </c:pt>
                <c:pt idx="66">
                  <c:v>2.0985605782033105</c:v>
                </c:pt>
                <c:pt idx="67">
                  <c:v>2.0889245867384556</c:v>
                </c:pt>
                <c:pt idx="68">
                  <c:v>2.0792634328146629</c:v>
                </c:pt>
                <c:pt idx="69">
                  <c:v>2.0695824689069902</c:v>
                </c:pt>
                <c:pt idx="70">
                  <c:v>2.0598866496441053</c:v>
                </c:pt>
                <c:pt idx="71">
                  <c:v>2.0501805608769268</c:v>
                </c:pt>
                <c:pt idx="72">
                  <c:v>2.0404684464916505</c:v>
                </c:pt>
                <c:pt idx="73">
                  <c:v>2.0307542331557391</c:v>
                </c:pt>
                <c:pt idx="74">
                  <c:v>2.0210415531683918</c:v>
                </c:pt>
                <c:pt idx="75">
                  <c:v>2.0113337655716381</c:v>
                </c:pt>
                <c:pt idx="76">
                  <c:v>2.0016339756643102</c:v>
                </c:pt>
                <c:pt idx="77">
                  <c:v>1.9919450530486216</c:v>
                </c:pt>
                <c:pt idx="78">
                  <c:v>1.9822696483276958</c:v>
                </c:pt>
                <c:pt idx="79">
                  <c:v>1.9726102085621231</c:v>
                </c:pt>
                <c:pt idx="80">
                  <c:v>1.9629689915842869</c:v>
                </c:pt>
                <c:pt idx="81">
                  <c:v>1.9533480792607902</c:v>
                </c:pt>
                <c:pt idx="82">
                  <c:v>1.9437493897855564</c:v>
                </c:pt>
                <c:pt idx="83">
                  <c:v>1.9341746890793194</c:v>
                </c:pt>
                <c:pt idx="84">
                  <c:v>1.9246256013647649</c:v>
                </c:pt>
                <c:pt idx="85">
                  <c:v>1.9151036189808996</c:v>
                </c:pt>
                <c:pt idx="86">
                  <c:v>1.9056101114949253</c:v>
                </c:pt>
                <c:pt idx="87">
                  <c:v>1.8961463341651443</c:v>
                </c:pt>
                <c:pt idx="88">
                  <c:v>1.8867134358040138</c:v>
                </c:pt>
                <c:pt idx="89">
                  <c:v>1.8773124660865257</c:v>
                </c:pt>
                <c:pt idx="90">
                  <c:v>1.8679443823454329</c:v>
                </c:pt>
                <c:pt idx="91">
                  <c:v>1.8586100558915299</c:v>
                </c:pt>
                <c:pt idx="92">
                  <c:v>1.8493102778941231</c:v>
                </c:pt>
                <c:pt idx="93">
                  <c:v>1.8400457648541011</c:v>
                </c:pt>
                <c:pt idx="94">
                  <c:v>1.8308171636994495</c:v>
                </c:pt>
                <c:pt idx="95">
                  <c:v>1.8216250565306746</c:v>
                </c:pt>
                <c:pt idx="96">
                  <c:v>1.8124699650415572</c:v>
                </c:pt>
                <c:pt idx="97">
                  <c:v>1.8033523546386321</c:v>
                </c:pt>
                <c:pt idx="98">
                  <c:v>1.7942726382809828</c:v>
                </c:pt>
                <c:pt idx="99">
                  <c:v>1.7852311800603653</c:v>
                </c:pt>
                <c:pt idx="100">
                  <c:v>1.7762282985400653</c:v>
                </c:pt>
                <c:pt idx="101">
                  <c:v>1.7672642698695775</c:v>
                </c:pt>
                <c:pt idx="102">
                  <c:v>1.7583393306908597</c:v>
                </c:pt>
                <c:pt idx="103">
                  <c:v>1.7494536808507788</c:v>
                </c:pt>
                <c:pt idx="104">
                  <c:v>1.7406074859332386</c:v>
                </c:pt>
                <c:pt idx="105">
                  <c:v>1.7318008796235227</c:v>
                </c:pt>
                <c:pt idx="106">
                  <c:v>1.7230339659164342</c:v>
                </c:pt>
                <c:pt idx="107">
                  <c:v>1.7143068211789765</c:v>
                </c:pt>
                <c:pt idx="108">
                  <c:v>1.7056194960775501</c:v>
                </c:pt>
                <c:pt idx="109">
                  <c:v>1.6969720173788787</c:v>
                </c:pt>
                <c:pt idx="110">
                  <c:v>1.6883643896332658</c:v>
                </c:pt>
                <c:pt idx="111">
                  <c:v>1.6797965967481325</c:v>
                </c:pt>
                <c:pt idx="112">
                  <c:v>1.6712686034592099</c:v>
                </c:pt>
                <c:pt idx="113">
                  <c:v>1.6627803567062767</c:v>
                </c:pt>
                <c:pt idx="114">
                  <c:v>1.6543317869197984</c:v>
                </c:pt>
                <c:pt idx="115">
                  <c:v>1.6459228092244178</c:v>
                </c:pt>
                <c:pt idx="116">
                  <c:v>1.6375533245647884</c:v>
                </c:pt>
                <c:pt idx="117">
                  <c:v>1.6292232207589006</c:v>
                </c:pt>
                <c:pt idx="118">
                  <c:v>1.6209323734836529</c:v>
                </c:pt>
                <c:pt idx="119">
                  <c:v>1.6126806471971338</c:v>
                </c:pt>
                <c:pt idx="120">
                  <c:v>1.6044678960017258</c:v>
                </c:pt>
                <c:pt idx="121">
                  <c:v>1.5962939644519025</c:v>
                </c:pt>
                <c:pt idx="122">
                  <c:v>1.5881586883102981</c:v>
                </c:pt>
                <c:pt idx="123">
                  <c:v>1.5800618952553918</c:v>
                </c:pt>
                <c:pt idx="124">
                  <c:v>1.5720034055439429</c:v>
                </c:pt>
                <c:pt idx="125">
                  <c:v>1.5639830326310575</c:v>
                </c:pt>
                <c:pt idx="126">
                  <c:v>1.5560005837506241</c:v>
                </c:pt>
                <c:pt idx="127">
                  <c:v>1.5480558604586325</c:v>
                </c:pt>
                <c:pt idx="128">
                  <c:v>1.540148659141749</c:v>
                </c:pt>
                <c:pt idx="129">
                  <c:v>1.5322787714933415</c:v>
                </c:pt>
                <c:pt idx="130">
                  <c:v>1.5244459849590282</c:v>
                </c:pt>
                <c:pt idx="131">
                  <c:v>1.5166500831536585</c:v>
                </c:pt>
                <c:pt idx="132">
                  <c:v>1.5088908462515405</c:v>
                </c:pt>
                <c:pt idx="133">
                  <c:v>1.5011680513515737</c:v>
                </c:pt>
                <c:pt idx="134">
                  <c:v>1.493481472818881</c:v>
                </c:pt>
                <c:pt idx="135">
                  <c:v>1.4858308826043805</c:v>
                </c:pt>
                <c:pt idx="136">
                  <c:v>1.4782160505437039</c:v>
                </c:pt>
                <c:pt idx="137">
                  <c:v>1.4706367446367159</c:v>
                </c:pt>
                <c:pt idx="138">
                  <c:v>1.4630927313088504</c:v>
                </c:pt>
                <c:pt idx="139">
                  <c:v>1.455583775655396</c:v>
                </c:pt>
                <c:pt idx="140">
                  <c:v>1.4481096416697581</c:v>
                </c:pt>
                <c:pt idx="141">
                  <c:v>1.4406700924567297</c:v>
                </c:pt>
                <c:pt idx="142">
                  <c:v>1.4332648904316345</c:v>
                </c:pt>
                <c:pt idx="143">
                  <c:v>1.4258937975062649</c:v>
                </c:pt>
                <c:pt idx="144">
                  <c:v>1.4185565752623883</c:v>
                </c:pt>
                <c:pt idx="145">
                  <c:v>1.4112529851136018</c:v>
                </c:pt>
                <c:pt idx="146">
                  <c:v>1.4039827884562333</c:v>
                </c:pt>
                <c:pt idx="147">
                  <c:v>1.3967457468099715</c:v>
                </c:pt>
                <c:pt idx="148">
                  <c:v>1.3895416219488421</c:v>
                </c:pt>
                <c:pt idx="149">
                  <c:v>1.3823701760231177</c:v>
                </c:pt>
                <c:pt idx="150">
                  <c:v>1.3752311716727206</c:v>
                </c:pt>
                <c:pt idx="151">
                  <c:v>1.3681243721326228</c:v>
                </c:pt>
                <c:pt idx="152">
                  <c:v>1.3610495413307491</c:v>
                </c:pt>
                <c:pt idx="153">
                  <c:v>1.3540064439788091</c:v>
                </c:pt>
                <c:pt idx="154">
                  <c:v>1.3469948456565242</c:v>
                </c:pt>
                <c:pt idx="155">
                  <c:v>1.3400145128896122</c:v>
                </c:pt>
                <c:pt idx="156">
                  <c:v>1.3330652132219387</c:v>
                </c:pt>
                <c:pt idx="157">
                  <c:v>1.3261467152821695</c:v>
                </c:pt>
                <c:pt idx="158">
                  <c:v>1.3192587888452718</c:v>
                </c:pt>
                <c:pt idx="159">
                  <c:v>1.3124012048891556</c:v>
                </c:pt>
                <c:pt idx="160">
                  <c:v>1.3055737356467889</c:v>
                </c:pt>
                <c:pt idx="161">
                  <c:v>1.2987761546540053</c:v>
                </c:pt>
                <c:pt idx="162">
                  <c:v>1.2920082367933265</c:v>
                </c:pt>
                <c:pt idx="163">
                  <c:v>1.2852697583340014</c:v>
                </c:pt>
                <c:pt idx="164">
                  <c:v>1.2785604969685009</c:v>
                </c:pt>
                <c:pt idx="165">
                  <c:v>1.2718802318456945</c:v>
                </c:pt>
                <c:pt idx="166">
                  <c:v>1.2652287436009078</c:v>
                </c:pt>
                <c:pt idx="167">
                  <c:v>1.2586058143830408</c:v>
                </c:pt>
                <c:pt idx="168">
                  <c:v>1.2520112278789524</c:v>
                </c:pt>
                <c:pt idx="169">
                  <c:v>1.2454447693352431</c:v>
                </c:pt>
                <c:pt idx="170">
                  <c:v>1.2389062255776373</c:v>
                </c:pt>
                <c:pt idx="171">
                  <c:v>1.2323953850280789</c:v>
                </c:pt>
                <c:pt idx="172">
                  <c:v>1.2259120377197119</c:v>
                </c:pt>
                <c:pt idx="173">
                  <c:v>1.219455975309846</c:v>
                </c:pt>
                <c:pt idx="174">
                  <c:v>1.2130269910910658</c:v>
                </c:pt>
                <c:pt idx="175">
                  <c:v>1.2066248800005792</c:v>
                </c:pt>
                <c:pt idx="176">
                  <c:v>1.200249438627923</c:v>
                </c:pt>
                <c:pt idx="177">
                  <c:v>1.1939004652211276</c:v>
                </c:pt>
                <c:pt idx="178">
                  <c:v>1.1875777596914503</c:v>
                </c:pt>
                <c:pt idx="179">
                  <c:v>1.1812811236167462</c:v>
                </c:pt>
                <c:pt idx="180">
                  <c:v>1.1750103602435937</c:v>
                </c:pt>
                <c:pt idx="181">
                  <c:v>1.1687652744882271</c:v>
                </c:pt>
                <c:pt idx="182">
                  <c:v>1.1625456729363828</c:v>
                </c:pt>
                <c:pt idx="183">
                  <c:v>1.1563513638421079</c:v>
                </c:pt>
                <c:pt idx="184">
                  <c:v>1.1501821571256077</c:v>
                </c:pt>
                <c:pt idx="185">
                  <c:v>1.1440378643702072</c:v>
                </c:pt>
                <c:pt idx="186">
                  <c:v>1.1379182988184708</c:v>
                </c:pt>
                <c:pt idx="187">
                  <c:v>1.1318232753675523</c:v>
                </c:pt>
                <c:pt idx="188">
                  <c:v>1.1257526105638131</c:v>
                </c:pt>
                <c:pt idx="189">
                  <c:v>1.1197061225967821</c:v>
                </c:pt>
                <c:pt idx="190">
                  <c:v>1.1136836312924778</c:v>
                </c:pt>
                <c:pt idx="191">
                  <c:v>1.1076849581061634</c:v>
                </c:pt>
                <c:pt idx="192">
                  <c:v>1.1017099261145606</c:v>
                </c:pt>
                <c:pt idx="193">
                  <c:v>1.0957583600075693</c:v>
                </c:pt>
                <c:pt idx="194">
                  <c:v>1.0898300860795331</c:v>
                </c:pt>
                <c:pt idx="195">
                  <c:v>1.0839249322200697</c:v>
                </c:pt>
                <c:pt idx="196">
                  <c:v>1.0780427279045319</c:v>
                </c:pt>
                <c:pt idx="197">
                  <c:v>1.0721833041840936</c:v>
                </c:pt>
                <c:pt idx="198">
                  <c:v>1.0663464936755238</c:v>
                </c:pt>
                <c:pt idx="199">
                  <c:v>1.0605321305506412</c:v>
                </c:pt>
                <c:pt idx="200">
                  <c:v>1.0547400505255202</c:v>
                </c:pt>
                <c:pt idx="201">
                  <c:v>1.0489700908494257</c:v>
                </c:pt>
                <c:pt idx="202">
                  <c:v>1.0432220902935379</c:v>
                </c:pt>
                <c:pt idx="203">
                  <c:v>1.0374958891394648</c:v>
                </c:pt>
                <c:pt idx="204">
                  <c:v>1.0317913291675802</c:v>
                </c:pt>
                <c:pt idx="205">
                  <c:v>1.0261082536451895</c:v>
                </c:pt>
                <c:pt idx="206">
                  <c:v>1.020446507314549</c:v>
                </c:pt>
                <c:pt idx="207">
                  <c:v>1.0148059363807795</c:v>
                </c:pt>
                <c:pt idx="208">
                  <c:v>1.0091863884996339</c:v>
                </c:pt>
                <c:pt idx="209">
                  <c:v>1.0035877127651927</c:v>
                </c:pt>
                <c:pt idx="210">
                  <c:v>0.99800975969747241</c:v>
                </c:pt>
                <c:pt idx="211">
                  <c:v>0.99245238122995505</c:v>
                </c:pt>
                <c:pt idx="212">
                  <c:v>0.98691543069707299</c:v>
                </c:pt>
                <c:pt idx="213">
                  <c:v>0.98139876282164151</c:v>
                </c:pt>
                <c:pt idx="214">
                  <c:v>0.97590223370225626</c:v>
                </c:pt>
                <c:pt idx="215">
                  <c:v>0.97042570080068102</c:v>
                </c:pt>
                <c:pt idx="216">
                  <c:v>0.96496902292919451</c:v>
                </c:pt>
                <c:pt idx="217">
                  <c:v>0.95953206023796345</c:v>
                </c:pt>
                <c:pt idx="218">
                  <c:v>0.95411467420239526</c:v>
                </c:pt>
                <c:pt idx="219">
                  <c:v>0.94871672761051451</c:v>
                </c:pt>
                <c:pt idx="220">
                  <c:v>0.94333808455035195</c:v>
                </c:pt>
                <c:pt idx="221">
                  <c:v>0.93797861039736519</c:v>
                </c:pt>
                <c:pt idx="222">
                  <c:v>0.93263817180188924</c:v>
                </c:pt>
                <c:pt idx="223">
                  <c:v>0.9273166366766169</c:v>
                </c:pt>
                <c:pt idx="224">
                  <c:v>0.92201387418413927</c:v>
                </c:pt>
                <c:pt idx="225">
                  <c:v>0.91672975472452456</c:v>
                </c:pt>
                <c:pt idx="226">
                  <c:v>0.91146414992294877</c:v>
                </c:pt>
                <c:pt idx="227">
                  <c:v>0.90621693261739045</c:v>
                </c:pt>
                <c:pt idx="228">
                  <c:v>0.90098797684638876</c:v>
                </c:pt>
                <c:pt idx="229">
                  <c:v>0.89577715783685996</c:v>
                </c:pt>
                <c:pt idx="230">
                  <c:v>0.89058435199200003</c:v>
                </c:pt>
                <c:pt idx="231">
                  <c:v>0.88540943687923201</c:v>
                </c:pt>
                <c:pt idx="232">
                  <c:v>0.8802522912182642</c:v>
                </c:pt>
                <c:pt idx="233">
                  <c:v>0.8751127948692019</c:v>
                </c:pt>
                <c:pt idx="234">
                  <c:v>0.86999082882075007</c:v>
                </c:pt>
                <c:pt idx="235">
                  <c:v>0.86488627517850136</c:v>
                </c:pt>
                <c:pt idx="236">
                  <c:v>0.85979901715330675</c:v>
                </c:pt>
                <c:pt idx="237">
                  <c:v>0.85472893904973812</c:v>
                </c:pt>
                <c:pt idx="238">
                  <c:v>0.84967592625463295</c:v>
                </c:pt>
                <c:pt idx="239">
                  <c:v>0.84463986522573931</c:v>
                </c:pt>
                <c:pt idx="240">
                  <c:v>0.8396206434804494</c:v>
                </c:pt>
                <c:pt idx="241">
                  <c:v>0.83461814958463143</c:v>
                </c:pt>
                <c:pt idx="242">
                  <c:v>0.82963227314154298</c:v>
                </c:pt>
                <c:pt idx="243">
                  <c:v>0.82466290478086046</c:v>
                </c:pt>
                <c:pt idx="244">
                  <c:v>0.81970993614779331</c:v>
                </c:pt>
                <c:pt idx="245">
                  <c:v>0.81477325989229388</c:v>
                </c:pt>
                <c:pt idx="246">
                  <c:v>0.80985276965837727</c:v>
                </c:pt>
                <c:pt idx="247">
                  <c:v>0.80494836007352832</c:v>
                </c:pt>
                <c:pt idx="248">
                  <c:v>0.80005992673821602</c:v>
                </c:pt>
                <c:pt idx="249">
                  <c:v>0.79518736621550601</c:v>
                </c:pt>
                <c:pt idx="250">
                  <c:v>0.79033057602076107</c:v>
                </c:pt>
                <c:pt idx="251">
                  <c:v>0.78548945461147246</c:v>
                </c:pt>
                <c:pt idx="252">
                  <c:v>0.78066390137714869</c:v>
                </c:pt>
                <c:pt idx="253">
                  <c:v>0.77585381662934727</c:v>
                </c:pt>
                <c:pt idx="254">
                  <c:v>0.77105910159177815</c:v>
                </c:pt>
                <c:pt idx="255">
                  <c:v>0.76627965839050827</c:v>
                </c:pt>
                <c:pt idx="256">
                  <c:v>0.76151539004428936</c:v>
                </c:pt>
                <c:pt idx="257">
                  <c:v>0.75676620045496312</c:v>
                </c:pt>
                <c:pt idx="258">
                  <c:v>0.75203199439796764</c:v>
                </c:pt>
                <c:pt idx="259">
                  <c:v>0.74731267751295627</c:v>
                </c:pt>
                <c:pt idx="260">
                  <c:v>0.74260815629449872</c:v>
                </c:pt>
                <c:pt idx="261">
                  <c:v>0.73791833808289631</c:v>
                </c:pt>
                <c:pt idx="262">
                  <c:v>0.73324313105508487</c:v>
                </c:pt>
                <c:pt idx="263">
                  <c:v>0.72858244421563734</c:v>
                </c:pt>
                <c:pt idx="264">
                  <c:v>0.72393618738785748</c:v>
                </c:pt>
                <c:pt idx="265">
                  <c:v>0.7193042712049893</c:v>
                </c:pt>
                <c:pt idx="266">
                  <c:v>0.71468660710149523</c:v>
                </c:pt>
                <c:pt idx="267">
                  <c:v>0.71008310730445201</c:v>
                </c:pt>
                <c:pt idx="268">
                  <c:v>0.70549368482502484</c:v>
                </c:pt>
                <c:pt idx="269">
                  <c:v>0.7009182534500511</c:v>
                </c:pt>
                <c:pt idx="270">
                  <c:v>0.69635672773370227</c:v>
                </c:pt>
                <c:pt idx="271">
                  <c:v>0.69180902298924229</c:v>
                </c:pt>
                <c:pt idx="272">
                  <c:v>0.68727505528088806</c:v>
                </c:pt>
                <c:pt idx="273">
                  <c:v>0.68275474141574555</c:v>
                </c:pt>
                <c:pt idx="274">
                  <c:v>0.67824799893584686</c:v>
                </c:pt>
                <c:pt idx="275">
                  <c:v>0.67375474611027475</c:v>
                </c:pt>
                <c:pt idx="276">
                  <c:v>0.66927490192736716</c:v>
                </c:pt>
                <c:pt idx="277">
                  <c:v>0.6648083860870273</c:v>
                </c:pt>
                <c:pt idx="278">
                  <c:v>0.66035511899310084</c:v>
                </c:pt>
                <c:pt idx="279">
                  <c:v>0.65591502174585359</c:v>
                </c:pt>
                <c:pt idx="280">
                  <c:v>0.65148801613453255</c:v>
                </c:pt>
                <c:pt idx="281">
                  <c:v>0.64707402463000252</c:v>
                </c:pt>
                <c:pt idx="282">
                  <c:v>0.64267297037747972</c:v>
                </c:pt>
                <c:pt idx="283">
                  <c:v>0.63828477718933974</c:v>
                </c:pt>
                <c:pt idx="284">
                  <c:v>0.63390936953800736</c:v>
                </c:pt>
                <c:pt idx="285">
                  <c:v>0.62954667254893748</c:v>
                </c:pt>
                <c:pt idx="286">
                  <c:v>0.62519661199366472</c:v>
                </c:pt>
                <c:pt idx="287">
                  <c:v>0.62085911428293572</c:v>
                </c:pt>
                <c:pt idx="288">
                  <c:v>0.61653410645993201</c:v>
                </c:pt>
                <c:pt idx="289">
                  <c:v>0.61222151619355025</c:v>
                </c:pt>
                <c:pt idx="290">
                  <c:v>0.60792127177177746</c:v>
                </c:pt>
                <c:pt idx="291">
                  <c:v>0.60363330209513932</c:v>
                </c:pt>
                <c:pt idx="292">
                  <c:v>0.59935753667021252</c:v>
                </c:pt>
                <c:pt idx="293">
                  <c:v>0.5950939056032305</c:v>
                </c:pt>
                <c:pt idx="294">
                  <c:v>0.59084233959374333</c:v>
                </c:pt>
                <c:pt idx="295">
                  <c:v>0.58660276992836902</c:v>
                </c:pt>
                <c:pt idx="296">
                  <c:v>0.5823751284746076</c:v>
                </c:pt>
                <c:pt idx="297">
                  <c:v>0.57815934767472388</c:v>
                </c:pt>
                <c:pt idx="298">
                  <c:v>0.5739553605397083</c:v>
                </c:pt>
                <c:pt idx="299">
                  <c:v>0.56976310064330704</c:v>
                </c:pt>
                <c:pt idx="300">
                  <c:v>0.56558250211611338</c:v>
                </c:pt>
                <c:pt idx="301">
                  <c:v>0.56141349963973852</c:v>
                </c:pt>
                <c:pt idx="302">
                  <c:v>0.55725602844104216</c:v>
                </c:pt>
                <c:pt idx="303">
                  <c:v>0.55311002428643552</c:v>
                </c:pt>
                <c:pt idx="304">
                  <c:v>0.54897542347623918</c:v>
                </c:pt>
                <c:pt idx="305">
                  <c:v>0.54485216283912474</c:v>
                </c:pt>
                <c:pt idx="306">
                  <c:v>0.5407401797265996</c:v>
                </c:pt>
                <c:pt idx="307">
                  <c:v>0.53663941200757703</c:v>
                </c:pt>
                <c:pt idx="308">
                  <c:v>0.53254979806299263</c:v>
                </c:pt>
                <c:pt idx="309">
                  <c:v>0.52847127678048733</c:v>
                </c:pt>
                <c:pt idx="310">
                  <c:v>0.52440378754916195</c:v>
                </c:pt>
                <c:pt idx="311">
                  <c:v>0.52034727025437177</c:v>
                </c:pt>
                <c:pt idx="312">
                  <c:v>0.51630166527260546</c:v>
                </c:pt>
                <c:pt idx="313">
                  <c:v>0.51226691346640418</c:v>
                </c:pt>
                <c:pt idx="314">
                  <c:v>0.50824295617935011</c:v>
                </c:pt>
                <c:pt idx="315">
                  <c:v>0.5042297352311057</c:v>
                </c:pt>
                <c:pt idx="316">
                  <c:v>0.50022719291252016</c:v>
                </c:pt>
                <c:pt idx="317">
                  <c:v>0.49623527198078043</c:v>
                </c:pt>
                <c:pt idx="318">
                  <c:v>0.49225391565462168</c:v>
                </c:pt>
                <c:pt idx="319">
                  <c:v>0.48828306760960827</c:v>
                </c:pt>
                <c:pt idx="320">
                  <c:v>0.48432267197343615</c:v>
                </c:pt>
                <c:pt idx="321">
                  <c:v>0.48037267332132644</c:v>
                </c:pt>
                <c:pt idx="322">
                  <c:v>0.47643301667144583</c:v>
                </c:pt>
                <c:pt idx="323">
                  <c:v>0.47250364748038881</c:v>
                </c:pt>
                <c:pt idx="324">
                  <c:v>0.46858451163871312</c:v>
                </c:pt>
                <c:pt idx="325">
                  <c:v>0.46467555546652584</c:v>
                </c:pt>
                <c:pt idx="326">
                  <c:v>0.4607767257091166</c:v>
                </c:pt>
                <c:pt idx="327">
                  <c:v>0.45688796953264366</c:v>
                </c:pt>
                <c:pt idx="328">
                  <c:v>0.45300923451986741</c:v>
                </c:pt>
                <c:pt idx="329">
                  <c:v>0.44914046866594082</c:v>
                </c:pt>
                <c:pt idx="330">
                  <c:v>0.44528162037423141</c:v>
                </c:pt>
                <c:pt idx="331">
                  <c:v>0.44143263845220609</c:v>
                </c:pt>
                <c:pt idx="332">
                  <c:v>0.43759347210736027</c:v>
                </c:pt>
                <c:pt idx="333">
                  <c:v>0.4337640709431867</c:v>
                </c:pt>
                <c:pt idx="334">
                  <c:v>0.42994438495519305</c:v>
                </c:pt>
                <c:pt idx="335">
                  <c:v>0.42613436452697051</c:v>
                </c:pt>
                <c:pt idx="336">
                  <c:v>0.42233396042630433</c:v>
                </c:pt>
                <c:pt idx="337">
                  <c:v>0.41854312380131575</c:v>
                </c:pt>
                <c:pt idx="338">
                  <c:v>0.41476180617667036</c:v>
                </c:pt>
                <c:pt idx="339">
                  <c:v>0.41098995944981365</c:v>
                </c:pt>
                <c:pt idx="340">
                  <c:v>0.40722753588725286</c:v>
                </c:pt>
                <c:pt idx="341">
                  <c:v>0.40347448812087977</c:v>
                </c:pt>
                <c:pt idx="342">
                  <c:v>0.39973076914434136</c:v>
                </c:pt>
                <c:pt idx="343">
                  <c:v>0.39599633230944503</c:v>
                </c:pt>
                <c:pt idx="344">
                  <c:v>0.39227113132259933</c:v>
                </c:pt>
                <c:pt idx="345">
                  <c:v>0.3885551202413155</c:v>
                </c:pt>
                <c:pt idx="346">
                  <c:v>0.3848482534707181</c:v>
                </c:pt>
                <c:pt idx="347">
                  <c:v>0.38115048576012683</c:v>
                </c:pt>
                <c:pt idx="348">
                  <c:v>0.37746177219964661</c:v>
                </c:pt>
                <c:pt idx="349">
                  <c:v>0.3737820682168192</c:v>
                </c:pt>
                <c:pt idx="350">
                  <c:v>0.37011132957330362</c:v>
                </c:pt>
                <c:pt idx="351">
                  <c:v>0.36644951236158679</c:v>
                </c:pt>
                <c:pt idx="352">
                  <c:v>0.36279657300174711</c:v>
                </c:pt>
                <c:pt idx="353">
                  <c:v>0.35915246823823627</c:v>
                </c:pt>
                <c:pt idx="354">
                  <c:v>0.3555171551367094</c:v>
                </c:pt>
                <c:pt idx="355">
                  <c:v>0.35189059108088477</c:v>
                </c:pt>
                <c:pt idx="356">
                  <c:v>0.34827273376944495</c:v>
                </c:pt>
                <c:pt idx="357">
                  <c:v>0.34466354121296094</c:v>
                </c:pt>
                <c:pt idx="358">
                  <c:v>0.34106297173086109</c:v>
                </c:pt>
                <c:pt idx="359">
                  <c:v>0.33747098394842784</c:v>
                </c:pt>
                <c:pt idx="360">
                  <c:v>0.33388753679383193</c:v>
                </c:pt>
                <c:pt idx="361">
                  <c:v>0.33031258949519909</c:v>
                </c:pt>
                <c:pt idx="362">
                  <c:v>0.32674610157769823</c:v>
                </c:pt>
                <c:pt idx="363">
                  <c:v>0.32318803286067843</c:v>
                </c:pt>
                <c:pt idx="364">
                  <c:v>0.3196383434548295</c:v>
                </c:pt>
                <c:pt idx="365">
                  <c:v>0.31609699375937028</c:v>
                </c:pt>
                <c:pt idx="366">
                  <c:v>0.31256394445927493</c:v>
                </c:pt>
                <c:pt idx="367">
                  <c:v>0.30903915652252406</c:v>
                </c:pt>
                <c:pt idx="368">
                  <c:v>0.30552259119739072</c:v>
                </c:pt>
                <c:pt idx="369">
                  <c:v>0.30201421000975121</c:v>
                </c:pt>
                <c:pt idx="370">
                  <c:v>0.29851397476042973</c:v>
                </c:pt>
                <c:pt idx="371">
                  <c:v>0.29502184752257177</c:v>
                </c:pt>
                <c:pt idx="372">
                  <c:v>0.29153779063903984</c:v>
                </c:pt>
                <c:pt idx="373">
                  <c:v>0.28806176671984735</c:v>
                </c:pt>
                <c:pt idx="374">
                  <c:v>0.28459373863961412</c:v>
                </c:pt>
                <c:pt idx="375">
                  <c:v>0.28113366953504937</c:v>
                </c:pt>
                <c:pt idx="376">
                  <c:v>0.27768152280246289</c:v>
                </c:pt>
                <c:pt idx="377">
                  <c:v>0.27423726209531363</c:v>
                </c:pt>
                <c:pt idx="378">
                  <c:v>0.2708008513217578</c:v>
                </c:pt>
                <c:pt idx="379">
                  <c:v>0.26737225464225817</c:v>
                </c:pt>
                <c:pt idx="380">
                  <c:v>0.26395143646719588</c:v>
                </c:pt>
                <c:pt idx="381">
                  <c:v>0.26053836145450998</c:v>
                </c:pt>
                <c:pt idx="382">
                  <c:v>0.25713299450737226</c:v>
                </c:pt>
                <c:pt idx="383">
                  <c:v>0.25373530077188161</c:v>
                </c:pt>
                <c:pt idx="384">
                  <c:v>0.25034524563477711</c:v>
                </c:pt>
                <c:pt idx="385">
                  <c:v>0.24696279472119476</c:v>
                </c:pt>
                <c:pt idx="386">
                  <c:v>0.24358791389242038</c:v>
                </c:pt>
                <c:pt idx="387">
                  <c:v>0.24022056924369112</c:v>
                </c:pt>
                <c:pt idx="388">
                  <c:v>0.23686072710201161</c:v>
                </c:pt>
                <c:pt idx="389">
                  <c:v>0.23350835402398823</c:v>
                </c:pt>
                <c:pt idx="390">
                  <c:v>0.23016341679369448</c:v>
                </c:pt>
                <c:pt idx="391">
                  <c:v>0.22682588242055501</c:v>
                </c:pt>
                <c:pt idx="392">
                  <c:v>0.22349571813725613</c:v>
                </c:pt>
                <c:pt idx="393">
                  <c:v>0.22017289139767032</c:v>
                </c:pt>
                <c:pt idx="394">
                  <c:v>0.2168573698748158</c:v>
                </c:pt>
                <c:pt idx="395">
                  <c:v>0.21354912145882485</c:v>
                </c:pt>
                <c:pt idx="396">
                  <c:v>0.21024811425493847</c:v>
                </c:pt>
                <c:pt idx="397">
                  <c:v>0.2069543165815271</c:v>
                </c:pt>
                <c:pt idx="398">
                  <c:v>0.20366769696813</c:v>
                </c:pt>
                <c:pt idx="399">
                  <c:v>0.20038822415350332</c:v>
                </c:pt>
                <c:pt idx="400">
                  <c:v>0.19711586708371764</c:v>
                </c:pt>
                <c:pt idx="401">
                  <c:v>0.19385059491023587</c:v>
                </c:pt>
                <c:pt idx="402">
                  <c:v>0.19059237698804782</c:v>
                </c:pt>
                <c:pt idx="403">
                  <c:v>0.18734118287380416</c:v>
                </c:pt>
                <c:pt idx="404">
                  <c:v>0.18409698232397884</c:v>
                </c:pt>
                <c:pt idx="405">
                  <c:v>0.18085974529303953</c:v>
                </c:pt>
                <c:pt idx="406">
                  <c:v>0.17762944193165628</c:v>
                </c:pt>
                <c:pt idx="407">
                  <c:v>0.17440604258490738</c:v>
                </c:pt>
                <c:pt idx="408">
                  <c:v>0.17118951779052555</c:v>
                </c:pt>
                <c:pt idx="409">
                  <c:v>0.16797983827713375</c:v>
                </c:pt>
                <c:pt idx="410">
                  <c:v>0.16477697496254348</c:v>
                </c:pt>
                <c:pt idx="411">
                  <c:v>0.16158089895201933</c:v>
                </c:pt>
                <c:pt idx="412">
                  <c:v>0.15839158153660143</c:v>
                </c:pt>
                <c:pt idx="413">
                  <c:v>0.15520899419142889</c:v>
                </c:pt>
                <c:pt idx="414">
                  <c:v>0.15203310857407717</c:v>
                </c:pt>
                <c:pt idx="415">
                  <c:v>0.14886389652292781</c:v>
                </c:pt>
                <c:pt idx="416">
                  <c:v>0.14570133005553407</c:v>
                </c:pt>
                <c:pt idx="417">
                  <c:v>0.14254538136702805</c:v>
                </c:pt>
                <c:pt idx="418">
                  <c:v>0.13939602282852165</c:v>
                </c:pt>
                <c:pt idx="419">
                  <c:v>0.13625322698553755</c:v>
                </c:pt>
                <c:pt idx="420">
                  <c:v>0.13311696655645563</c:v>
                </c:pt>
                <c:pt idx="421">
                  <c:v>0.12998721443096742</c:v>
                </c:pt>
                <c:pt idx="422">
                  <c:v>0.12686394366855777</c:v>
                </c:pt>
                <c:pt idx="423">
                  <c:v>0.12374712749698867</c:v>
                </c:pt>
                <c:pt idx="424">
                  <c:v>0.12063673931081674</c:v>
                </c:pt>
                <c:pt idx="425">
                  <c:v>0.11753275266990679</c:v>
                </c:pt>
                <c:pt idx="426">
                  <c:v>0.11443514129797461</c:v>
                </c:pt>
                <c:pt idx="427">
                  <c:v>0.11134387908114007</c:v>
                </c:pt>
                <c:pt idx="428">
                  <c:v>0.10825894006648827</c:v>
                </c:pt>
                <c:pt idx="429">
                  <c:v>0.10518029846065977</c:v>
                </c:pt>
                <c:pt idx="430">
                  <c:v>0.10210792862844814</c:v>
                </c:pt>
                <c:pt idx="431">
                  <c:v>9.9041805091401439E-2</c:v>
                </c:pt>
                <c:pt idx="432">
                  <c:v>9.5981902526458177E-2</c:v>
                </c:pt>
                <c:pt idx="433">
                  <c:v>9.2928195764588301E-2</c:v>
                </c:pt>
                <c:pt idx="434">
                  <c:v>8.9880659789433104E-2</c:v>
                </c:pt>
                <c:pt idx="435">
                  <c:v>8.6839269735984326E-2</c:v>
                </c:pt>
                <c:pt idx="436">
                  <c:v>8.3804000889270022E-2</c:v>
                </c:pt>
                <c:pt idx="437">
                  <c:v>8.0774828683029667E-2</c:v>
                </c:pt>
                <c:pt idx="438">
                  <c:v>7.7751728698443254E-2</c:v>
                </c:pt>
                <c:pt idx="439">
                  <c:v>7.4734676662840685E-2</c:v>
                </c:pt>
                <c:pt idx="440">
                  <c:v>7.1723648448436608E-2</c:v>
                </c:pt>
                <c:pt idx="441">
                  <c:v>6.8718620071082731E-2</c:v>
                </c:pt>
                <c:pt idx="442">
                  <c:v>6.571956768901796E-2</c:v>
                </c:pt>
                <c:pt idx="443">
                  <c:v>6.272646760165268E-2</c:v>
                </c:pt>
                <c:pt idx="444">
                  <c:v>5.9739296248343732E-2</c:v>
                </c:pt>
                <c:pt idx="445">
                  <c:v>5.675803020719751E-2</c:v>
                </c:pt>
                <c:pt idx="446">
                  <c:v>5.3782646193873532E-2</c:v>
                </c:pt>
                <c:pt idx="447">
                  <c:v>5.0813121060411026E-2</c:v>
                </c:pt>
                <c:pt idx="448">
                  <c:v>4.7849431794061086E-2</c:v>
                </c:pt>
                <c:pt idx="449">
                  <c:v>4.4891555516128501E-2</c:v>
                </c:pt>
                <c:pt idx="450">
                  <c:v>4.1939469480834456E-2</c:v>
                </c:pt>
                <c:pt idx="451">
                  <c:v>3.8993151074177702E-2</c:v>
                </c:pt>
                <c:pt idx="452">
                  <c:v>3.6052577812818606E-2</c:v>
                </c:pt>
                <c:pt idx="453">
                  <c:v>3.3117727342966537E-2</c:v>
                </c:pt>
                <c:pt idx="454">
                  <c:v>3.0188577439288843E-2</c:v>
                </c:pt>
                <c:pt idx="455">
                  <c:v>2.7265106003818165E-2</c:v>
                </c:pt>
                <c:pt idx="456">
                  <c:v>2.434729106487549E-2</c:v>
                </c:pt>
                <c:pt idx="457">
                  <c:v>2.1435110776007862E-2</c:v>
                </c:pt>
                <c:pt idx="458">
                  <c:v>1.8528543414939921E-2</c:v>
                </c:pt>
                <c:pt idx="459">
                  <c:v>1.5627567382514466E-2</c:v>
                </c:pt>
                <c:pt idx="460">
                  <c:v>1.2732161201672466E-2</c:v>
                </c:pt>
                <c:pt idx="461">
                  <c:v>9.8423035164247503E-3</c:v>
                </c:pt>
                <c:pt idx="462">
                  <c:v>6.9579730908423216E-3</c:v>
                </c:pt>
                <c:pt idx="463">
                  <c:v>4.0791488080507655E-3</c:v>
                </c:pt>
                <c:pt idx="464">
                  <c:v>1.2058096692374267E-3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3E-4570-9706-28D15FDB65D3}"/>
            </c:ext>
          </c:extLst>
        </c:ser>
        <c:ser>
          <c:idx val="1"/>
          <c:order val="1"/>
          <c:tx>
            <c:strRef>
              <c:f>Plots!$Q$2</c:f>
              <c:strCache>
                <c:ptCount val="1"/>
                <c:pt idx="0">
                  <c:v>Fmax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(Plots!$S$2,Plots!$S$2)</c:f>
              <c:numCache>
                <c:formatCode>General</c:formatCode>
                <c:ptCount val="2"/>
                <c:pt idx="0">
                  <c:v>2.9181119799874535</c:v>
                </c:pt>
                <c:pt idx="1">
                  <c:v>2.9181119799874535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3E-4570-9706-28D15FDB65D3}"/>
            </c:ext>
          </c:extLst>
        </c:ser>
        <c:ser>
          <c:idx val="2"/>
          <c:order val="2"/>
          <c:tx>
            <c:strRef>
              <c:f>Plots!$Q$3</c:f>
              <c:strCache>
                <c:ptCount val="1"/>
                <c:pt idx="0">
                  <c:v>F0.1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(Plots!$S$3,Plots!$S$3)</c:f>
              <c:numCache>
                <c:formatCode>General</c:formatCode>
                <c:ptCount val="2"/>
                <c:pt idx="0">
                  <c:v>13.86850860156645</c:v>
                </c:pt>
                <c:pt idx="1">
                  <c:v>13.86850860156645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3E-4570-9706-28D15FDB65D3}"/>
            </c:ext>
          </c:extLst>
        </c:ser>
        <c:ser>
          <c:idx val="3"/>
          <c:order val="3"/>
          <c:tx>
            <c:strRef>
              <c:f>Plots!$Q$4</c:f>
              <c:strCache>
                <c:ptCount val="1"/>
                <c:pt idx="0">
                  <c:v>FMSY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(Plots!$S$4,Plots!$S$4)</c:f>
              <c:numCache>
                <c:formatCode>General</c:formatCode>
                <c:ptCount val="2"/>
                <c:pt idx="0">
                  <c:v>12.147382264741063</c:v>
                </c:pt>
                <c:pt idx="1">
                  <c:v>12.147382264741063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3E-4570-9706-28D15FDB65D3}"/>
            </c:ext>
          </c:extLst>
        </c:ser>
        <c:ser>
          <c:idx val="4"/>
          <c:order val="4"/>
          <c:tx>
            <c:strRef>
              <c:f>Plots!$Q$5</c:f>
              <c:strCache>
                <c:ptCount val="1"/>
                <c:pt idx="0">
                  <c:v>F0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(Plots!$S$5,Plots!$S$5)</c:f>
              <c:numCache>
                <c:formatCode>General</c:formatCode>
                <c:ptCount val="2"/>
                <c:pt idx="0">
                  <c:v>36.967898517909518</c:v>
                </c:pt>
                <c:pt idx="1">
                  <c:v>36.967898517909518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3E-4570-9706-28D15FDB6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28262543824357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MSY!$AC$2:$AC$59</c:f>
              <c:numCache>
                <c:formatCode>General</c:formatCode>
                <c:ptCount val="58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</c:numCache>
            </c:numRef>
          </c:xVal>
          <c:yVal>
            <c:numRef>
              <c:f>MSY!$AB$2:$AB$59</c:f>
              <c:numCache>
                <c:formatCode>General</c:formatCode>
                <c:ptCount val="58"/>
                <c:pt idx="0">
                  <c:v>8.4453279423370956E-2</c:v>
                </c:pt>
                <c:pt idx="1">
                  <c:v>0.39524377753933354</c:v>
                </c:pt>
                <c:pt idx="2">
                  <c:v>0.73193779610648491</c:v>
                </c:pt>
                <c:pt idx="3">
                  <c:v>1.2750021151947388</c:v>
                </c:pt>
                <c:pt idx="4">
                  <c:v>1.6939454190602172</c:v>
                </c:pt>
                <c:pt idx="5">
                  <c:v>2.0269565880963025</c:v>
                </c:pt>
                <c:pt idx="6">
                  <c:v>2.2980154295621702</c:v>
                </c:pt>
                <c:pt idx="7">
                  <c:v>2.5229388025018666</c:v>
                </c:pt>
                <c:pt idx="8">
                  <c:v>2.7125816328134724</c:v>
                </c:pt>
                <c:pt idx="9">
                  <c:v>2.8746411788307462</c:v>
                </c:pt>
                <c:pt idx="10">
                  <c:v>3.0147273863259021</c:v>
                </c:pt>
                <c:pt idx="11">
                  <c:v>3.1370255037745949</c:v>
                </c:pt>
                <c:pt idx="12">
                  <c:v>3.2447213508625108</c:v>
                </c:pt>
                <c:pt idx="13">
                  <c:v>3.3402828388086236</c:v>
                </c:pt>
                <c:pt idx="14">
                  <c:v>3.425651406885077</c:v>
                </c:pt>
                <c:pt idx="15">
                  <c:v>3.5023753026618314</c:v>
                </c:pt>
                <c:pt idx="16">
                  <c:v>3.5717043244291462</c:v>
                </c:pt>
                <c:pt idx="17">
                  <c:v>3.6346584284546708</c:v>
                </c:pt>
                <c:pt idx="18">
                  <c:v>3.6920782424658598</c:v>
                </c:pt>
                <c:pt idx="19">
                  <c:v>3.7446628181335258</c:v>
                </c:pt>
                <c:pt idx="20">
                  <c:v>3.7929982316459756</c:v>
                </c:pt>
                <c:pt idx="21">
                  <c:v>3.8375795202171474</c:v>
                </c:pt>
                <c:pt idx="22">
                  <c:v>3.878827698359832</c:v>
                </c:pt>
                <c:pt idx="23">
                  <c:v>3.9171030950392023</c:v>
                </c:pt>
                <c:pt idx="24">
                  <c:v>3.9527159074747984</c:v>
                </c:pt>
                <c:pt idx="25">
                  <c:v>3.9859346264848261</c:v>
                </c:pt>
                <c:pt idx="26">
                  <c:v>4.0169928178909018</c:v>
                </c:pt>
                <c:pt idx="27">
                  <c:v>4.046094622420159</c:v>
                </c:pt>
                <c:pt idx="28">
                  <c:v>4.0734192480089959</c:v>
                </c:pt>
                <c:pt idx="29">
                  <c:v>4.0991246634883494</c:v>
                </c:pt>
                <c:pt idx="30">
                  <c:v>4.1233506545206664</c:v>
                </c:pt>
                <c:pt idx="31">
                  <c:v>4.14622136666042</c:v>
                </c:pt>
                <c:pt idx="32">
                  <c:v>4.1678474332274096</c:v>
                </c:pt>
                <c:pt idx="33">
                  <c:v>4.1883277649800803</c:v>
                </c:pt>
                <c:pt idx="34">
                  <c:v>4.2077510626821448</c:v>
                </c:pt>
                <c:pt idx="35">
                  <c:v>4.2261971013604933</c:v>
                </c:pt>
                <c:pt idx="36">
                  <c:v>4.2437378254725244</c:v>
                </c:pt>
                <c:pt idx="37">
                  <c:v>4.2604382866862718</c:v>
                </c:pt>
                <c:pt idx="38">
                  <c:v>4.2763574500440056</c:v>
                </c:pt>
                <c:pt idx="39">
                  <c:v>4.2915488895676646</c:v>
                </c:pt>
                <c:pt idx="40">
                  <c:v>4.3060613905999388</c:v>
                </c:pt>
                <c:pt idx="41">
                  <c:v>4.3199394731507557</c:v>
                </c:pt>
                <c:pt idx="42">
                  <c:v>4.3332238480771261</c:v>
                </c:pt>
                <c:pt idx="43">
                  <c:v>4.3459518159426249</c:v>
                </c:pt>
                <c:pt idx="44">
                  <c:v>4.3581576167870466</c:v>
                </c:pt>
                <c:pt idx="45">
                  <c:v>4.3698727377132611</c:v>
                </c:pt>
                <c:pt idx="46">
                  <c:v>4.3811261841095215</c:v>
                </c:pt>
                <c:pt idx="47">
                  <c:v>4.3919447194260517</c:v>
                </c:pt>
                <c:pt idx="48">
                  <c:v>4.4023530776787512</c:v>
                </c:pt>
                <c:pt idx="49">
                  <c:v>4.4123741522318198</c:v>
                </c:pt>
                <c:pt idx="50">
                  <c:v>4.4220291638920699</c:v>
                </c:pt>
                <c:pt idx="51">
                  <c:v>4.4313378109125621</c:v>
                </c:pt>
                <c:pt idx="52">
                  <c:v>4.4403184031369856</c:v>
                </c:pt>
                <c:pt idx="53">
                  <c:v>4.4489879822070879</c:v>
                </c:pt>
                <c:pt idx="54">
                  <c:v>4.4573624294937249</c:v>
                </c:pt>
                <c:pt idx="55">
                  <c:v>4.4654565631897452</c:v>
                </c:pt>
                <c:pt idx="56">
                  <c:v>4.4732842258135426</c:v>
                </c:pt>
                <c:pt idx="57">
                  <c:v>4.4808583632103192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E-4BA2-B63C-5A90E692D4B8}"/>
            </c:ext>
          </c:extLst>
        </c:ser>
        <c:ser>
          <c:idx val="1"/>
          <c:order val="1"/>
          <c:tx>
            <c:strRef>
              <c:f>Plots!$Q$2</c:f>
              <c:strCache>
                <c:ptCount val="1"/>
                <c:pt idx="0">
                  <c:v>Fmax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(Plots!$S$2,Plots!$S$2)</c:f>
              <c:numCache>
                <c:formatCode>General</c:formatCode>
                <c:ptCount val="2"/>
                <c:pt idx="0">
                  <c:v>2.9181119799874535</c:v>
                </c:pt>
                <c:pt idx="1">
                  <c:v>2.9181119799874535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8E-4BA2-B63C-5A90E692D4B8}"/>
            </c:ext>
          </c:extLst>
        </c:ser>
        <c:ser>
          <c:idx val="2"/>
          <c:order val="2"/>
          <c:tx>
            <c:strRef>
              <c:f>Plots!$Q$3</c:f>
              <c:strCache>
                <c:ptCount val="1"/>
                <c:pt idx="0">
                  <c:v>F0.1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(Plots!$S$3,Plots!$S$3)</c:f>
              <c:numCache>
                <c:formatCode>General</c:formatCode>
                <c:ptCount val="2"/>
                <c:pt idx="0">
                  <c:v>13.86850860156645</c:v>
                </c:pt>
                <c:pt idx="1">
                  <c:v>13.86850860156645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8E-4BA2-B63C-5A90E692D4B8}"/>
            </c:ext>
          </c:extLst>
        </c:ser>
        <c:ser>
          <c:idx val="3"/>
          <c:order val="3"/>
          <c:tx>
            <c:strRef>
              <c:f>Plots!$Q$4</c:f>
              <c:strCache>
                <c:ptCount val="1"/>
                <c:pt idx="0">
                  <c:v>FMSY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(Plots!$S$4,Plots!$S$4)</c:f>
              <c:numCache>
                <c:formatCode>General</c:formatCode>
                <c:ptCount val="2"/>
                <c:pt idx="0">
                  <c:v>12.147382264741063</c:v>
                </c:pt>
                <c:pt idx="1">
                  <c:v>12.147382264741063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8E-4BA2-B63C-5A90E692D4B8}"/>
            </c:ext>
          </c:extLst>
        </c:ser>
        <c:ser>
          <c:idx val="4"/>
          <c:order val="4"/>
          <c:tx>
            <c:strRef>
              <c:f>Plots!$Q$5</c:f>
              <c:strCache>
                <c:ptCount val="1"/>
                <c:pt idx="0">
                  <c:v>F0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(Plots!$S$5,Plots!$S$5)</c:f>
              <c:numCache>
                <c:formatCode>General</c:formatCode>
                <c:ptCount val="2"/>
                <c:pt idx="0">
                  <c:v>36.967898517909518</c:v>
                </c:pt>
                <c:pt idx="1">
                  <c:v>36.967898517909518</c:v>
                </c:pt>
              </c:numCache>
            </c:numRef>
          </c:xVal>
          <c:yVal>
            <c:numRef>
              <c:f>Plots!$H$1:$H$2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8E-4BA2-B63C-5A90E692D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Recruitment (millions)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30577427821519"/>
          <c:y val="2.7068222311627099E-2"/>
          <c:w val="0.84096500437445332"/>
          <c:h val="0.650015403004201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MSY!$AC$2:$AC$59</c:f>
              <c:numCache>
                <c:formatCode>General</c:formatCode>
                <c:ptCount val="58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</c:numCache>
            </c:numRef>
          </c:xVal>
          <c:yVal>
            <c:numRef>
              <c:f>MSY!$AB$2:$AB$59</c:f>
              <c:numCache>
                <c:formatCode>General</c:formatCode>
                <c:ptCount val="58"/>
                <c:pt idx="0">
                  <c:v>8.4453279423370956E-2</c:v>
                </c:pt>
                <c:pt idx="1">
                  <c:v>0.39524377753933354</c:v>
                </c:pt>
                <c:pt idx="2">
                  <c:v>0.73193779610648491</c:v>
                </c:pt>
                <c:pt idx="3">
                  <c:v>1.2750021151947388</c:v>
                </c:pt>
                <c:pt idx="4">
                  <c:v>1.6939454190602172</c:v>
                </c:pt>
                <c:pt idx="5">
                  <c:v>2.0269565880963025</c:v>
                </c:pt>
                <c:pt idx="6">
                  <c:v>2.2980154295621702</c:v>
                </c:pt>
                <c:pt idx="7">
                  <c:v>2.5229388025018666</c:v>
                </c:pt>
                <c:pt idx="8">
                  <c:v>2.7125816328134724</c:v>
                </c:pt>
                <c:pt idx="9">
                  <c:v>2.8746411788307462</c:v>
                </c:pt>
                <c:pt idx="10">
                  <c:v>3.0147273863259021</c:v>
                </c:pt>
                <c:pt idx="11">
                  <c:v>3.1370255037745949</c:v>
                </c:pt>
                <c:pt idx="12">
                  <c:v>3.2447213508625108</c:v>
                </c:pt>
                <c:pt idx="13">
                  <c:v>3.3402828388086236</c:v>
                </c:pt>
                <c:pt idx="14">
                  <c:v>3.425651406885077</c:v>
                </c:pt>
                <c:pt idx="15">
                  <c:v>3.5023753026618314</c:v>
                </c:pt>
                <c:pt idx="16">
                  <c:v>3.5717043244291462</c:v>
                </c:pt>
                <c:pt idx="17">
                  <c:v>3.6346584284546708</c:v>
                </c:pt>
                <c:pt idx="18">
                  <c:v>3.6920782424658598</c:v>
                </c:pt>
                <c:pt idx="19">
                  <c:v>3.7446628181335258</c:v>
                </c:pt>
                <c:pt idx="20">
                  <c:v>3.7929982316459756</c:v>
                </c:pt>
                <c:pt idx="21">
                  <c:v>3.8375795202171474</c:v>
                </c:pt>
                <c:pt idx="22">
                  <c:v>3.878827698359832</c:v>
                </c:pt>
                <c:pt idx="23">
                  <c:v>3.9171030950392023</c:v>
                </c:pt>
                <c:pt idx="24">
                  <c:v>3.9527159074747984</c:v>
                </c:pt>
                <c:pt idx="25">
                  <c:v>3.9859346264848261</c:v>
                </c:pt>
                <c:pt idx="26">
                  <c:v>4.0169928178909018</c:v>
                </c:pt>
                <c:pt idx="27">
                  <c:v>4.046094622420159</c:v>
                </c:pt>
                <c:pt idx="28">
                  <c:v>4.0734192480089959</c:v>
                </c:pt>
                <c:pt idx="29">
                  <c:v>4.0991246634883494</c:v>
                </c:pt>
                <c:pt idx="30">
                  <c:v>4.1233506545206664</c:v>
                </c:pt>
                <c:pt idx="31">
                  <c:v>4.14622136666042</c:v>
                </c:pt>
                <c:pt idx="32">
                  <c:v>4.1678474332274096</c:v>
                </c:pt>
                <c:pt idx="33">
                  <c:v>4.1883277649800803</c:v>
                </c:pt>
                <c:pt idx="34">
                  <c:v>4.2077510626821448</c:v>
                </c:pt>
                <c:pt idx="35">
                  <c:v>4.2261971013604933</c:v>
                </c:pt>
                <c:pt idx="36">
                  <c:v>4.2437378254725244</c:v>
                </c:pt>
                <c:pt idx="37">
                  <c:v>4.2604382866862718</c:v>
                </c:pt>
                <c:pt idx="38">
                  <c:v>4.2763574500440056</c:v>
                </c:pt>
                <c:pt idx="39">
                  <c:v>4.2915488895676646</c:v>
                </c:pt>
                <c:pt idx="40">
                  <c:v>4.3060613905999388</c:v>
                </c:pt>
                <c:pt idx="41">
                  <c:v>4.3199394731507557</c:v>
                </c:pt>
                <c:pt idx="42">
                  <c:v>4.3332238480771261</c:v>
                </c:pt>
                <c:pt idx="43">
                  <c:v>4.3459518159426249</c:v>
                </c:pt>
                <c:pt idx="44">
                  <c:v>4.3581576167870466</c:v>
                </c:pt>
                <c:pt idx="45">
                  <c:v>4.3698727377132611</c:v>
                </c:pt>
                <c:pt idx="46">
                  <c:v>4.3811261841095215</c:v>
                </c:pt>
                <c:pt idx="47">
                  <c:v>4.3919447194260517</c:v>
                </c:pt>
                <c:pt idx="48">
                  <c:v>4.4023530776787512</c:v>
                </c:pt>
                <c:pt idx="49">
                  <c:v>4.4123741522318198</c:v>
                </c:pt>
                <c:pt idx="50">
                  <c:v>4.4220291638920699</c:v>
                </c:pt>
                <c:pt idx="51">
                  <c:v>4.4313378109125621</c:v>
                </c:pt>
                <c:pt idx="52">
                  <c:v>4.4403184031369856</c:v>
                </c:pt>
                <c:pt idx="53">
                  <c:v>4.4489879822070879</c:v>
                </c:pt>
                <c:pt idx="54">
                  <c:v>4.4573624294937249</c:v>
                </c:pt>
                <c:pt idx="55">
                  <c:v>4.4654565631897452</c:v>
                </c:pt>
                <c:pt idx="56">
                  <c:v>4.4732842258135426</c:v>
                </c:pt>
                <c:pt idx="57">
                  <c:v>4.4808583632103192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4-4FB9-8385-ADB4DB9F72DA}"/>
            </c:ext>
          </c:extLst>
        </c:ser>
        <c:ser>
          <c:idx val="8"/>
          <c:order val="1"/>
          <c:tx>
            <c:strRef>
              <c:f>'SR Plots with Ref Pts'!$B$21</c:f>
              <c:strCache>
                <c:ptCount val="1"/>
                <c:pt idx="0">
                  <c:v>SSBMSY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('SR Plots with Ref Pts'!$C$21,'SR Plots with Ref Pts'!$C$21)</c:f>
              <c:numCache>
                <c:formatCode>General</c:formatCode>
                <c:ptCount val="2"/>
                <c:pt idx="0">
                  <c:v>12.147382264741063</c:v>
                </c:pt>
                <c:pt idx="1">
                  <c:v>12.147382264741063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E4-4FB9-8385-ADB4DB9F72DA}"/>
            </c:ext>
          </c:extLst>
        </c:ser>
        <c:ser>
          <c:idx val="1"/>
          <c:order val="2"/>
          <c:tx>
            <c:strRef>
              <c:f>'SR Plots with Ref Pts'!$F$24</c:f>
              <c:strCache>
                <c:ptCount val="1"/>
                <c:pt idx="0">
                  <c:v>40%SSBMSY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Pts'!$E$24,'SR Plots with Ref Pts'!$E$24)</c:f>
              <c:numCache>
                <c:formatCode>General</c:formatCode>
                <c:ptCount val="2"/>
                <c:pt idx="0">
                  <c:v>4.8589529058964258</c:v>
                </c:pt>
                <c:pt idx="1">
                  <c:v>4.8589529058964258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E4-4FB9-8385-ADB4DB9F72DA}"/>
            </c:ext>
          </c:extLst>
        </c:ser>
        <c:ser>
          <c:idx val="2"/>
          <c:order val="3"/>
          <c:tx>
            <c:strRef>
              <c:f>'SR Plots with Ref Pts'!$F$25</c:f>
              <c:strCache>
                <c:ptCount val="1"/>
                <c:pt idx="0">
                  <c:v>50%SSBMSY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('SR Plots with Ref Pts'!$E$25,'SR Plots with Ref Pts'!$E$25)</c:f>
              <c:numCache>
                <c:formatCode>General</c:formatCode>
                <c:ptCount val="2"/>
                <c:pt idx="0">
                  <c:v>6.0736911323705316</c:v>
                </c:pt>
                <c:pt idx="1">
                  <c:v>6.0736911323705316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E4-4FB9-8385-ADB4DB9F72DA}"/>
            </c:ext>
          </c:extLst>
        </c:ser>
        <c:ser>
          <c:idx val="7"/>
          <c:order val="4"/>
          <c:tx>
            <c:strRef>
              <c:f>'SR Plots with Ref Pts'!$B$20</c:f>
              <c:strCache>
                <c:ptCount val="1"/>
                <c:pt idx="0">
                  <c:v>SSB0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('SR Plots with Ref Pts'!$C$20,'SR Plots with Ref Pts'!$C$20)</c:f>
              <c:numCache>
                <c:formatCode>General</c:formatCode>
                <c:ptCount val="2"/>
                <c:pt idx="0">
                  <c:v>36.967898517909518</c:v>
                </c:pt>
                <c:pt idx="1">
                  <c:v>36.967898517909518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E4-4FB9-8385-ADB4DB9F72DA}"/>
            </c:ext>
          </c:extLst>
        </c:ser>
        <c:ser>
          <c:idx val="3"/>
          <c:order val="5"/>
          <c:tx>
            <c:strRef>
              <c:f>'SR Plots with Ref Pts'!$F$26</c:f>
              <c:strCache>
                <c:ptCount val="1"/>
                <c:pt idx="0">
                  <c:v>20%SSB0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Pts'!$E$26,'SR Plots with Ref Pts'!$E$26)</c:f>
              <c:numCache>
                <c:formatCode>General</c:formatCode>
                <c:ptCount val="2"/>
                <c:pt idx="0">
                  <c:v>7.3935797035819038</c:v>
                </c:pt>
                <c:pt idx="1">
                  <c:v>7.3935797035819038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E4-4FB9-8385-ADB4DB9F72DA}"/>
            </c:ext>
          </c:extLst>
        </c:ser>
        <c:ser>
          <c:idx val="4"/>
          <c:order val="6"/>
          <c:tx>
            <c:strRef>
              <c:f>'SR Plots with Ref Pts'!$F$27</c:f>
              <c:strCache>
                <c:ptCount val="1"/>
                <c:pt idx="0">
                  <c:v>30%SSB0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('SR Plots with Ref Pts'!$E$27,'SR Plots with Ref Pts'!$E$27)</c:f>
              <c:numCache>
                <c:formatCode>General</c:formatCode>
                <c:ptCount val="2"/>
                <c:pt idx="0">
                  <c:v>11.090369555372854</c:v>
                </c:pt>
                <c:pt idx="1">
                  <c:v>11.090369555372854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E4-4FB9-8385-ADB4DB9F72DA}"/>
            </c:ext>
          </c:extLst>
        </c:ser>
        <c:ser>
          <c:idx val="5"/>
          <c:order val="7"/>
          <c:tx>
            <c:strRef>
              <c:f>'SR Plots with Ref Pts'!$F$28</c:f>
              <c:strCache>
                <c:ptCount val="1"/>
                <c:pt idx="0">
                  <c:v>40% SPR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Pts'!$E$28,'SR Plots with Ref Pts'!$E$28)</c:f>
              <c:numCache>
                <c:formatCode>General</c:formatCode>
                <c:ptCount val="2"/>
                <c:pt idx="0">
                  <c:v>11.430643861619425</c:v>
                </c:pt>
                <c:pt idx="1">
                  <c:v>11.430643861619425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E4-4FB9-8385-ADB4DB9F72DA}"/>
            </c:ext>
          </c:extLst>
        </c:ser>
        <c:ser>
          <c:idx val="6"/>
          <c:order val="8"/>
          <c:tx>
            <c:strRef>
              <c:f>'SR Plots with Ref Pts'!$F$29</c:f>
              <c:strCache>
                <c:ptCount val="1"/>
                <c:pt idx="0">
                  <c:v>35% SPR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('SR Plots with Ref Pts'!$E$29,'SR Plots with Ref Pts'!$E$29)</c:f>
              <c:numCache>
                <c:formatCode>General</c:formatCode>
                <c:ptCount val="2"/>
                <c:pt idx="0">
                  <c:v>9.2189825301465955</c:v>
                </c:pt>
                <c:pt idx="1">
                  <c:v>9.2189825301465955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E4-4FB9-8385-ADB4DB9F72DA}"/>
            </c:ext>
          </c:extLst>
        </c:ser>
        <c:ser>
          <c:idx val="9"/>
          <c:order val="9"/>
          <c:tx>
            <c:strRef>
              <c:f>'SR Plots with Ref Pts'!$F$30</c:f>
              <c:strCache>
                <c:ptCount val="1"/>
                <c:pt idx="0">
                  <c:v>50%Rmax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Pts'!$E$30,'SR Plots with Ref Pts'!$E$30)</c:f>
              <c:numCache>
                <c:formatCode>General</c:formatCode>
                <c:ptCount val="2"/>
                <c:pt idx="0">
                  <c:v>5.7505619916748136</c:v>
                </c:pt>
                <c:pt idx="1">
                  <c:v>5.7505619916748136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E4-4FB9-8385-ADB4DB9F7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Recruitment (millions)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30577427821519"/>
          <c:y val="2.7068222311627099E-2"/>
          <c:w val="0.84096500437445332"/>
          <c:h val="0.650015403004201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'SR Plots with Ref Pts'!$AB$3:$AB$506</c:f>
              <c:numCache>
                <c:formatCode>General</c:formatCode>
                <c:ptCount val="504"/>
                <c:pt idx="0">
                  <c:v>36.967694044555962</c:v>
                </c:pt>
                <c:pt idx="1">
                  <c:v>35.023533485958886</c:v>
                </c:pt>
                <c:pt idx="2">
                  <c:v>33.261544788467582</c:v>
                </c:pt>
                <c:pt idx="3">
                  <c:v>31.65795705596577</c:v>
                </c:pt>
                <c:pt idx="4">
                  <c:v>30.192792894343413</c:v>
                </c:pt>
                <c:pt idx="5">
                  <c:v>28.849274201752682</c:v>
                </c:pt>
                <c:pt idx="6">
                  <c:v>27.613207535201237</c:v>
                </c:pt>
                <c:pt idx="7">
                  <c:v>26.472505878191477</c:v>
                </c:pt>
                <c:pt idx="8">
                  <c:v>25.416812755848127</c:v>
                </c:pt>
                <c:pt idx="9">
                  <c:v>24.437204025532836</c:v>
                </c:pt>
                <c:pt idx="10">
                  <c:v>23.525949241667259</c:v>
                </c:pt>
                <c:pt idx="11">
                  <c:v>22.676319158963373</c:v>
                </c:pt>
                <c:pt idx="12">
                  <c:v>21.88242929315776</c:v>
                </c:pt>
                <c:pt idx="13">
                  <c:v>21.139111899347601</c:v>
                </c:pt>
                <c:pt idx="14">
                  <c:v>20.441810523614382</c:v>
                </c:pt>
                <c:pt idx="15">
                  <c:v>19.786492617997865</c:v>
                </c:pt>
                <c:pt idx="16">
                  <c:v>19.169576710023843</c:v>
                </c:pt>
                <c:pt idx="17">
                  <c:v>18.587871375863898</c:v>
                </c:pt>
                <c:pt idx="18">
                  <c:v>18.03852384476566</c:v>
                </c:pt>
                <c:pt idx="19">
                  <c:v>17.51897650757142</c:v>
                </c:pt>
                <c:pt idx="20">
                  <c:v>17.02692994725307</c:v>
                </c:pt>
                <c:pt idx="21">
                  <c:v>16.560311378816806</c:v>
                </c:pt>
                <c:pt idx="22">
                  <c:v>16.11724759767597</c:v>
                </c:pt>
                <c:pt idx="23">
                  <c:v>15.696041703055343</c:v>
                </c:pt>
                <c:pt idx="24">
                  <c:v>15.29515299623203</c:v>
                </c:pt>
                <c:pt idx="25">
                  <c:v>14.913179560032866</c:v>
                </c:pt>
                <c:pt idx="26">
                  <c:v>14.54884311178243</c:v>
                </c:pt>
                <c:pt idx="27">
                  <c:v>14.200975791256885</c:v>
                </c:pt>
                <c:pt idx="28">
                  <c:v>13.86850860156645</c:v>
                </c:pt>
                <c:pt idx="29">
                  <c:v>13.550461266910602</c:v>
                </c:pt>
                <c:pt idx="30">
                  <c:v>13.245933308894308</c:v>
                </c:pt>
                <c:pt idx="31">
                  <c:v>12.954096174182045</c:v>
                </c:pt>
                <c:pt idx="32">
                  <c:v>12.674186271977357</c:v>
                </c:pt>
                <c:pt idx="33">
                  <c:v>12.405498801164498</c:v>
                </c:pt>
                <c:pt idx="34">
                  <c:v>12.147382264741063</c:v>
                </c:pt>
                <c:pt idx="35">
                  <c:v>11.899233584053899</c:v>
                </c:pt>
                <c:pt idx="36">
                  <c:v>11.660493737842945</c:v>
                </c:pt>
                <c:pt idx="37">
                  <c:v>11.430643861619425</c:v>
                </c:pt>
                <c:pt idx="38">
                  <c:v>11.209201751794087</c:v>
                </c:pt>
                <c:pt idx="39">
                  <c:v>10.995718726505999</c:v>
                </c:pt>
                <c:pt idx="40">
                  <c:v>10.789776801507063</c:v>
                </c:pt>
                <c:pt idx="41">
                  <c:v>10.590986144917974</c:v>
                </c:pt>
                <c:pt idx="42">
                  <c:v>10.398982779339436</c:v>
                </c:pt>
                <c:pt idx="43">
                  <c:v>10.213426503804175</c:v>
                </c:pt>
                <c:pt idx="44">
                  <c:v>10.033999011494213</c:v>
                </c:pt>
                <c:pt idx="45">
                  <c:v>9.8604021821113488</c:v>
                </c:pt>
                <c:pt idx="46">
                  <c:v>9.6923565303477819</c:v>
                </c:pt>
                <c:pt idx="47">
                  <c:v>9.5295997941196227</c:v>
                </c:pt>
                <c:pt idx="48">
                  <c:v>9.3718856481482433</c:v>
                </c:pt>
                <c:pt idx="49">
                  <c:v>9.2189825301465955</c:v>
                </c:pt>
                <c:pt idx="50">
                  <c:v>9.0706725683241558</c:v>
                </c:pt>
                <c:pt idx="51">
                  <c:v>8.9267506001966002</c:v>
                </c:pt>
                <c:pt idx="52">
                  <c:v>8.7870232737996758</c:v>
                </c:pt>
                <c:pt idx="53">
                  <c:v>8.6513082233825429</c:v>
                </c:pt>
                <c:pt idx="54">
                  <c:v>8.5194333125134314</c:v>
                </c:pt>
                <c:pt idx="55">
                  <c:v>8.39123593828484</c:v>
                </c:pt>
                <c:pt idx="56">
                  <c:v>8.2665623909706198</c:v>
                </c:pt>
                <c:pt idx="57">
                  <c:v>8.145267264074656</c:v>
                </c:pt>
                <c:pt idx="58">
                  <c:v>8.0272129102307002</c:v>
                </c:pt>
                <c:pt idx="59">
                  <c:v>7.9122689388729395</c:v>
                </c:pt>
                <c:pt idx="60">
                  <c:v>7.8003117520057694</c:v>
                </c:pt>
                <c:pt idx="61">
                  <c:v>7.6912241147644185</c:v>
                </c:pt>
                <c:pt idx="62">
                  <c:v>7.584894757781214</c:v>
                </c:pt>
                <c:pt idx="63">
                  <c:v>7.4812180086607452</c:v>
                </c:pt>
                <c:pt idx="64">
                  <c:v>7.3800934501243711</c:v>
                </c:pt>
                <c:pt idx="65">
                  <c:v>7.2814256026146635</c:v>
                </c:pt>
                <c:pt idx="66">
                  <c:v>7.1851236293564282</c:v>
                </c:pt>
                <c:pt idx="67">
                  <c:v>7.0911010620555874</c:v>
                </c:pt>
                <c:pt idx="68">
                  <c:v>6.9992755455828739</c:v>
                </c:pt>
                <c:pt idx="69">
                  <c:v>6.9095686001384689</c:v>
                </c:pt>
                <c:pt idx="70">
                  <c:v>6.8219053995276981</c:v>
                </c:pt>
                <c:pt idx="71">
                  <c:v>6.7362145642986979</c:v>
                </c:pt>
                <c:pt idx="72">
                  <c:v>6.652427968601935</c:v>
                </c:pt>
                <c:pt idx="73">
                  <c:v>6.5704805597300089</c:v>
                </c:pt>
                <c:pt idx="74">
                  <c:v>6.4903101893850099</c:v>
                </c:pt>
                <c:pt idx="75">
                  <c:v>6.4118574558012575</c:v>
                </c:pt>
                <c:pt idx="76">
                  <c:v>6.3350655559243378</c:v>
                </c:pt>
                <c:pt idx="77">
                  <c:v>6.2598801469134449</c:v>
                </c:pt>
                <c:pt idx="78">
                  <c:v>6.186249216294188</c:v>
                </c:pt>
                <c:pt idx="79">
                  <c:v>6.1141229601436899</c:v>
                </c:pt>
                <c:pt idx="80">
                  <c:v>6.043453668739402</c:v>
                </c:pt>
                <c:pt idx="81">
                  <c:v>5.9741956191485182</c:v>
                </c:pt>
                <c:pt idx="82">
                  <c:v>5.9063049742758631</c:v>
                </c:pt>
                <c:pt idx="83">
                  <c:v>5.8397396879261372</c:v>
                </c:pt>
                <c:pt idx="84">
                  <c:v>5.774459415470421</c:v>
                </c:pt>
                <c:pt idx="85">
                  <c:v>5.7104254297385415</c:v>
                </c:pt>
                <c:pt idx="86">
                  <c:v>5.6476005417874999</c:v>
                </c:pt>
                <c:pt idx="87">
                  <c:v>5.5859490262226164</c:v>
                </c:pt>
                <c:pt idx="88">
                  <c:v>5.5254365507720431</c:v>
                </c:pt>
                <c:pt idx="89">
                  <c:v>5.4660301098374875</c:v>
                </c:pt>
                <c:pt idx="90">
                  <c:v>5.4076979617643417</c:v>
                </c:pt>
                <c:pt idx="91">
                  <c:v>5.3504095695930518</c:v>
                </c:pt>
                <c:pt idx="92">
                  <c:v>5.2941355450705867</c:v>
                </c:pt>
                <c:pt idx="93">
                  <c:v>5.2388475957168401</c:v>
                </c:pt>
                <c:pt idx="94">
                  <c:v>5.1845184747553104</c:v>
                </c:pt>
                <c:pt idx="95">
                  <c:v>5.1311219337305429</c:v>
                </c:pt>
                <c:pt idx="96">
                  <c:v>5.0786326776475299</c:v>
                </c:pt>
                <c:pt idx="97">
                  <c:v>5.0270263224794238</c:v>
                </c:pt>
                <c:pt idx="98">
                  <c:v>4.9762793549003961</c:v>
                </c:pt>
                <c:pt idx="99">
                  <c:v>4.9263690941104397</c:v>
                </c:pt>
                <c:pt idx="100">
                  <c:v>4.8772736556276559</c:v>
                </c:pt>
                <c:pt idx="101">
                  <c:v>4.8289719169319358</c:v>
                </c:pt>
                <c:pt idx="102">
                  <c:v>4.7814434848518053</c:v>
                </c:pt>
                <c:pt idx="103">
                  <c:v>4.7346686645930793</c:v>
                </c:pt>
                <c:pt idx="104">
                  <c:v>4.6886284303147541</c:v>
                </c:pt>
                <c:pt idx="105">
                  <c:v>4.6433043971636705</c:v>
                </c:pt>
                <c:pt idx="106">
                  <c:v>4.5986787946851244</c:v>
                </c:pt>
                <c:pt idx="107">
                  <c:v>4.5547344415318909</c:v>
                </c:pt>
                <c:pt idx="108">
                  <c:v>4.5114547213991445</c:v>
                </c:pt>
                <c:pt idx="109">
                  <c:v>4.4688235601170954</c:v>
                </c:pt>
                <c:pt idx="110">
                  <c:v>4.426825403837662</c:v>
                </c:pt>
                <c:pt idx="111">
                  <c:v>4.3854451982553124</c:v>
                </c:pt>
                <c:pt idx="112">
                  <c:v>4.3446683688058769</c:v>
                </c:pt>
                <c:pt idx="113">
                  <c:v>4.304480801790616</c:v>
                </c:pt>
                <c:pt idx="114">
                  <c:v>4.2648688263760377</c:v>
                </c:pt>
                <c:pt idx="115">
                  <c:v>4.2258191974228669</c:v>
                </c:pt>
                <c:pt idx="116">
                  <c:v>4.1873190791004227</c:v>
                </c:pt>
                <c:pt idx="117">
                  <c:v>4.1493560292452152</c:v>
                </c:pt>
                <c:pt idx="118">
                  <c:v>4.1119179844250127</c:v>
                </c:pt>
                <c:pt idx="119">
                  <c:v>4.0749932456719424</c:v>
                </c:pt>
                <c:pt idx="120">
                  <c:v>4.0385704648501921</c:v>
                </c:pt>
                <c:pt idx="121">
                  <c:v>4.002638631626029</c:v>
                </c:pt>
                <c:pt idx="122">
                  <c:v>3.9671870610095361</c:v>
                </c:pt>
                <c:pt idx="123">
                  <c:v>3.9322053814393496</c:v>
                </c:pt>
                <c:pt idx="124">
                  <c:v>3.8976835233832214</c:v>
                </c:pt>
                <c:pt idx="125">
                  <c:v>3.863611708428798</c:v>
                </c:pt>
                <c:pt idx="126">
                  <c:v>3.8299804388404048</c:v>
                </c:pt>
                <c:pt idx="127">
                  <c:v>3.7967804875590256</c:v>
                </c:pt>
                <c:pt idx="128">
                  <c:v>3.7640028886238559</c:v>
                </c:pt>
                <c:pt idx="129">
                  <c:v>3.7316389279950415</c:v>
                </c:pt>
                <c:pt idx="130">
                  <c:v>3.6996801347582968</c:v>
                </c:pt>
                <c:pt idx="131">
                  <c:v>3.6681182726931896</c:v>
                </c:pt>
                <c:pt idx="132">
                  <c:v>3.6369453321877776</c:v>
                </c:pt>
                <c:pt idx="133">
                  <c:v>3.6061535224832646</c:v>
                </c:pt>
                <c:pt idx="134">
                  <c:v>3.5757352642332547</c:v>
                </c:pt>
                <c:pt idx="135">
                  <c:v>3.5456831823628225</c:v>
                </c:pt>
                <c:pt idx="136">
                  <c:v>3.5159900992136581</c:v>
                </c:pt>
                <c:pt idx="137">
                  <c:v>3.4866490279619895</c:v>
                </c:pt>
                <c:pt idx="138">
                  <c:v>3.4576531662968875</c:v>
                </c:pt>
                <c:pt idx="139">
                  <c:v>3.4289958903470623</c:v>
                </c:pt>
                <c:pt idx="140">
                  <c:v>3.4006707488449157</c:v>
                </c:pt>
                <c:pt idx="141">
                  <c:v>3.3726714575172618</c:v>
                </c:pt>
                <c:pt idx="142">
                  <c:v>3.3449918936924545</c:v>
                </c:pt>
                <c:pt idx="143">
                  <c:v>3.3176260911144451</c:v>
                </c:pt>
                <c:pt idx="144">
                  <c:v>3.2905682349545518</c:v>
                </c:pt>
                <c:pt idx="145">
                  <c:v>3.2638126570123087</c:v>
                </c:pt>
                <c:pt idx="146">
                  <c:v>3.237353831097098</c:v>
                </c:pt>
                <c:pt idx="147">
                  <c:v>3.2111863685827737</c:v>
                </c:pt>
                <c:pt idx="148">
                  <c:v>3.1853050141277799</c:v>
                </c:pt>
                <c:pt idx="149">
                  <c:v>3.1597046415536769</c:v>
                </c:pt>
                <c:pt idx="150">
                  <c:v>3.1343802498753233</c:v>
                </c:pt>
                <c:pt idx="151">
                  <c:v>3.1093269594762734</c:v>
                </c:pt>
                <c:pt idx="152">
                  <c:v>3.0845400084232861</c:v>
                </c:pt>
                <c:pt idx="153">
                  <c:v>3.0600147489140896</c:v>
                </c:pt>
                <c:pt idx="154">
                  <c:v>3.0357466438528649</c:v>
                </c:pt>
                <c:pt idx="155">
                  <c:v>3.011731263548147</c:v>
                </c:pt>
                <c:pt idx="156">
                  <c:v>2.9879642825280892</c:v>
                </c:pt>
                <c:pt idx="157">
                  <c:v>2.9644414764682918</c:v>
                </c:pt>
                <c:pt idx="158">
                  <c:v>2.9411587192275968</c:v>
                </c:pt>
                <c:pt idx="159">
                  <c:v>2.9181119799874535</c:v>
                </c:pt>
                <c:pt idx="160">
                  <c:v>2.8952973204907417</c:v>
                </c:pt>
                <c:pt idx="161">
                  <c:v>2.8727108923759426</c:v>
                </c:pt>
                <c:pt idx="162">
                  <c:v>2.8503489346029962</c:v>
                </c:pt>
                <c:pt idx="163">
                  <c:v>2.8282077709670994</c:v>
                </c:pt>
                <c:pt idx="164">
                  <c:v>2.8062838076970174</c:v>
                </c:pt>
                <c:pt idx="165">
                  <c:v>2.7845735311345661</c:v>
                </c:pt>
                <c:pt idx="166">
                  <c:v>2.7630735054921454</c:v>
                </c:pt>
                <c:pt idx="167">
                  <c:v>2.7417803706852202</c:v>
                </c:pt>
                <c:pt idx="168">
                  <c:v>2.7206908402369194</c:v>
                </c:pt>
                <c:pt idx="169">
                  <c:v>2.6998016992519127</c:v>
                </c:pt>
                <c:pt idx="170">
                  <c:v>2.6791098024569844</c:v>
                </c:pt>
                <c:pt idx="171">
                  <c:v>2.6586120723057149</c:v>
                </c:pt>
                <c:pt idx="172">
                  <c:v>2.6383054971448745</c:v>
                </c:pt>
                <c:pt idx="173">
                  <c:v>2.6181871294401682</c:v>
                </c:pt>
                <c:pt idx="174">
                  <c:v>2.5982540840591559</c:v>
                </c:pt>
                <c:pt idx="175">
                  <c:v>2.578503536609186</c:v>
                </c:pt>
                <c:pt idx="176">
                  <c:v>2.558932721828298</c:v>
                </c:pt>
                <c:pt idx="177">
                  <c:v>2.5395389320271478</c:v>
                </c:pt>
                <c:pt idx="178">
                  <c:v>2.5203195155801179</c:v>
                </c:pt>
                <c:pt idx="179">
                  <c:v>2.5012718754637233</c:v>
                </c:pt>
                <c:pt idx="180">
                  <c:v>2.4823934678407071</c:v>
                </c:pt>
                <c:pt idx="181">
                  <c:v>2.4636818006880765</c:v>
                </c:pt>
                <c:pt idx="182">
                  <c:v>2.4451344324675701</c:v>
                </c:pt>
                <c:pt idx="183">
                  <c:v>2.4267489708369903</c:v>
                </c:pt>
                <c:pt idx="184">
                  <c:v>2.4085230714009507</c:v>
                </c:pt>
                <c:pt idx="185">
                  <c:v>2.3904544364996672</c:v>
                </c:pt>
                <c:pt idx="186">
                  <c:v>2.3725408140344277</c:v>
                </c:pt>
                <c:pt idx="187">
                  <c:v>2.3547799963284533</c:v>
                </c:pt>
                <c:pt idx="188">
                  <c:v>2.3371698190219115</c:v>
                </c:pt>
                <c:pt idx="189">
                  <c:v>2.3197081599999185</c:v>
                </c:pt>
                <c:pt idx="190">
                  <c:v>2.3023929383523463</c:v>
                </c:pt>
                <c:pt idx="191">
                  <c:v>2.2852221133643771</c:v>
                </c:pt>
                <c:pt idx="192">
                  <c:v>2.2681936835367313</c:v>
                </c:pt>
                <c:pt idx="193">
                  <c:v>2.2513056856345619</c:v>
                </c:pt>
                <c:pt idx="194">
                  <c:v>2.2345561937640461</c:v>
                </c:pt>
                <c:pt idx="195">
                  <c:v>2.2179433184757036</c:v>
                </c:pt>
                <c:pt idx="196">
                  <c:v>2.2014652058936162</c:v>
                </c:pt>
                <c:pt idx="197">
                  <c:v>2.185120036869594</c:v>
                </c:pt>
                <c:pt idx="198">
                  <c:v>2.1689060261615367</c:v>
                </c:pt>
                <c:pt idx="199">
                  <c:v>2.1528214216350974</c:v>
                </c:pt>
                <c:pt idx="200">
                  <c:v>2.1368645034879949</c:v>
                </c:pt>
                <c:pt idx="201">
                  <c:v>2.1210335834961036</c:v>
                </c:pt>
                <c:pt idx="202">
                  <c:v>2.1053270042807166</c:v>
                </c:pt>
                <c:pt idx="203">
                  <c:v>2.0897431385962215</c:v>
                </c:pt>
                <c:pt idx="204">
                  <c:v>2.0742803886375594</c:v>
                </c:pt>
                <c:pt idx="205">
                  <c:v>2.0589371853668204</c:v>
                </c:pt>
                <c:pt idx="206">
                  <c:v>2.0437119878583401</c:v>
                </c:pt>
                <c:pt idx="207">
                  <c:v>2.0286032826617877</c:v>
                </c:pt>
                <c:pt idx="208">
                  <c:v>2.0136095831825211</c:v>
                </c:pt>
                <c:pt idx="209">
                  <c:v>1.9987294290788249</c:v>
                </c:pt>
                <c:pt idx="210">
                  <c:v>1.9839613856753942</c:v>
                </c:pt>
                <c:pt idx="211">
                  <c:v>1.9693040433925821</c:v>
                </c:pt>
                <c:pt idx="212">
                  <c:v>1.9547560171909275</c:v>
                </c:pt>
                <c:pt idx="213">
                  <c:v>1.9403159460304791</c:v>
                </c:pt>
                <c:pt idx="214">
                  <c:v>1.9259824923444477</c:v>
                </c:pt>
                <c:pt idx="215">
                  <c:v>1.9117543415267819</c:v>
                </c:pt>
                <c:pt idx="216">
                  <c:v>1.8976302014331596</c:v>
                </c:pt>
                <c:pt idx="217">
                  <c:v>1.8836088018950969</c:v>
                </c:pt>
                <c:pt idx="218">
                  <c:v>1.8696888942466638</c:v>
                </c:pt>
                <c:pt idx="219">
                  <c:v>1.8558692508635077</c:v>
                </c:pt>
                <c:pt idx="220">
                  <c:v>1.8421486647137522</c:v>
                </c:pt>
                <c:pt idx="221">
                  <c:v>1.8285259489204693</c:v>
                </c:pt>
                <c:pt idx="222">
                  <c:v>1.8149999363353293</c:v>
                </c:pt>
                <c:pt idx="223">
                  <c:v>1.8015694791231156</c:v>
                </c:pt>
                <c:pt idx="224">
                  <c:v>1.7882334483567965</c:v>
                </c:pt>
                <c:pt idx="225">
                  <c:v>1.7749907336228199</c:v>
                </c:pt>
                <c:pt idx="226">
                  <c:v>1.761840242636328</c:v>
                </c:pt>
                <c:pt idx="227">
                  <c:v>1.7487809008660185</c:v>
                </c:pt>
                <c:pt idx="228">
                  <c:v>1.7358116511683661</c:v>
                </c:pt>
                <c:pt idx="229">
                  <c:v>1.7229314534309148</c:v>
                </c:pt>
                <c:pt idx="230">
                  <c:v>1.7101392842244152</c:v>
                </c:pt>
                <c:pt idx="231">
                  <c:v>1.6974341364634797</c:v>
                </c:pt>
                <c:pt idx="232">
                  <c:v>1.6848150190756279</c:v>
                </c:pt>
                <c:pt idx="233">
                  <c:v>1.6722809566783503</c:v>
                </c:pt>
                <c:pt idx="234">
                  <c:v>1.6598309892640579</c:v>
                </c:pt>
                <c:pt idx="235">
                  <c:v>1.6474641718926553</c:v>
                </c:pt>
                <c:pt idx="236">
                  <c:v>1.6351795743915261</c:v>
                </c:pt>
                <c:pt idx="237">
                  <c:v>1.6229762810627189</c:v>
                </c:pt>
                <c:pt idx="238">
                  <c:v>1.6108533903971385</c:v>
                </c:pt>
                <c:pt idx="239">
                  <c:v>1.5988100147955462</c:v>
                </c:pt>
                <c:pt idx="240">
                  <c:v>1.5868452802961823</c:v>
                </c:pt>
                <c:pt idx="241">
                  <c:v>1.5749583263088207</c:v>
                </c:pt>
                <c:pt idx="242">
                  <c:v>1.5631483053550606</c:v>
                </c:pt>
                <c:pt idx="243">
                  <c:v>1.551414382814742</c:v>
                </c:pt>
                <c:pt idx="244">
                  <c:v>1.5397557366782524</c:v>
                </c:pt>
                <c:pt idx="245">
                  <c:v>1.528171557304592</c:v>
                </c:pt>
                <c:pt idx="246">
                  <c:v>1.5166610471850543</c:v>
                </c:pt>
                <c:pt idx="247">
                  <c:v>1.5052234207123438</c:v>
                </c:pt>
                <c:pt idx="248">
                  <c:v>1.4938579039549995</c:v>
                </c:pt>
                <c:pt idx="249">
                  <c:v>1.4825637344369889</c:v>
                </c:pt>
                <c:pt idx="250">
                  <c:v>1.4713401609222891</c:v>
                </c:pt>
                <c:pt idx="251">
                  <c:v>1.4601864432044256</c:v>
                </c:pt>
                <c:pt idx="252">
                  <c:v>1.4491018519006784</c:v>
                </c:pt>
                <c:pt idx="253">
                  <c:v>1.4380856682510124</c:v>
                </c:pt>
                <c:pt idx="254">
                  <c:v>1.4271371839214588</c:v>
                </c:pt>
                <c:pt idx="255">
                  <c:v>1.4162557008118908</c:v>
                </c:pt>
                <c:pt idx="256">
                  <c:v>1.4054405308681255</c:v>
                </c:pt>
                <c:pt idx="257">
                  <c:v>1.3946909958981495</c:v>
                </c:pt>
                <c:pt idx="258">
                  <c:v>1.3840064273924026</c:v>
                </c:pt>
                <c:pt idx="259">
                  <c:v>1.3733861663480467</c:v>
                </c:pt>
                <c:pt idx="260">
                  <c:v>1.3628295630970511</c:v>
                </c:pt>
                <c:pt idx="261">
                  <c:v>1.3523359771380639</c:v>
                </c:pt>
                <c:pt idx="262">
                  <c:v>1.3419047769719201</c:v>
                </c:pt>
                <c:pt idx="263">
                  <c:v>1.3315353399407219</c:v>
                </c:pt>
                <c:pt idx="264">
                  <c:v>1.3212270520703742</c:v>
                </c:pt>
                <c:pt idx="265">
                  <c:v>1.310979307916553</c:v>
                </c:pt>
                <c:pt idx="266">
                  <c:v>1.3007915104139214</c:v>
                </c:pt>
                <c:pt idx="267">
                  <c:v>1.2906630707286006</c:v>
                </c:pt>
                <c:pt idx="268">
                  <c:v>1.280593408113754</c:v>
                </c:pt>
                <c:pt idx="269">
                  <c:v>1.2705819497682644</c:v>
                </c:pt>
                <c:pt idx="270">
                  <c:v>1.2606281306983569</c:v>
                </c:pt>
                <c:pt idx="271">
                  <c:v>1.2507313935821485</c:v>
                </c:pt>
                <c:pt idx="272">
                  <c:v>1.2408911886370519</c:v>
                </c:pt>
                <c:pt idx="273">
                  <c:v>1.2311069734899232</c:v>
                </c:pt>
                <c:pt idx="274">
                  <c:v>1.2213782130499229</c:v>
                </c:pt>
                <c:pt idx="275">
                  <c:v>1.2117043793840203</c:v>
                </c:pt>
                <c:pt idx="276">
                  <c:v>1.2020849515950434</c:v>
                </c:pt>
                <c:pt idx="277">
                  <c:v>1.1925194157022745</c:v>
                </c:pt>
                <c:pt idx="278">
                  <c:v>1.1830072645244603</c:v>
                </c:pt>
                <c:pt idx="279">
                  <c:v>1.173547997565235</c:v>
                </c:pt>
                <c:pt idx="280">
                  <c:v>1.1641411209008723</c:v>
                </c:pt>
                <c:pt idx="281">
                  <c:v>1.1547861470702989</c:v>
                </c:pt>
                <c:pt idx="282">
                  <c:v>1.1454825949673564</c:v>
                </c:pt>
                <c:pt idx="283">
                  <c:v>1.1362299897352157</c:v>
                </c:pt>
                <c:pt idx="284">
                  <c:v>1.1270278626629104</c:v>
                </c:pt>
                <c:pt idx="285">
                  <c:v>1.1178757510839592</c:v>
                </c:pt>
                <c:pt idx="286">
                  <c:v>1.1087731982769857</c:v>
                </c:pt>
                <c:pt idx="287">
                  <c:v>1.099719753368317</c:v>
                </c:pt>
                <c:pt idx="288">
                  <c:v>1.090714971236534</c:v>
                </c:pt>
                <c:pt idx="289">
                  <c:v>1.0817584124188644</c:v>
                </c:pt>
                <c:pt idx="290">
                  <c:v>1.0728496430194476</c:v>
                </c:pt>
                <c:pt idx="291">
                  <c:v>1.0639882346193961</c:v>
                </c:pt>
                <c:pt idx="292">
                  <c:v>1.055173764188581</c:v>
                </c:pt>
                <c:pt idx="293">
                  <c:v>1.0464058139991796</c:v>
                </c:pt>
                <c:pt idx="294">
                  <c:v>1.037683971540855</c:v>
                </c:pt>
                <c:pt idx="295">
                  <c:v>1.0290078294376113</c:v>
                </c:pt>
                <c:pt idx="296">
                  <c:v>1.0203769853662314</c:v>
                </c:pt>
                <c:pt idx="297">
                  <c:v>1.0117910419762768</c:v>
                </c:pt>
                <c:pt idx="298">
                  <c:v>1.0032496068116272</c:v>
                </c:pt>
                <c:pt idx="299">
                  <c:v>0.99475229223352124</c:v>
                </c:pt>
                <c:pt idx="300">
                  <c:v>0.98629871534503888</c:v>
                </c:pt>
                <c:pt idx="301">
                  <c:v>0.97788849791703492</c:v>
                </c:pt>
                <c:pt idx="302">
                  <c:v>0.96952126631546387</c:v>
                </c:pt>
                <c:pt idx="303">
                  <c:v>0.96119665143006983</c:v>
                </c:pt>
                <c:pt idx="304">
                  <c:v>0.95291428860440486</c:v>
                </c:pt>
                <c:pt idx="305">
                  <c:v>0.94467381756717994</c:v>
                </c:pt>
                <c:pt idx="306">
                  <c:v>0.93647488236486232</c:v>
                </c:pt>
                <c:pt idx="307">
                  <c:v>0.92831713129556193</c:v>
                </c:pt>
                <c:pt idx="308">
                  <c:v>0.92020021684410724</c:v>
                </c:pt>
                <c:pt idx="309">
                  <c:v>0.91212379561833257</c:v>
                </c:pt>
                <c:pt idx="310">
                  <c:v>0.90408752828655048</c:v>
                </c:pt>
                <c:pt idx="311">
                  <c:v>0.89609107951613531</c:v>
                </c:pt>
                <c:pt idx="312">
                  <c:v>0.88813411791327146</c:v>
                </c:pt>
                <c:pt idx="313">
                  <c:v>0.8802163159637646</c:v>
                </c:pt>
                <c:pt idx="314">
                  <c:v>0.87233734997494705</c:v>
                </c:pt>
                <c:pt idx="315">
                  <c:v>0.86449690001862023</c:v>
                </c:pt>
                <c:pt idx="316">
                  <c:v>0.85669464987504662</c:v>
                </c:pt>
                <c:pt idx="317">
                  <c:v>0.84893028697792505</c:v>
                </c:pt>
                <c:pt idx="318">
                  <c:v>0.8412035023603589</c:v>
                </c:pt>
                <c:pt idx="319">
                  <c:v>0.83351399060181919</c:v>
                </c:pt>
                <c:pt idx="320">
                  <c:v>0.82586144977599041</c:v>
                </c:pt>
                <c:pt idx="321">
                  <c:v>0.81824558139961079</c:v>
                </c:pt>
                <c:pt idx="322">
                  <c:v>0.81066609038217152</c:v>
                </c:pt>
                <c:pt idx="323">
                  <c:v>0.80312268497651917</c:v>
                </c:pt>
                <c:pt idx="324">
                  <c:v>0.79561507673032805</c:v>
                </c:pt>
                <c:pt idx="325">
                  <c:v>0.7881429804384269</c:v>
                </c:pt>
                <c:pt idx="326">
                  <c:v>0.78070611409594748</c:v>
                </c:pt>
                <c:pt idx="327">
                  <c:v>0.77330419885229851</c:v>
                </c:pt>
                <c:pt idx="328">
                  <c:v>0.76593695896593572</c:v>
                </c:pt>
                <c:pt idx="329">
                  <c:v>0.75860412175992598</c:v>
                </c:pt>
                <c:pt idx="330">
                  <c:v>0.75130541757825697</c:v>
                </c:pt>
                <c:pt idx="331">
                  <c:v>0.74404057974291571</c:v>
                </c:pt>
                <c:pt idx="332">
                  <c:v>0.73680934451171054</c:v>
                </c:pt>
                <c:pt idx="333">
                  <c:v>0.72961145103679292</c:v>
                </c:pt>
                <c:pt idx="334">
                  <c:v>0.72244664132390057</c:v>
                </c:pt>
                <c:pt idx="335">
                  <c:v>0.71531466019229617</c:v>
                </c:pt>
                <c:pt idx="336">
                  <c:v>0.70821525523538797</c:v>
                </c:pt>
                <c:pt idx="337">
                  <c:v>0.70114817678198971</c:v>
                </c:pt>
                <c:pt idx="338">
                  <c:v>0.69411317785827276</c:v>
                </c:pt>
                <c:pt idx="339">
                  <c:v>0.68711001415033479</c:v>
                </c:pt>
                <c:pt idx="340">
                  <c:v>0.6801384439673972</c:v>
                </c:pt>
                <c:pt idx="341">
                  <c:v>0.67319822820562003</c:v>
                </c:pt>
                <c:pt idx="342">
                  <c:v>0.66628913031252734</c:v>
                </c:pt>
                <c:pt idx="343">
                  <c:v>0.65941091625201464</c:v>
                </c:pt>
                <c:pt idx="344">
                  <c:v>0.65256335446992741</c:v>
                </c:pt>
                <c:pt idx="345">
                  <c:v>0.64574621586024372</c:v>
                </c:pt>
                <c:pt idx="346">
                  <c:v>0.63895927373176031</c:v>
                </c:pt>
                <c:pt idx="347">
                  <c:v>0.63220230377538322</c:v>
                </c:pt>
                <c:pt idx="348">
                  <c:v>0.62547508403190111</c:v>
                </c:pt>
                <c:pt idx="349">
                  <c:v>0.6187773948603249</c:v>
                </c:pt>
                <c:pt idx="350">
                  <c:v>0.61210901890672875</c:v>
                </c:pt>
                <c:pt idx="351">
                  <c:v>0.60546974107358398</c:v>
                </c:pt>
                <c:pt idx="352">
                  <c:v>0.59885934848961753</c:v>
                </c:pt>
                <c:pt idx="353">
                  <c:v>0.59227763048012882</c:v>
                </c:pt>
                <c:pt idx="354">
                  <c:v>0.58572437853780113</c:v>
                </c:pt>
                <c:pt idx="355">
                  <c:v>0.57919938629397671</c:v>
                </c:pt>
                <c:pt idx="356">
                  <c:v>0.57270244949039983</c:v>
                </c:pt>
                <c:pt idx="357">
                  <c:v>0.56623336595139206</c:v>
                </c:pt>
                <c:pt idx="358">
                  <c:v>0.55979193555649009</c:v>
                </c:pt>
                <c:pt idx="359">
                  <c:v>0.55337796021350594</c:v>
                </c:pt>
                <c:pt idx="360">
                  <c:v>0.54699124383202258</c:v>
                </c:pt>
                <c:pt idx="361">
                  <c:v>0.54063159229730751</c:v>
                </c:pt>
                <c:pt idx="362">
                  <c:v>0.53429881344461683</c:v>
                </c:pt>
                <c:pt idx="363">
                  <c:v>0.52799271703393347</c:v>
                </c:pt>
                <c:pt idx="364">
                  <c:v>0.52171311472508564</c:v>
                </c:pt>
                <c:pt idx="365">
                  <c:v>0.51545982005324942</c:v>
                </c:pt>
                <c:pt idx="366">
                  <c:v>0.50923264840484417</c:v>
                </c:pt>
                <c:pt idx="367">
                  <c:v>0.5030314169937915</c:v>
                </c:pt>
                <c:pt idx="368">
                  <c:v>0.49685594483815315</c:v>
                </c:pt>
                <c:pt idx="369">
                  <c:v>0.49070605273711848</c:v>
                </c:pt>
                <c:pt idx="370">
                  <c:v>0.48458156324835627</c:v>
                </c:pt>
                <c:pt idx="371">
                  <c:v>0.47848230066571223</c:v>
                </c:pt>
                <c:pt idx="372">
                  <c:v>0.47240809099723885</c:v>
                </c:pt>
                <c:pt idx="373">
                  <c:v>0.46635876194357734</c:v>
                </c:pt>
                <c:pt idx="374">
                  <c:v>0.4603341428766578</c:v>
                </c:pt>
                <c:pt idx="375">
                  <c:v>0.45433406481872457</c:v>
                </c:pt>
                <c:pt idx="376">
                  <c:v>0.44835836042167854</c:v>
                </c:pt>
                <c:pt idx="377">
                  <c:v>0.4424068639467521</c:v>
                </c:pt>
                <c:pt idx="378">
                  <c:v>0.43647941124444373</c:v>
                </c:pt>
                <c:pt idx="379">
                  <c:v>0.4305758397348125</c:v>
                </c:pt>
                <c:pt idx="380">
                  <c:v>0.42469598838802991</c:v>
                </c:pt>
                <c:pt idx="381">
                  <c:v>0.41883969770522617</c:v>
                </c:pt>
                <c:pt idx="382">
                  <c:v>0.4130068096996381</c:v>
                </c:pt>
                <c:pt idx="383">
                  <c:v>0.40719716787802929</c:v>
                </c:pt>
                <c:pt idx="384">
                  <c:v>0.40141061722237509</c:v>
                </c:pt>
                <c:pt idx="385">
                  <c:v>0.39564700417185267</c:v>
                </c:pt>
                <c:pt idx="386">
                  <c:v>0.38990617660504823</c:v>
                </c:pt>
                <c:pt idx="387">
                  <c:v>0.38418798382246921</c:v>
                </c:pt>
                <c:pt idx="388">
                  <c:v>0.37849227652929768</c:v>
                </c:pt>
                <c:pt idx="389">
                  <c:v>0.37281890681838847</c:v>
                </c:pt>
                <c:pt idx="390">
                  <c:v>0.36716772815352938</c:v>
                </c:pt>
                <c:pt idx="391">
                  <c:v>0.36153859535293814</c:v>
                </c:pt>
                <c:pt idx="392">
                  <c:v>0.35593136457300645</c:v>
                </c:pt>
                <c:pt idx="393">
                  <c:v>0.35034589329226695</c:v>
                </c:pt>
                <c:pt idx="394">
                  <c:v>0.3447820402956126</c:v>
                </c:pt>
                <c:pt idx="395">
                  <c:v>0.33923966565872365</c:v>
                </c:pt>
                <c:pt idx="396">
                  <c:v>0.33371863073272656</c:v>
                </c:pt>
                <c:pt idx="397">
                  <c:v>0.32821879812908195</c:v>
                </c:pt>
                <c:pt idx="398">
                  <c:v>0.32274003170468374</c:v>
                </c:pt>
                <c:pt idx="399">
                  <c:v>0.3172821965471545</c:v>
                </c:pt>
                <c:pt idx="400">
                  <c:v>0.31184515896039511</c:v>
                </c:pt>
                <c:pt idx="401">
                  <c:v>0.30642878645027644</c:v>
                </c:pt>
                <c:pt idx="402">
                  <c:v>0.30103294771059425</c:v>
                </c:pt>
                <c:pt idx="403">
                  <c:v>0.29565751260918854</c:v>
                </c:pt>
                <c:pt idx="404">
                  <c:v>0.2903023521742748</c:v>
                </c:pt>
                <c:pt idx="405">
                  <c:v>0.28496733858094886</c:v>
                </c:pt>
                <c:pt idx="406">
                  <c:v>0.27965234513791259</c:v>
                </c:pt>
                <c:pt idx="407">
                  <c:v>0.27435724627435071</c:v>
                </c:pt>
                <c:pt idx="408">
                  <c:v>0.2690819175270267</c:v>
                </c:pt>
                <c:pt idx="409">
                  <c:v>0.26382623552751144</c:v>
                </c:pt>
                <c:pt idx="410">
                  <c:v>0.25859007798966271</c:v>
                </c:pt>
                <c:pt idx="411">
                  <c:v>0.25337332369719262</c:v>
                </c:pt>
                <c:pt idx="412">
                  <c:v>0.24817585249147517</c:v>
                </c:pt>
                <c:pt idx="413">
                  <c:v>0.24299754525949252</c:v>
                </c:pt>
                <c:pt idx="414">
                  <c:v>0.23783828392194462</c:v>
                </c:pt>
                <c:pt idx="415">
                  <c:v>0.2326979514215452</c:v>
                </c:pt>
                <c:pt idx="416">
                  <c:v>0.22757643171144515</c:v>
                </c:pt>
                <c:pt idx="417">
                  <c:v>0.222473609743854</c:v>
                </c:pt>
                <c:pt idx="418">
                  <c:v>0.2173893714587804</c:v>
                </c:pt>
                <c:pt idx="419">
                  <c:v>0.21232360377294865</c:v>
                </c:pt>
                <c:pt idx="420">
                  <c:v>0.20727619456886315</c:v>
                </c:pt>
                <c:pt idx="421">
                  <c:v>0.20224703268400962</c:v>
                </c:pt>
                <c:pt idx="422">
                  <c:v>0.19723600790022083</c:v>
                </c:pt>
                <c:pt idx="423">
                  <c:v>0.19224301093316359</c:v>
                </c:pt>
                <c:pt idx="424">
                  <c:v>0.18726793342199699</c:v>
                </c:pt>
                <c:pt idx="425">
                  <c:v>0.1823106679191388</c:v>
                </c:pt>
                <c:pt idx="426">
                  <c:v>0.17737110788019186</c:v>
                </c:pt>
                <c:pt idx="427">
                  <c:v>0.17244914765399741</c:v>
                </c:pt>
                <c:pt idx="428">
                  <c:v>0.16754468247281104</c:v>
                </c:pt>
                <c:pt idx="429">
                  <c:v>0.16265760844263211</c:v>
                </c:pt>
                <c:pt idx="430">
                  <c:v>0.15778782253365078</c:v>
                </c:pt>
                <c:pt idx="431">
                  <c:v>0.15293522257080477</c:v>
                </c:pt>
                <c:pt idx="432">
                  <c:v>0.14809970722449392</c:v>
                </c:pt>
                <c:pt idx="433">
                  <c:v>0.1432811760014025</c:v>
                </c:pt>
                <c:pt idx="434">
                  <c:v>0.13847952923541984</c:v>
                </c:pt>
                <c:pt idx="435">
                  <c:v>0.13369466807871974</c:v>
                </c:pt>
                <c:pt idx="436">
                  <c:v>0.12892649449294633</c:v>
                </c:pt>
                <c:pt idx="437">
                  <c:v>0.12417491124047804</c:v>
                </c:pt>
                <c:pt idx="438">
                  <c:v>0.11943982187586906</c:v>
                </c:pt>
                <c:pt idx="439">
                  <c:v>0.11472113073735088</c:v>
                </c:pt>
                <c:pt idx="440">
                  <c:v>0.11001874293846443</c:v>
                </c:pt>
                <c:pt idx="441">
                  <c:v>0.10533256435980765</c:v>
                </c:pt>
                <c:pt idx="442">
                  <c:v>0.10066250164086732</c:v>
                </c:pt>
                <c:pt idx="443">
                  <c:v>9.6008462171989287E-2</c:v>
                </c:pt>
                <c:pt idx="444">
                  <c:v>9.1370354086419331E-2</c:v>
                </c:pt>
                <c:pt idx="445">
                  <c:v>8.6748086252470658E-2</c:v>
                </c:pt>
                <c:pt idx="446">
                  <c:v>8.2141568265773915E-2</c:v>
                </c:pt>
                <c:pt idx="447">
                  <c:v>7.75507104416438E-2</c:v>
                </c:pt>
                <c:pt idx="448">
                  <c:v>7.297542380753326E-2</c:v>
                </c:pt>
                <c:pt idx="449">
                  <c:v>6.8415620095580928E-2</c:v>
                </c:pt>
                <c:pt idx="450">
                  <c:v>6.3871211735267927E-2</c:v>
                </c:pt>
                <c:pt idx="451">
                  <c:v>5.9342111846147558E-2</c:v>
                </c:pt>
                <c:pt idx="452">
                  <c:v>5.4828234230685252E-2</c:v>
                </c:pt>
                <c:pt idx="453">
                  <c:v>5.0329493367176723E-2</c:v>
                </c:pt>
                <c:pt idx="454">
                  <c:v>4.5845804402771757E-2</c:v>
                </c:pt>
                <c:pt idx="455">
                  <c:v>4.1377083146566532E-2</c:v>
                </c:pt>
                <c:pt idx="456">
                  <c:v>3.6923246062790155E-2</c:v>
                </c:pt>
                <c:pt idx="457">
                  <c:v>3.2484210264082748E-2</c:v>
                </c:pt>
                <c:pt idx="458">
                  <c:v>2.8059893504862404E-2</c:v>
                </c:pt>
                <c:pt idx="459">
                  <c:v>2.3650214174742584E-2</c:v>
                </c:pt>
                <c:pt idx="460">
                  <c:v>1.925509129207546E-2</c:v>
                </c:pt>
                <c:pt idx="461">
                  <c:v>1.4874444497547433E-2</c:v>
                </c:pt>
                <c:pt idx="462">
                  <c:v>1.0508194047867072E-2</c:v>
                </c:pt>
                <c:pt idx="463">
                  <c:v>6.1562608095221067E-3</c:v>
                </c:pt>
                <c:pt idx="464">
                  <c:v>1.8185662526179359E-3</c:v>
                </c:pt>
                <c:pt idx="465">
                  <c:v>-2.5049675552084294E-3</c:v>
                </c:pt>
                <c:pt idx="466">
                  <c:v>-6.8144179547925407E-3</c:v>
                </c:pt>
                <c:pt idx="467">
                  <c:v>-1.1109861701384251E-2</c:v>
                </c:pt>
                <c:pt idx="468">
                  <c:v>-1.5391374970501925E-2</c:v>
                </c:pt>
                <c:pt idx="469">
                  <c:v>-1.9659033363746602E-2</c:v>
                </c:pt>
                <c:pt idx="470">
                  <c:v>-2.3912911914493424E-2</c:v>
                </c:pt>
                <c:pt idx="471">
                  <c:v>-2.815308509356242E-2</c:v>
                </c:pt>
                <c:pt idx="472">
                  <c:v>-3.2379626814791188E-2</c:v>
                </c:pt>
                <c:pt idx="473">
                  <c:v>-3.6592610440552308E-2</c:v>
                </c:pt>
                <c:pt idx="474">
                  <c:v>-4.0792108787207432E-2</c:v>
                </c:pt>
                <c:pt idx="475">
                  <c:v>-4.4978194130466553E-2</c:v>
                </c:pt>
                <c:pt idx="476">
                  <c:v>-4.9150938210734664E-2</c:v>
                </c:pt>
                <c:pt idx="477">
                  <c:v>-5.3310412238335859E-2</c:v>
                </c:pt>
                <c:pt idx="478">
                  <c:v>-5.7456686898719592E-2</c:v>
                </c:pt>
                <c:pt idx="479">
                  <c:v>-6.1589832357586194E-2</c:v>
                </c:pt>
                <c:pt idx="480">
                  <c:v>-6.5709918265939041E-2</c:v>
                </c:pt>
                <c:pt idx="481">
                  <c:v>-6.9817013765106212E-2</c:v>
                </c:pt>
                <c:pt idx="482">
                  <c:v>-7.391118749166628E-2</c:v>
                </c:pt>
                <c:pt idx="483">
                  <c:v>-7.7992507582354251E-2</c:v>
                </c:pt>
                <c:pt idx="484">
                  <c:v>-8.2061041678874569E-2</c:v>
                </c:pt>
                <c:pt idx="485">
                  <c:v>-8.6116856932678301E-2</c:v>
                </c:pt>
                <c:pt idx="486">
                  <c:v>-9.0160020009670952E-2</c:v>
                </c:pt>
                <c:pt idx="487">
                  <c:v>-9.4190597094882228E-2</c:v>
                </c:pt>
                <c:pt idx="488">
                  <c:v>-9.8208653897047554E-2</c:v>
                </c:pt>
                <c:pt idx="489">
                  <c:v>-0.10221425565318876</c:v>
                </c:pt>
                <c:pt idx="490">
                  <c:v>-0.10620746713307469</c:v>
                </c:pt>
                <c:pt idx="491">
                  <c:v>-0.11018835264368869</c:v>
                </c:pt>
                <c:pt idx="492">
                  <c:v>-0.1141569760336065</c:v>
                </c:pt>
                <c:pt idx="493">
                  <c:v>-0.11811340069734581</c:v>
                </c:pt>
                <c:pt idx="494">
                  <c:v>-0.12205768957964383</c:v>
                </c:pt>
                <c:pt idx="495">
                  <c:v>-0.12598990517969966</c:v>
                </c:pt>
                <c:pt idx="496">
                  <c:v>-0.129910109555371</c:v>
                </c:pt>
                <c:pt idx="497">
                  <c:v>-0.13381836432729663</c:v>
                </c:pt>
                <c:pt idx="498">
                  <c:v>-0.1377147306830151</c:v>
                </c:pt>
                <c:pt idx="499">
                  <c:v>-0.14159926938099152</c:v>
                </c:pt>
                <c:pt idx="500">
                  <c:v>-0.14547204075461204</c:v>
                </c:pt>
                <c:pt idx="501">
                  <c:v>-1.2892635116920539</c:v>
                </c:pt>
                <c:pt idx="502">
                  <c:v>-2.2733573234420623</c:v>
                </c:pt>
                <c:pt idx="503">
                  <c:v>-3.041980346515599</c:v>
                </c:pt>
              </c:numCache>
            </c:numRef>
          </c:xVal>
          <c:yVal>
            <c:numRef>
              <c:f>'SR Plots with Ref Pts'!$AC$3:$AC$506</c:f>
              <c:numCache>
                <c:formatCode>General</c:formatCode>
                <c:ptCount val="504"/>
                <c:pt idx="0">
                  <c:v>2.914803736686416E-5</c:v>
                </c:pt>
                <c:pt idx="1">
                  <c:v>0.27304398896818233</c:v>
                </c:pt>
                <c:pt idx="2">
                  <c:v>0.51281605101056194</c:v>
                </c:pt>
                <c:pt idx="3">
                  <c:v>0.72400581381951945</c:v>
                </c:pt>
                <c:pt idx="4">
                  <c:v>0.91050609253656378</c:v>
                </c:pt>
                <c:pt idx="5">
                  <c:v>1.0755727349274968</c:v>
                </c:pt>
                <c:pt idx="6">
                  <c:v>1.2219476063613954</c:v>
                </c:pt>
                <c:pt idx="7">
                  <c:v>1.3519542579358321</c:v>
                </c:pt>
                <c:pt idx="8">
                  <c:v>1.4675730981922595</c:v>
                </c:pt>
                <c:pt idx="9">
                  <c:v>1.5705010098770316</c:v>
                </c:pt>
                <c:pt idx="10">
                  <c:v>1.6621990371843163</c:v>
                </c:pt>
                <c:pt idx="11">
                  <c:v>1.7439308344906912</c:v>
                </c:pt>
                <c:pt idx="12">
                  <c:v>1.8167938956536049</c:v>
                </c:pt>
                <c:pt idx="13">
                  <c:v>1.8817450940482598</c:v>
                </c:pt>
                <c:pt idx="14">
                  <c:v>1.9396217038856089</c:v>
                </c:pt>
                <c:pt idx="15">
                  <c:v>1.9911588060957366</c:v>
                </c:pt>
                <c:pt idx="16">
                  <c:v>2.0370037815441675</c:v>
                </c:pt>
                <c:pt idx="17">
                  <c:v>2.0777284425541551</c:v>
                </c:pt>
                <c:pt idx="18">
                  <c:v>2.1138392378271735</c:v>
                </c:pt>
                <c:pt idx="19">
                  <c:v>2.1457858766871878</c:v>
                </c:pt>
                <c:pt idx="20">
                  <c:v>2.173968649449848</c:v>
                </c:pt>
                <c:pt idx="21">
                  <c:v>2.1987446667517236</c:v>
                </c:pt>
                <c:pt idx="22">
                  <c:v>2.2204331982614707</c:v>
                </c:pt>
                <c:pt idx="23">
                  <c:v>2.2393202576500992</c:v>
                </c:pt>
                <c:pt idx="24">
                  <c:v>2.2556625540075705</c:v>
                </c:pt>
                <c:pt idx="25">
                  <c:v>2.269690908535932</c:v>
                </c:pt>
                <c:pt idx="26">
                  <c:v>2.2816132181667914</c:v>
                </c:pt>
                <c:pt idx="27">
                  <c:v>2.2916170338556863</c:v>
                </c:pt>
                <c:pt idx="28">
                  <c:v>2.2998718100137019</c:v>
                </c:pt>
                <c:pt idx="29">
                  <c:v>2.3065308723166775</c:v>
                </c:pt>
                <c:pt idx="30">
                  <c:v>2.3117331435704997</c:v>
                </c:pt>
                <c:pt idx="31">
                  <c:v>2.3156046610825411</c:v>
                </c:pt>
                <c:pt idx="32">
                  <c:v>2.3182599138379025</c:v>
                </c:pt>
                <c:pt idx="33">
                  <c:v>2.3198030235019598</c:v>
                </c:pt>
                <c:pt idx="34">
                  <c:v>2.3203287897058655</c:v>
                </c:pt>
                <c:pt idx="35">
                  <c:v>2.3199236170898287</c:v>
                </c:pt>
                <c:pt idx="36">
                  <c:v>2.3186663390761426</c:v>
                </c:pt>
                <c:pt idx="37">
                  <c:v>2.3166289512361455</c:v>
                </c:pt>
                <c:pt idx="38">
                  <c:v>2.3138772653344453</c:v>
                </c:pt>
                <c:pt idx="39">
                  <c:v>2.3104714936245649</c:v>
                </c:pt>
                <c:pt idx="40">
                  <c:v>2.306466771687373</c:v>
                </c:pt>
                <c:pt idx="41">
                  <c:v>2.3019136270101468</c:v>
                </c:pt>
                <c:pt idx="42">
                  <c:v>2.2968583995695155</c:v>
                </c:pt>
                <c:pt idx="43">
                  <c:v>2.2913436198804105</c:v>
                </c:pt>
                <c:pt idx="44">
                  <c:v>2.285408349284932</c:v>
                </c:pt>
                <c:pt idx="45">
                  <c:v>2.2790884866621814</c:v>
                </c:pt>
                <c:pt idx="46">
                  <c:v>2.2724170452282357</c:v>
                </c:pt>
                <c:pt idx="47">
                  <c:v>2.2654244026525157</c:v>
                </c:pt>
                <c:pt idx="48">
                  <c:v>2.2581385273325787</c:v>
                </c:pt>
                <c:pt idx="49">
                  <c:v>2.2505851833355002</c:v>
                </c:pt>
                <c:pt idx="50">
                  <c:v>2.24278811622314</c:v>
                </c:pt>
                <c:pt idx="51">
                  <c:v>2.2347692217248012</c:v>
                </c:pt>
                <c:pt idx="52">
                  <c:v>2.2265486989988399</c:v>
                </c:pt>
                <c:pt idx="53">
                  <c:v>2.2181451900303721</c:v>
                </c:pt>
                <c:pt idx="54">
                  <c:v>2.2095759065415765</c:v>
                </c:pt>
                <c:pt idx="55">
                  <c:v>2.2008567456410715</c:v>
                </c:pt>
                <c:pt idx="56">
                  <c:v>2.1920023953067438</c:v>
                </c:pt>
                <c:pt idx="57">
                  <c:v>2.1830264306798139</c:v>
                </c:pt>
                <c:pt idx="58">
                  <c:v>2.1739414020450298</c:v>
                </c:pt>
                <c:pt idx="59">
                  <c:v>2.1647589152806566</c:v>
                </c:pt>
                <c:pt idx="60">
                  <c:v>2.1554897054812558</c:v>
                </c:pt>
                <c:pt idx="61">
                  <c:v>2.1461437043845444</c:v>
                </c:pt>
                <c:pt idx="62">
                  <c:v>2.1367301021699161</c:v>
                </c:pt>
                <c:pt idx="63">
                  <c:v>2.1272574041395176</c:v>
                </c:pt>
                <c:pt idx="64">
                  <c:v>2.1177334827422656</c:v>
                </c:pt>
                <c:pt idx="65">
                  <c:v>2.1081656253560737</c:v>
                </c:pt>
                <c:pt idx="66">
                  <c:v>2.0985605782033105</c:v>
                </c:pt>
                <c:pt idx="67">
                  <c:v>2.0889245867384556</c:v>
                </c:pt>
                <c:pt idx="68">
                  <c:v>2.0792634328146629</c:v>
                </c:pt>
                <c:pt idx="69">
                  <c:v>2.0695824689069902</c:v>
                </c:pt>
                <c:pt idx="70">
                  <c:v>2.0598866496441053</c:v>
                </c:pt>
                <c:pt idx="71">
                  <c:v>2.0501805608769268</c:v>
                </c:pt>
                <c:pt idx="72">
                  <c:v>2.0404684464916505</c:v>
                </c:pt>
                <c:pt idx="73">
                  <c:v>2.0307542331557391</c:v>
                </c:pt>
                <c:pt idx="74">
                  <c:v>2.0210415531683918</c:v>
                </c:pt>
                <c:pt idx="75">
                  <c:v>2.0113337655716381</c:v>
                </c:pt>
                <c:pt idx="76">
                  <c:v>2.0016339756643102</c:v>
                </c:pt>
                <c:pt idx="77">
                  <c:v>1.9919450530486216</c:v>
                </c:pt>
                <c:pt idx="78">
                  <c:v>1.9822696483276958</c:v>
                </c:pt>
                <c:pt idx="79">
                  <c:v>1.9726102085621231</c:v>
                </c:pt>
                <c:pt idx="80">
                  <c:v>1.9629689915842869</c:v>
                </c:pt>
                <c:pt idx="81">
                  <c:v>1.9533480792607902</c:v>
                </c:pt>
                <c:pt idx="82">
                  <c:v>1.9437493897855564</c:v>
                </c:pt>
                <c:pt idx="83">
                  <c:v>1.9341746890793194</c:v>
                </c:pt>
                <c:pt idx="84">
                  <c:v>1.9246256013647649</c:v>
                </c:pt>
                <c:pt idx="85">
                  <c:v>1.9151036189808996</c:v>
                </c:pt>
                <c:pt idx="86">
                  <c:v>1.9056101114949253</c:v>
                </c:pt>
                <c:pt idx="87">
                  <c:v>1.8961463341651443</c:v>
                </c:pt>
                <c:pt idx="88">
                  <c:v>1.8867134358040138</c:v>
                </c:pt>
                <c:pt idx="89">
                  <c:v>1.8773124660865257</c:v>
                </c:pt>
                <c:pt idx="90">
                  <c:v>1.8679443823454329</c:v>
                </c:pt>
                <c:pt idx="91">
                  <c:v>1.8586100558915299</c:v>
                </c:pt>
                <c:pt idx="92">
                  <c:v>1.8493102778941231</c:v>
                </c:pt>
                <c:pt idx="93">
                  <c:v>1.8400457648541011</c:v>
                </c:pt>
                <c:pt idx="94">
                  <c:v>1.8308171636994495</c:v>
                </c:pt>
                <c:pt idx="95">
                  <c:v>1.8216250565306746</c:v>
                </c:pt>
                <c:pt idx="96">
                  <c:v>1.8124699650415572</c:v>
                </c:pt>
                <c:pt idx="97">
                  <c:v>1.8033523546386321</c:v>
                </c:pt>
                <c:pt idx="98">
                  <c:v>1.7942726382809828</c:v>
                </c:pt>
                <c:pt idx="99">
                  <c:v>1.7852311800603653</c:v>
                </c:pt>
                <c:pt idx="100">
                  <c:v>1.7762282985400653</c:v>
                </c:pt>
                <c:pt idx="101">
                  <c:v>1.7672642698695775</c:v>
                </c:pt>
                <c:pt idx="102">
                  <c:v>1.7583393306908597</c:v>
                </c:pt>
                <c:pt idx="103">
                  <c:v>1.7494536808507788</c:v>
                </c:pt>
                <c:pt idx="104">
                  <c:v>1.7406074859332386</c:v>
                </c:pt>
                <c:pt idx="105">
                  <c:v>1.7318008796235227</c:v>
                </c:pt>
                <c:pt idx="106">
                  <c:v>1.7230339659164342</c:v>
                </c:pt>
                <c:pt idx="107">
                  <c:v>1.7143068211789765</c:v>
                </c:pt>
                <c:pt idx="108">
                  <c:v>1.7056194960775501</c:v>
                </c:pt>
                <c:pt idx="109">
                  <c:v>1.6969720173788787</c:v>
                </c:pt>
                <c:pt idx="110">
                  <c:v>1.6883643896332658</c:v>
                </c:pt>
                <c:pt idx="111">
                  <c:v>1.6797965967481325</c:v>
                </c:pt>
                <c:pt idx="112">
                  <c:v>1.6712686034592099</c:v>
                </c:pt>
                <c:pt idx="113">
                  <c:v>1.6627803567062767</c:v>
                </c:pt>
                <c:pt idx="114">
                  <c:v>1.6543317869197984</c:v>
                </c:pt>
                <c:pt idx="115">
                  <c:v>1.6459228092244178</c:v>
                </c:pt>
                <c:pt idx="116">
                  <c:v>1.6375533245647884</c:v>
                </c:pt>
                <c:pt idx="117">
                  <c:v>1.6292232207589006</c:v>
                </c:pt>
                <c:pt idx="118">
                  <c:v>1.6209323734836529</c:v>
                </c:pt>
                <c:pt idx="119">
                  <c:v>1.6126806471971338</c:v>
                </c:pt>
                <c:pt idx="120">
                  <c:v>1.6044678960017258</c:v>
                </c:pt>
                <c:pt idx="121">
                  <c:v>1.5962939644519025</c:v>
                </c:pt>
                <c:pt idx="122">
                  <c:v>1.5881586883102981</c:v>
                </c:pt>
                <c:pt idx="123">
                  <c:v>1.5800618952553918</c:v>
                </c:pt>
                <c:pt idx="124">
                  <c:v>1.5720034055439429</c:v>
                </c:pt>
                <c:pt idx="125">
                  <c:v>1.5639830326310575</c:v>
                </c:pt>
                <c:pt idx="126">
                  <c:v>1.5560005837506241</c:v>
                </c:pt>
                <c:pt idx="127">
                  <c:v>1.5480558604586325</c:v>
                </c:pt>
                <c:pt idx="128">
                  <c:v>1.540148659141749</c:v>
                </c:pt>
                <c:pt idx="129">
                  <c:v>1.5322787714933415</c:v>
                </c:pt>
                <c:pt idx="130">
                  <c:v>1.5244459849590282</c:v>
                </c:pt>
                <c:pt idx="131">
                  <c:v>1.5166500831536585</c:v>
                </c:pt>
                <c:pt idx="132">
                  <c:v>1.5088908462515405</c:v>
                </c:pt>
                <c:pt idx="133">
                  <c:v>1.5011680513515737</c:v>
                </c:pt>
                <c:pt idx="134">
                  <c:v>1.493481472818881</c:v>
                </c:pt>
                <c:pt idx="135">
                  <c:v>1.4858308826043805</c:v>
                </c:pt>
                <c:pt idx="136">
                  <c:v>1.4782160505437039</c:v>
                </c:pt>
                <c:pt idx="137">
                  <c:v>1.4706367446367159</c:v>
                </c:pt>
                <c:pt idx="138">
                  <c:v>1.4630927313088504</c:v>
                </c:pt>
                <c:pt idx="139">
                  <c:v>1.455583775655396</c:v>
                </c:pt>
                <c:pt idx="140">
                  <c:v>1.4481096416697581</c:v>
                </c:pt>
                <c:pt idx="141">
                  <c:v>1.4406700924567297</c:v>
                </c:pt>
                <c:pt idx="142">
                  <c:v>1.4332648904316345</c:v>
                </c:pt>
                <c:pt idx="143">
                  <c:v>1.4258937975062649</c:v>
                </c:pt>
                <c:pt idx="144">
                  <c:v>1.4185565752623883</c:v>
                </c:pt>
                <c:pt idx="145">
                  <c:v>1.4112529851136018</c:v>
                </c:pt>
                <c:pt idx="146">
                  <c:v>1.4039827884562333</c:v>
                </c:pt>
                <c:pt idx="147">
                  <c:v>1.3967457468099715</c:v>
                </c:pt>
                <c:pt idx="148">
                  <c:v>1.3895416219488421</c:v>
                </c:pt>
                <c:pt idx="149">
                  <c:v>1.3823701760231177</c:v>
                </c:pt>
                <c:pt idx="150">
                  <c:v>1.3752311716727206</c:v>
                </c:pt>
                <c:pt idx="151">
                  <c:v>1.3681243721326228</c:v>
                </c:pt>
                <c:pt idx="152">
                  <c:v>1.3610495413307491</c:v>
                </c:pt>
                <c:pt idx="153">
                  <c:v>1.3540064439788091</c:v>
                </c:pt>
                <c:pt idx="154">
                  <c:v>1.3469948456565242</c:v>
                </c:pt>
                <c:pt idx="155">
                  <c:v>1.3400145128896122</c:v>
                </c:pt>
                <c:pt idx="156">
                  <c:v>1.3330652132219387</c:v>
                </c:pt>
                <c:pt idx="157">
                  <c:v>1.3261467152821695</c:v>
                </c:pt>
                <c:pt idx="158">
                  <c:v>1.3192587888452718</c:v>
                </c:pt>
                <c:pt idx="159">
                  <c:v>1.3124012048891556</c:v>
                </c:pt>
                <c:pt idx="160">
                  <c:v>1.3055737356467889</c:v>
                </c:pt>
                <c:pt idx="161">
                  <c:v>1.2987761546540053</c:v>
                </c:pt>
                <c:pt idx="162">
                  <c:v>1.2920082367933265</c:v>
                </c:pt>
                <c:pt idx="163">
                  <c:v>1.2852697583340014</c:v>
                </c:pt>
                <c:pt idx="164">
                  <c:v>1.2785604969685009</c:v>
                </c:pt>
                <c:pt idx="165">
                  <c:v>1.2718802318456945</c:v>
                </c:pt>
                <c:pt idx="166">
                  <c:v>1.2652287436009078</c:v>
                </c:pt>
                <c:pt idx="167">
                  <c:v>1.2586058143830408</c:v>
                </c:pt>
                <c:pt idx="168">
                  <c:v>1.2520112278789524</c:v>
                </c:pt>
                <c:pt idx="169">
                  <c:v>1.2454447693352431</c:v>
                </c:pt>
                <c:pt idx="170">
                  <c:v>1.2389062255776373</c:v>
                </c:pt>
                <c:pt idx="171">
                  <c:v>1.2323953850280789</c:v>
                </c:pt>
                <c:pt idx="172">
                  <c:v>1.2259120377197119</c:v>
                </c:pt>
                <c:pt idx="173">
                  <c:v>1.219455975309846</c:v>
                </c:pt>
                <c:pt idx="174">
                  <c:v>1.2130269910910658</c:v>
                </c:pt>
                <c:pt idx="175">
                  <c:v>1.2066248800005792</c:v>
                </c:pt>
                <c:pt idx="176">
                  <c:v>1.200249438627923</c:v>
                </c:pt>
                <c:pt idx="177">
                  <c:v>1.1939004652211276</c:v>
                </c:pt>
                <c:pt idx="178">
                  <c:v>1.1875777596914503</c:v>
                </c:pt>
                <c:pt idx="179">
                  <c:v>1.1812811236167462</c:v>
                </c:pt>
                <c:pt idx="180">
                  <c:v>1.1750103602435937</c:v>
                </c:pt>
                <c:pt idx="181">
                  <c:v>1.1687652744882271</c:v>
                </c:pt>
                <c:pt idx="182">
                  <c:v>1.1625456729363828</c:v>
                </c:pt>
                <c:pt idx="183">
                  <c:v>1.1563513638421079</c:v>
                </c:pt>
                <c:pt idx="184">
                  <c:v>1.1501821571256077</c:v>
                </c:pt>
                <c:pt idx="185">
                  <c:v>1.1440378643702072</c:v>
                </c:pt>
                <c:pt idx="186">
                  <c:v>1.1379182988184708</c:v>
                </c:pt>
                <c:pt idx="187">
                  <c:v>1.1318232753675523</c:v>
                </c:pt>
                <c:pt idx="188">
                  <c:v>1.1257526105638131</c:v>
                </c:pt>
                <c:pt idx="189">
                  <c:v>1.1197061225967821</c:v>
                </c:pt>
                <c:pt idx="190">
                  <c:v>1.1136836312924778</c:v>
                </c:pt>
                <c:pt idx="191">
                  <c:v>1.1076849581061634</c:v>
                </c:pt>
                <c:pt idx="192">
                  <c:v>1.1017099261145606</c:v>
                </c:pt>
                <c:pt idx="193">
                  <c:v>1.0957583600075693</c:v>
                </c:pt>
                <c:pt idx="194">
                  <c:v>1.0898300860795331</c:v>
                </c:pt>
                <c:pt idx="195">
                  <c:v>1.0839249322200697</c:v>
                </c:pt>
                <c:pt idx="196">
                  <c:v>1.0780427279045319</c:v>
                </c:pt>
                <c:pt idx="197">
                  <c:v>1.0721833041840936</c:v>
                </c:pt>
                <c:pt idx="198">
                  <c:v>1.0663464936755238</c:v>
                </c:pt>
                <c:pt idx="199">
                  <c:v>1.0605321305506412</c:v>
                </c:pt>
                <c:pt idx="200">
                  <c:v>1.0547400505255202</c:v>
                </c:pt>
                <c:pt idx="201">
                  <c:v>1.0489700908494257</c:v>
                </c:pt>
                <c:pt idx="202">
                  <c:v>1.0432220902935379</c:v>
                </c:pt>
                <c:pt idx="203">
                  <c:v>1.0374958891394648</c:v>
                </c:pt>
                <c:pt idx="204">
                  <c:v>1.0317913291675802</c:v>
                </c:pt>
                <c:pt idx="205">
                  <c:v>1.0261082536451895</c:v>
                </c:pt>
                <c:pt idx="206">
                  <c:v>1.020446507314549</c:v>
                </c:pt>
                <c:pt idx="207">
                  <c:v>1.0148059363807795</c:v>
                </c:pt>
                <c:pt idx="208">
                  <c:v>1.0091863884996339</c:v>
                </c:pt>
                <c:pt idx="209">
                  <c:v>1.0035877127651927</c:v>
                </c:pt>
                <c:pt idx="210">
                  <c:v>0.99800975969747241</c:v>
                </c:pt>
                <c:pt idx="211">
                  <c:v>0.99245238122995505</c:v>
                </c:pt>
                <c:pt idx="212">
                  <c:v>0.98691543069707299</c:v>
                </c:pt>
                <c:pt idx="213">
                  <c:v>0.98139876282164151</c:v>
                </c:pt>
                <c:pt idx="214">
                  <c:v>0.97590223370225626</c:v>
                </c:pt>
                <c:pt idx="215">
                  <c:v>0.97042570080068102</c:v>
                </c:pt>
                <c:pt idx="216">
                  <c:v>0.96496902292919451</c:v>
                </c:pt>
                <c:pt idx="217">
                  <c:v>0.95953206023796345</c:v>
                </c:pt>
                <c:pt idx="218">
                  <c:v>0.95411467420239526</c:v>
                </c:pt>
                <c:pt idx="219">
                  <c:v>0.94871672761051451</c:v>
                </c:pt>
                <c:pt idx="220">
                  <c:v>0.94333808455035195</c:v>
                </c:pt>
                <c:pt idx="221">
                  <c:v>0.93797861039736519</c:v>
                </c:pt>
                <c:pt idx="222">
                  <c:v>0.93263817180188924</c:v>
                </c:pt>
                <c:pt idx="223">
                  <c:v>0.9273166366766169</c:v>
                </c:pt>
                <c:pt idx="224">
                  <c:v>0.92201387418413927</c:v>
                </c:pt>
                <c:pt idx="225">
                  <c:v>0.91672975472452456</c:v>
                </c:pt>
                <c:pt idx="226">
                  <c:v>0.91146414992294877</c:v>
                </c:pt>
                <c:pt idx="227">
                  <c:v>0.90621693261739045</c:v>
                </c:pt>
                <c:pt idx="228">
                  <c:v>0.90098797684638876</c:v>
                </c:pt>
                <c:pt idx="229">
                  <c:v>0.89577715783685996</c:v>
                </c:pt>
                <c:pt idx="230">
                  <c:v>0.89058435199200003</c:v>
                </c:pt>
                <c:pt idx="231">
                  <c:v>0.88540943687923201</c:v>
                </c:pt>
                <c:pt idx="232">
                  <c:v>0.8802522912182642</c:v>
                </c:pt>
                <c:pt idx="233">
                  <c:v>0.8751127948692019</c:v>
                </c:pt>
                <c:pt idx="234">
                  <c:v>0.86999082882075007</c:v>
                </c:pt>
                <c:pt idx="235">
                  <c:v>0.86488627517850136</c:v>
                </c:pt>
                <c:pt idx="236">
                  <c:v>0.85979901715330675</c:v>
                </c:pt>
                <c:pt idx="237">
                  <c:v>0.85472893904973812</c:v>
                </c:pt>
                <c:pt idx="238">
                  <c:v>0.84967592625463295</c:v>
                </c:pt>
                <c:pt idx="239">
                  <c:v>0.84463986522573931</c:v>
                </c:pt>
                <c:pt idx="240">
                  <c:v>0.8396206434804494</c:v>
                </c:pt>
                <c:pt idx="241">
                  <c:v>0.83461814958463143</c:v>
                </c:pt>
                <c:pt idx="242">
                  <c:v>0.82963227314154298</c:v>
                </c:pt>
                <c:pt idx="243">
                  <c:v>0.82466290478086046</c:v>
                </c:pt>
                <c:pt idx="244">
                  <c:v>0.81970993614779331</c:v>
                </c:pt>
                <c:pt idx="245">
                  <c:v>0.81477325989229388</c:v>
                </c:pt>
                <c:pt idx="246">
                  <c:v>0.80985276965837727</c:v>
                </c:pt>
                <c:pt idx="247">
                  <c:v>0.80494836007352832</c:v>
                </c:pt>
                <c:pt idx="248">
                  <c:v>0.80005992673821602</c:v>
                </c:pt>
                <c:pt idx="249">
                  <c:v>0.79518736621550601</c:v>
                </c:pt>
                <c:pt idx="250">
                  <c:v>0.79033057602076107</c:v>
                </c:pt>
                <c:pt idx="251">
                  <c:v>0.78548945461147246</c:v>
                </c:pt>
                <c:pt idx="252">
                  <c:v>0.78066390137714869</c:v>
                </c:pt>
                <c:pt idx="253">
                  <c:v>0.77585381662934727</c:v>
                </c:pt>
                <c:pt idx="254">
                  <c:v>0.77105910159177815</c:v>
                </c:pt>
                <c:pt idx="255">
                  <c:v>0.76627965839050827</c:v>
                </c:pt>
                <c:pt idx="256">
                  <c:v>0.76151539004428936</c:v>
                </c:pt>
                <c:pt idx="257">
                  <c:v>0.75676620045496312</c:v>
                </c:pt>
                <c:pt idx="258">
                  <c:v>0.75203199439796764</c:v>
                </c:pt>
                <c:pt idx="259">
                  <c:v>0.74731267751295627</c:v>
                </c:pt>
                <c:pt idx="260">
                  <c:v>0.74260815629449872</c:v>
                </c:pt>
                <c:pt idx="261">
                  <c:v>0.73791833808289631</c:v>
                </c:pt>
                <c:pt idx="262">
                  <c:v>0.73324313105508487</c:v>
                </c:pt>
                <c:pt idx="263">
                  <c:v>0.72858244421563734</c:v>
                </c:pt>
                <c:pt idx="264">
                  <c:v>0.72393618738785748</c:v>
                </c:pt>
                <c:pt idx="265">
                  <c:v>0.7193042712049893</c:v>
                </c:pt>
                <c:pt idx="266">
                  <c:v>0.71468660710149523</c:v>
                </c:pt>
                <c:pt idx="267">
                  <c:v>0.71008310730445201</c:v>
                </c:pt>
                <c:pt idx="268">
                  <c:v>0.70549368482502484</c:v>
                </c:pt>
                <c:pt idx="269">
                  <c:v>0.7009182534500511</c:v>
                </c:pt>
                <c:pt idx="270">
                  <c:v>0.69635672773370227</c:v>
                </c:pt>
                <c:pt idx="271">
                  <c:v>0.69180902298924229</c:v>
                </c:pt>
                <c:pt idx="272">
                  <c:v>0.68727505528088806</c:v>
                </c:pt>
                <c:pt idx="273">
                  <c:v>0.68275474141574555</c:v>
                </c:pt>
                <c:pt idx="274">
                  <c:v>0.67824799893584686</c:v>
                </c:pt>
                <c:pt idx="275">
                  <c:v>0.67375474611027475</c:v>
                </c:pt>
                <c:pt idx="276">
                  <c:v>0.66927490192736716</c:v>
                </c:pt>
                <c:pt idx="277">
                  <c:v>0.6648083860870273</c:v>
                </c:pt>
                <c:pt idx="278">
                  <c:v>0.66035511899310084</c:v>
                </c:pt>
                <c:pt idx="279">
                  <c:v>0.65591502174585359</c:v>
                </c:pt>
                <c:pt idx="280">
                  <c:v>0.65148801613453255</c:v>
                </c:pt>
                <c:pt idx="281">
                  <c:v>0.64707402463000252</c:v>
                </c:pt>
                <c:pt idx="282">
                  <c:v>0.64267297037747972</c:v>
                </c:pt>
                <c:pt idx="283">
                  <c:v>0.63828477718933974</c:v>
                </c:pt>
                <c:pt idx="284">
                  <c:v>0.63390936953800736</c:v>
                </c:pt>
                <c:pt idx="285">
                  <c:v>0.62954667254893748</c:v>
                </c:pt>
                <c:pt idx="286">
                  <c:v>0.62519661199366472</c:v>
                </c:pt>
                <c:pt idx="287">
                  <c:v>0.62085911428293572</c:v>
                </c:pt>
                <c:pt idx="288">
                  <c:v>0.61653410645993201</c:v>
                </c:pt>
                <c:pt idx="289">
                  <c:v>0.61222151619355025</c:v>
                </c:pt>
                <c:pt idx="290">
                  <c:v>0.60792127177177746</c:v>
                </c:pt>
                <c:pt idx="291">
                  <c:v>0.60363330209513932</c:v>
                </c:pt>
                <c:pt idx="292">
                  <c:v>0.59935753667021252</c:v>
                </c:pt>
                <c:pt idx="293">
                  <c:v>0.5950939056032305</c:v>
                </c:pt>
                <c:pt idx="294">
                  <c:v>0.59084233959374333</c:v>
                </c:pt>
                <c:pt idx="295">
                  <c:v>0.58660276992836902</c:v>
                </c:pt>
                <c:pt idx="296">
                  <c:v>0.5823751284746076</c:v>
                </c:pt>
                <c:pt idx="297">
                  <c:v>0.57815934767472388</c:v>
                </c:pt>
                <c:pt idx="298">
                  <c:v>0.5739553605397083</c:v>
                </c:pt>
                <c:pt idx="299">
                  <c:v>0.56976310064330704</c:v>
                </c:pt>
                <c:pt idx="300">
                  <c:v>0.56558250211611338</c:v>
                </c:pt>
                <c:pt idx="301">
                  <c:v>0.56141349963973852</c:v>
                </c:pt>
                <c:pt idx="302">
                  <c:v>0.55725602844104216</c:v>
                </c:pt>
                <c:pt idx="303">
                  <c:v>0.55311002428643552</c:v>
                </c:pt>
                <c:pt idx="304">
                  <c:v>0.54897542347623918</c:v>
                </c:pt>
                <c:pt idx="305">
                  <c:v>0.54485216283912474</c:v>
                </c:pt>
                <c:pt idx="306">
                  <c:v>0.5407401797265996</c:v>
                </c:pt>
                <c:pt idx="307">
                  <c:v>0.53663941200757703</c:v>
                </c:pt>
                <c:pt idx="308">
                  <c:v>0.53254979806299263</c:v>
                </c:pt>
                <c:pt idx="309">
                  <c:v>0.52847127678048733</c:v>
                </c:pt>
                <c:pt idx="310">
                  <c:v>0.52440378754916195</c:v>
                </c:pt>
                <c:pt idx="311">
                  <c:v>0.52034727025437177</c:v>
                </c:pt>
                <c:pt idx="312">
                  <c:v>0.51630166527260546</c:v>
                </c:pt>
                <c:pt idx="313">
                  <c:v>0.51226691346640418</c:v>
                </c:pt>
                <c:pt idx="314">
                  <c:v>0.50824295617935011</c:v>
                </c:pt>
                <c:pt idx="315">
                  <c:v>0.5042297352311057</c:v>
                </c:pt>
                <c:pt idx="316">
                  <c:v>0.50022719291252016</c:v>
                </c:pt>
                <c:pt idx="317">
                  <c:v>0.49623527198078043</c:v>
                </c:pt>
                <c:pt idx="318">
                  <c:v>0.49225391565462168</c:v>
                </c:pt>
                <c:pt idx="319">
                  <c:v>0.48828306760960827</c:v>
                </c:pt>
                <c:pt idx="320">
                  <c:v>0.48432267197343615</c:v>
                </c:pt>
                <c:pt idx="321">
                  <c:v>0.48037267332132644</c:v>
                </c:pt>
                <c:pt idx="322">
                  <c:v>0.47643301667144583</c:v>
                </c:pt>
                <c:pt idx="323">
                  <c:v>0.47250364748038881</c:v>
                </c:pt>
                <c:pt idx="324">
                  <c:v>0.46858451163871312</c:v>
                </c:pt>
                <c:pt idx="325">
                  <c:v>0.46467555546652584</c:v>
                </c:pt>
                <c:pt idx="326">
                  <c:v>0.4607767257091166</c:v>
                </c:pt>
                <c:pt idx="327">
                  <c:v>0.45688796953264366</c:v>
                </c:pt>
                <c:pt idx="328">
                  <c:v>0.45300923451986741</c:v>
                </c:pt>
                <c:pt idx="329">
                  <c:v>0.44914046866594082</c:v>
                </c:pt>
                <c:pt idx="330">
                  <c:v>0.44528162037423141</c:v>
                </c:pt>
                <c:pt idx="331">
                  <c:v>0.44143263845220609</c:v>
                </c:pt>
                <c:pt idx="332">
                  <c:v>0.43759347210736027</c:v>
                </c:pt>
                <c:pt idx="333">
                  <c:v>0.4337640709431867</c:v>
                </c:pt>
                <c:pt idx="334">
                  <c:v>0.42994438495519305</c:v>
                </c:pt>
                <c:pt idx="335">
                  <c:v>0.42613436452697051</c:v>
                </c:pt>
                <c:pt idx="336">
                  <c:v>0.42233396042630433</c:v>
                </c:pt>
                <c:pt idx="337">
                  <c:v>0.41854312380131575</c:v>
                </c:pt>
                <c:pt idx="338">
                  <c:v>0.41476180617667036</c:v>
                </c:pt>
                <c:pt idx="339">
                  <c:v>0.41098995944981365</c:v>
                </c:pt>
                <c:pt idx="340">
                  <c:v>0.40722753588725286</c:v>
                </c:pt>
                <c:pt idx="341">
                  <c:v>0.40347448812087977</c:v>
                </c:pt>
                <c:pt idx="342">
                  <c:v>0.39973076914434136</c:v>
                </c:pt>
                <c:pt idx="343">
                  <c:v>0.39599633230944503</c:v>
                </c:pt>
                <c:pt idx="344">
                  <c:v>0.39227113132259933</c:v>
                </c:pt>
                <c:pt idx="345">
                  <c:v>0.3885551202413155</c:v>
                </c:pt>
                <c:pt idx="346">
                  <c:v>0.3848482534707181</c:v>
                </c:pt>
                <c:pt idx="347">
                  <c:v>0.38115048576012683</c:v>
                </c:pt>
                <c:pt idx="348">
                  <c:v>0.37746177219964661</c:v>
                </c:pt>
                <c:pt idx="349">
                  <c:v>0.3737820682168192</c:v>
                </c:pt>
                <c:pt idx="350">
                  <c:v>0.37011132957330362</c:v>
                </c:pt>
                <c:pt idx="351">
                  <c:v>0.36644951236158679</c:v>
                </c:pt>
                <c:pt idx="352">
                  <c:v>0.36279657300174711</c:v>
                </c:pt>
                <c:pt idx="353">
                  <c:v>0.35915246823823627</c:v>
                </c:pt>
                <c:pt idx="354">
                  <c:v>0.3555171551367094</c:v>
                </c:pt>
                <c:pt idx="355">
                  <c:v>0.35189059108088477</c:v>
                </c:pt>
                <c:pt idx="356">
                  <c:v>0.34827273376944495</c:v>
                </c:pt>
                <c:pt idx="357">
                  <c:v>0.34466354121296094</c:v>
                </c:pt>
                <c:pt idx="358">
                  <c:v>0.34106297173086109</c:v>
                </c:pt>
                <c:pt idx="359">
                  <c:v>0.33747098394842784</c:v>
                </c:pt>
                <c:pt idx="360">
                  <c:v>0.33388753679383193</c:v>
                </c:pt>
                <c:pt idx="361">
                  <c:v>0.33031258949519909</c:v>
                </c:pt>
                <c:pt idx="362">
                  <c:v>0.32674610157769823</c:v>
                </c:pt>
                <c:pt idx="363">
                  <c:v>0.32318803286067843</c:v>
                </c:pt>
                <c:pt idx="364">
                  <c:v>0.3196383434548295</c:v>
                </c:pt>
                <c:pt idx="365">
                  <c:v>0.31609699375937028</c:v>
                </c:pt>
                <c:pt idx="366">
                  <c:v>0.31256394445927493</c:v>
                </c:pt>
                <c:pt idx="367">
                  <c:v>0.30903915652252406</c:v>
                </c:pt>
                <c:pt idx="368">
                  <c:v>0.30552259119739072</c:v>
                </c:pt>
                <c:pt idx="369">
                  <c:v>0.30201421000975121</c:v>
                </c:pt>
                <c:pt idx="370">
                  <c:v>0.29851397476042973</c:v>
                </c:pt>
                <c:pt idx="371">
                  <c:v>0.29502184752257177</c:v>
                </c:pt>
                <c:pt idx="372">
                  <c:v>0.29153779063903984</c:v>
                </c:pt>
                <c:pt idx="373">
                  <c:v>0.28806176671984735</c:v>
                </c:pt>
                <c:pt idx="374">
                  <c:v>0.28459373863961412</c:v>
                </c:pt>
                <c:pt idx="375">
                  <c:v>0.28113366953504937</c:v>
                </c:pt>
                <c:pt idx="376">
                  <c:v>0.27768152280246289</c:v>
                </c:pt>
                <c:pt idx="377">
                  <c:v>0.27423726209531363</c:v>
                </c:pt>
                <c:pt idx="378">
                  <c:v>0.2708008513217578</c:v>
                </c:pt>
                <c:pt idx="379">
                  <c:v>0.26737225464225817</c:v>
                </c:pt>
                <c:pt idx="380">
                  <c:v>0.26395143646719588</c:v>
                </c:pt>
                <c:pt idx="381">
                  <c:v>0.26053836145450998</c:v>
                </c:pt>
                <c:pt idx="382">
                  <c:v>0.25713299450737226</c:v>
                </c:pt>
                <c:pt idx="383">
                  <c:v>0.25373530077188161</c:v>
                </c:pt>
                <c:pt idx="384">
                  <c:v>0.25034524563477711</c:v>
                </c:pt>
                <c:pt idx="385">
                  <c:v>0.24696279472119476</c:v>
                </c:pt>
                <c:pt idx="386">
                  <c:v>0.24358791389242038</c:v>
                </c:pt>
                <c:pt idx="387">
                  <c:v>0.24022056924369112</c:v>
                </c:pt>
                <c:pt idx="388">
                  <c:v>0.23686072710201161</c:v>
                </c:pt>
                <c:pt idx="389">
                  <c:v>0.23350835402398823</c:v>
                </c:pt>
                <c:pt idx="390">
                  <c:v>0.23016341679369448</c:v>
                </c:pt>
                <c:pt idx="391">
                  <c:v>0.22682588242055501</c:v>
                </c:pt>
                <c:pt idx="392">
                  <c:v>0.22349571813725613</c:v>
                </c:pt>
                <c:pt idx="393">
                  <c:v>0.22017289139767032</c:v>
                </c:pt>
                <c:pt idx="394">
                  <c:v>0.2168573698748158</c:v>
                </c:pt>
                <c:pt idx="395">
                  <c:v>0.21354912145882485</c:v>
                </c:pt>
                <c:pt idx="396">
                  <c:v>0.21024811425493847</c:v>
                </c:pt>
                <c:pt idx="397">
                  <c:v>0.2069543165815271</c:v>
                </c:pt>
                <c:pt idx="398">
                  <c:v>0.20366769696813</c:v>
                </c:pt>
                <c:pt idx="399">
                  <c:v>0.20038822415350332</c:v>
                </c:pt>
                <c:pt idx="400">
                  <c:v>0.19711586708371764</c:v>
                </c:pt>
                <c:pt idx="401">
                  <c:v>0.19385059491023587</c:v>
                </c:pt>
                <c:pt idx="402">
                  <c:v>0.19059237698804782</c:v>
                </c:pt>
                <c:pt idx="403">
                  <c:v>0.18734118287380416</c:v>
                </c:pt>
                <c:pt idx="404">
                  <c:v>0.18409698232397884</c:v>
                </c:pt>
                <c:pt idx="405">
                  <c:v>0.18085974529303953</c:v>
                </c:pt>
                <c:pt idx="406">
                  <c:v>0.17762944193165628</c:v>
                </c:pt>
                <c:pt idx="407">
                  <c:v>0.17440604258490738</c:v>
                </c:pt>
                <c:pt idx="408">
                  <c:v>0.17118951779052555</c:v>
                </c:pt>
                <c:pt idx="409">
                  <c:v>0.16797983827713375</c:v>
                </c:pt>
                <c:pt idx="410">
                  <c:v>0.16477697496254348</c:v>
                </c:pt>
                <c:pt idx="411">
                  <c:v>0.16158089895201933</c:v>
                </c:pt>
                <c:pt idx="412">
                  <c:v>0.15839158153660143</c:v>
                </c:pt>
                <c:pt idx="413">
                  <c:v>0.15520899419142889</c:v>
                </c:pt>
                <c:pt idx="414">
                  <c:v>0.15203310857407717</c:v>
                </c:pt>
                <c:pt idx="415">
                  <c:v>0.14886389652292781</c:v>
                </c:pt>
                <c:pt idx="416">
                  <c:v>0.14570133005553407</c:v>
                </c:pt>
                <c:pt idx="417">
                  <c:v>0.14254538136702805</c:v>
                </c:pt>
                <c:pt idx="418">
                  <c:v>0.13939602282852165</c:v>
                </c:pt>
                <c:pt idx="419">
                  <c:v>0.13625322698553755</c:v>
                </c:pt>
                <c:pt idx="420">
                  <c:v>0.13311696655645563</c:v>
                </c:pt>
                <c:pt idx="421">
                  <c:v>0.12998721443096742</c:v>
                </c:pt>
                <c:pt idx="422">
                  <c:v>0.12686394366855777</c:v>
                </c:pt>
                <c:pt idx="423">
                  <c:v>0.12374712749698867</c:v>
                </c:pt>
                <c:pt idx="424">
                  <c:v>0.12063673931081674</c:v>
                </c:pt>
                <c:pt idx="425">
                  <c:v>0.11753275266990679</c:v>
                </c:pt>
                <c:pt idx="426">
                  <c:v>0.11443514129797461</c:v>
                </c:pt>
                <c:pt idx="427">
                  <c:v>0.11134387908114007</c:v>
                </c:pt>
                <c:pt idx="428">
                  <c:v>0.10825894006648827</c:v>
                </c:pt>
                <c:pt idx="429">
                  <c:v>0.10518029846065977</c:v>
                </c:pt>
                <c:pt idx="430">
                  <c:v>0.10210792862844814</c:v>
                </c:pt>
                <c:pt idx="431">
                  <c:v>9.9041805091401439E-2</c:v>
                </c:pt>
                <c:pt idx="432">
                  <c:v>9.5981902526458177E-2</c:v>
                </c:pt>
                <c:pt idx="433">
                  <c:v>9.2928195764588301E-2</c:v>
                </c:pt>
                <c:pt idx="434">
                  <c:v>8.9880659789433104E-2</c:v>
                </c:pt>
                <c:pt idx="435">
                  <c:v>8.6839269735984326E-2</c:v>
                </c:pt>
                <c:pt idx="436">
                  <c:v>8.3804000889270022E-2</c:v>
                </c:pt>
                <c:pt idx="437">
                  <c:v>8.0774828683029667E-2</c:v>
                </c:pt>
                <c:pt idx="438">
                  <c:v>7.7751728698443254E-2</c:v>
                </c:pt>
                <c:pt idx="439">
                  <c:v>7.4734676662840685E-2</c:v>
                </c:pt>
                <c:pt idx="440">
                  <c:v>7.1723648448436608E-2</c:v>
                </c:pt>
                <c:pt idx="441">
                  <c:v>6.8718620071082731E-2</c:v>
                </c:pt>
                <c:pt idx="442">
                  <c:v>6.571956768901796E-2</c:v>
                </c:pt>
                <c:pt idx="443">
                  <c:v>6.272646760165268E-2</c:v>
                </c:pt>
                <c:pt idx="444">
                  <c:v>5.9739296248343732E-2</c:v>
                </c:pt>
                <c:pt idx="445">
                  <c:v>5.675803020719751E-2</c:v>
                </c:pt>
                <c:pt idx="446">
                  <c:v>5.3782646193873532E-2</c:v>
                </c:pt>
                <c:pt idx="447">
                  <c:v>5.0813121060411026E-2</c:v>
                </c:pt>
                <c:pt idx="448">
                  <c:v>4.7849431794061086E-2</c:v>
                </c:pt>
                <c:pt idx="449">
                  <c:v>4.4891555516128501E-2</c:v>
                </c:pt>
                <c:pt idx="450">
                  <c:v>4.1939469480834456E-2</c:v>
                </c:pt>
                <c:pt idx="451">
                  <c:v>3.8993151074177702E-2</c:v>
                </c:pt>
                <c:pt idx="452">
                  <c:v>3.6052577812818606E-2</c:v>
                </c:pt>
                <c:pt idx="453">
                  <c:v>3.3117727342966537E-2</c:v>
                </c:pt>
                <c:pt idx="454">
                  <c:v>3.0188577439288843E-2</c:v>
                </c:pt>
                <c:pt idx="455">
                  <c:v>2.7265106003818165E-2</c:v>
                </c:pt>
                <c:pt idx="456">
                  <c:v>2.434729106487549E-2</c:v>
                </c:pt>
                <c:pt idx="457">
                  <c:v>2.1435110776007862E-2</c:v>
                </c:pt>
                <c:pt idx="458">
                  <c:v>1.8528543414939921E-2</c:v>
                </c:pt>
                <c:pt idx="459">
                  <c:v>1.5627567382514466E-2</c:v>
                </c:pt>
                <c:pt idx="460">
                  <c:v>1.2732161201672466E-2</c:v>
                </c:pt>
                <c:pt idx="461">
                  <c:v>9.8423035164247503E-3</c:v>
                </c:pt>
                <c:pt idx="462">
                  <c:v>6.9579730908423216E-3</c:v>
                </c:pt>
                <c:pt idx="463">
                  <c:v>4.0791488080507655E-3</c:v>
                </c:pt>
                <c:pt idx="464">
                  <c:v>1.2058096692374267E-3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7-4D75-8F7D-41FB9A3BA863}"/>
            </c:ext>
          </c:extLst>
        </c:ser>
        <c:ser>
          <c:idx val="8"/>
          <c:order val="1"/>
          <c:tx>
            <c:strRef>
              <c:f>'SR Plots with Ref Pts'!$B$21</c:f>
              <c:strCache>
                <c:ptCount val="1"/>
                <c:pt idx="0">
                  <c:v>SSBMSY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('SR Plots with Ref Pts'!$C$21,'SR Plots with Ref Pts'!$C$21)</c:f>
              <c:numCache>
                <c:formatCode>General</c:formatCode>
                <c:ptCount val="2"/>
                <c:pt idx="0">
                  <c:v>12.147382264741063</c:v>
                </c:pt>
                <c:pt idx="1">
                  <c:v>12.147382264741063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37-4D75-8F7D-41FB9A3BA863}"/>
            </c:ext>
          </c:extLst>
        </c:ser>
        <c:ser>
          <c:idx val="1"/>
          <c:order val="2"/>
          <c:tx>
            <c:strRef>
              <c:f>'SR Plots with Ref Pts'!$F$24</c:f>
              <c:strCache>
                <c:ptCount val="1"/>
                <c:pt idx="0">
                  <c:v>40%SSBMSY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Pts'!$E$24,'SR Plots with Ref Pts'!$E$24)</c:f>
              <c:numCache>
                <c:formatCode>General</c:formatCode>
                <c:ptCount val="2"/>
                <c:pt idx="0">
                  <c:v>4.8589529058964258</c:v>
                </c:pt>
                <c:pt idx="1">
                  <c:v>4.8589529058964258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37-4D75-8F7D-41FB9A3BA863}"/>
            </c:ext>
          </c:extLst>
        </c:ser>
        <c:ser>
          <c:idx val="2"/>
          <c:order val="3"/>
          <c:tx>
            <c:strRef>
              <c:f>'SR Plots with Ref Pts'!$F$25</c:f>
              <c:strCache>
                <c:ptCount val="1"/>
                <c:pt idx="0">
                  <c:v>50%SSBMSY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('SR Plots with Ref Pts'!$E$25,'SR Plots with Ref Pts'!$E$25)</c:f>
              <c:numCache>
                <c:formatCode>General</c:formatCode>
                <c:ptCount val="2"/>
                <c:pt idx="0">
                  <c:v>6.0736911323705316</c:v>
                </c:pt>
                <c:pt idx="1">
                  <c:v>6.0736911323705316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37-4D75-8F7D-41FB9A3BA863}"/>
            </c:ext>
          </c:extLst>
        </c:ser>
        <c:ser>
          <c:idx val="7"/>
          <c:order val="4"/>
          <c:tx>
            <c:strRef>
              <c:f>'SR Plots with Ref Pts'!$B$20</c:f>
              <c:strCache>
                <c:ptCount val="1"/>
                <c:pt idx="0">
                  <c:v>SSB0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('SR Plots with Ref Pts'!$C$20,'SR Plots with Ref Pts'!$C$20)</c:f>
              <c:numCache>
                <c:formatCode>General</c:formatCode>
                <c:ptCount val="2"/>
                <c:pt idx="0">
                  <c:v>36.967898517909518</c:v>
                </c:pt>
                <c:pt idx="1">
                  <c:v>36.967898517909518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37-4D75-8F7D-41FB9A3BA863}"/>
            </c:ext>
          </c:extLst>
        </c:ser>
        <c:ser>
          <c:idx val="3"/>
          <c:order val="5"/>
          <c:tx>
            <c:strRef>
              <c:f>'SR Plots with Ref Pts'!$F$26</c:f>
              <c:strCache>
                <c:ptCount val="1"/>
                <c:pt idx="0">
                  <c:v>20%SSB0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Pts'!$E$26,'SR Plots with Ref Pts'!$E$26)</c:f>
              <c:numCache>
                <c:formatCode>General</c:formatCode>
                <c:ptCount val="2"/>
                <c:pt idx="0">
                  <c:v>7.3935797035819038</c:v>
                </c:pt>
                <c:pt idx="1">
                  <c:v>7.3935797035819038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37-4D75-8F7D-41FB9A3BA863}"/>
            </c:ext>
          </c:extLst>
        </c:ser>
        <c:ser>
          <c:idx val="4"/>
          <c:order val="6"/>
          <c:tx>
            <c:strRef>
              <c:f>'SR Plots with Ref Pts'!$F$27</c:f>
              <c:strCache>
                <c:ptCount val="1"/>
                <c:pt idx="0">
                  <c:v>30%SSB0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('SR Plots with Ref Pts'!$E$27,'SR Plots with Ref Pts'!$E$27)</c:f>
              <c:numCache>
                <c:formatCode>General</c:formatCode>
                <c:ptCount val="2"/>
                <c:pt idx="0">
                  <c:v>11.090369555372854</c:v>
                </c:pt>
                <c:pt idx="1">
                  <c:v>11.090369555372854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37-4D75-8F7D-41FB9A3BA863}"/>
            </c:ext>
          </c:extLst>
        </c:ser>
        <c:ser>
          <c:idx val="5"/>
          <c:order val="7"/>
          <c:tx>
            <c:strRef>
              <c:f>'SR Plots with Ref Pts'!$F$28</c:f>
              <c:strCache>
                <c:ptCount val="1"/>
                <c:pt idx="0">
                  <c:v>40% SPR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Pts'!$E$28,'SR Plots with Ref Pts'!$E$28)</c:f>
              <c:numCache>
                <c:formatCode>General</c:formatCode>
                <c:ptCount val="2"/>
                <c:pt idx="0">
                  <c:v>11.430643861619425</c:v>
                </c:pt>
                <c:pt idx="1">
                  <c:v>11.430643861619425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37-4D75-8F7D-41FB9A3BA863}"/>
            </c:ext>
          </c:extLst>
        </c:ser>
        <c:ser>
          <c:idx val="6"/>
          <c:order val="8"/>
          <c:tx>
            <c:strRef>
              <c:f>'SR Plots with Ref Pts'!$F$29</c:f>
              <c:strCache>
                <c:ptCount val="1"/>
                <c:pt idx="0">
                  <c:v>35% SPR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('SR Plots with Ref Pts'!$E$29,'SR Plots with Ref Pts'!$E$29)</c:f>
              <c:numCache>
                <c:formatCode>General</c:formatCode>
                <c:ptCount val="2"/>
                <c:pt idx="0">
                  <c:v>9.2189825301465955</c:v>
                </c:pt>
                <c:pt idx="1">
                  <c:v>9.2189825301465955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37-4D75-8F7D-41FB9A3BA863}"/>
            </c:ext>
          </c:extLst>
        </c:ser>
        <c:ser>
          <c:idx val="9"/>
          <c:order val="9"/>
          <c:tx>
            <c:strRef>
              <c:f>'SR Plots with Ref Pts'!$F$30</c:f>
              <c:strCache>
                <c:ptCount val="1"/>
                <c:pt idx="0">
                  <c:v>50%Rmax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 Plots with Ref Pts'!$E$30,'SR Plots with Ref Pts'!$E$30)</c:f>
              <c:numCache>
                <c:formatCode>General</c:formatCode>
                <c:ptCount val="2"/>
                <c:pt idx="0">
                  <c:v>5.7505619916748136</c:v>
                </c:pt>
                <c:pt idx="1">
                  <c:v>5.7505619916748136</c:v>
                </c:pt>
              </c:numCache>
            </c:numRef>
          </c:xVal>
          <c:yVal>
            <c:numRef>
              <c:f>'SR Plots with Ref Pts'!$F$1:$F$2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37-4D75-8F7D-41FB9A3BA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14</xdr:row>
      <xdr:rowOff>180975</xdr:rowOff>
    </xdr:from>
    <xdr:ext cx="2581541" cy="763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0384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=1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𝑙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b>
                              </m:sSub>
                              <m:sSup>
                                <m:sSup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𝑒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(−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𝑀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𝐹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𝑣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)</m:t>
                                  </m:r>
                                </m:sup>
                              </m:sSup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&gt;1,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&lt;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f>
                                <m:f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𝑙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num>
                                <m:den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1−</m:t>
                                  </m:r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den>
                              </m:f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= 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0384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{■8(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 𝑎 =1@𝑙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𝑎&gt;1, 𝑎&lt;𝑎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𝑚𝑎𝑥@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))/(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1−𝑒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,𝑎= 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𝑚𝑎𝑥 )┤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6" name="TextBox 5"/>
        <xdr:cNvSpPr txBox="1"/>
      </xdr:nvSpPr>
      <xdr:spPr>
        <a:xfrm>
          <a:off x="1413510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219075</xdr:colOff>
      <xdr:row>20</xdr:row>
      <xdr:rowOff>0</xdr:rowOff>
    </xdr:from>
    <xdr:ext cx="115871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4991100" y="40005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4991100" y="40005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∑24_(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)^(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</a:t>
              </a:r>
              <a:r>
                <a:rPr lang="en-CA" sz="1100" b="0" i="0">
                  <a:latin typeface="Cambria Math" panose="02040503050406030204" pitchFamily="18" charset="0"/>
                </a:rPr>
                <a:t>)▒</a:t>
              </a:r>
              <a:r>
                <a:rPr lang="en-US" sz="1100" b="0" i="0">
                  <a:latin typeface="Cambria Math" panose="02040503050406030204" pitchFamily="18" charset="0"/>
                </a:rPr>
                <a:t>𝑙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 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66675</xdr:colOff>
      <xdr:row>25</xdr:row>
      <xdr:rowOff>133350</xdr:rowOff>
    </xdr:from>
    <xdr:ext cx="131901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4838700" y="5543550"/>
              <a:ext cx="131901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838700" y="5543550"/>
              <a:ext cx="131901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CA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^(𝑎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𝑚𝑎𝑥)▒〖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𝑙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 〗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3" name="TextBox 2"/>
        <xdr:cNvSpPr txBox="1"/>
      </xdr:nvSpPr>
      <xdr:spPr>
        <a:xfrm>
          <a:off x="13354050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190500</xdr:colOff>
      <xdr:row>33</xdr:row>
      <xdr:rowOff>57150</xdr:rowOff>
    </xdr:from>
    <xdr:ext cx="708335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〖𝑆𝑃𝑅〗_𝐹=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𝜑_0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171450</xdr:colOff>
      <xdr:row>35</xdr:row>
      <xdr:rowOff>133350</xdr:rowOff>
    </xdr:from>
    <xdr:ext cx="270734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f>
                          <m:f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exp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(−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d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𝑌𝑃𝑅</a:t>
              </a:r>
              <a:r>
                <a:rPr lang="en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CA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^(𝑎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 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 (1−exp(−𝐹𝑣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𝑎))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𝑎+𝑀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171450</xdr:colOff>
      <xdr:row>24</xdr:row>
      <xdr:rowOff>180975</xdr:rowOff>
    </xdr:from>
    <xdr:ext cx="2581541" cy="763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4943475" y="28479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=1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𝑙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b>
                              </m:sSub>
                              <m:sSup>
                                <m:sSup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𝑒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(−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𝑀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𝐹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𝑣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)</m:t>
                                  </m:r>
                                </m:sup>
                              </m:sSup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&gt;1,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&lt;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f>
                                <m:f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𝑙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num>
                                <m:den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1−</m:t>
                                  </m:r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den>
                              </m:f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= 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4943475" y="28479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{■8(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 𝑎 =1@𝑙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 𝑎&gt;1, 𝑎&lt;𝑎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𝑚𝑎𝑥@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,𝑎= 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𝑚𝑎𝑥 )┤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219075</xdr:colOff>
      <xdr:row>30</xdr:row>
      <xdr:rowOff>0</xdr:rowOff>
    </xdr:from>
    <xdr:ext cx="115871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/>
            <xdr:cNvSpPr txBox="1"/>
          </xdr:nvSpPr>
          <xdr:spPr>
            <a:xfrm>
              <a:off x="4991100" y="38100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4991100" y="38100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CA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^(𝑎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𝑚𝑎𝑥)▒𝑙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 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 editAs="oneCell">
    <xdr:from>
      <xdr:col>10</xdr:col>
      <xdr:colOff>0</xdr:colOff>
      <xdr:row>20</xdr:row>
      <xdr:rowOff>0</xdr:rowOff>
    </xdr:from>
    <xdr:to>
      <xdr:col>13</xdr:col>
      <xdr:colOff>256914</xdr:colOff>
      <xdr:row>26</xdr:row>
      <xdr:rowOff>28429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3810000"/>
          <a:ext cx="2085714" cy="11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495300</xdr:colOff>
      <xdr:row>23</xdr:row>
      <xdr:rowOff>95250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619500"/>
          <a:ext cx="11049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10</xdr:row>
      <xdr:rowOff>0</xdr:rowOff>
    </xdr:from>
    <xdr:to>
      <xdr:col>22</xdr:col>
      <xdr:colOff>304800</xdr:colOff>
      <xdr:row>23</xdr:row>
      <xdr:rowOff>114300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22</xdr:col>
      <xdr:colOff>304800</xdr:colOff>
      <xdr:row>37</xdr:row>
      <xdr:rowOff>114300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2134850" y="136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15</xdr:col>
      <xdr:colOff>0</xdr:colOff>
      <xdr:row>10</xdr:row>
      <xdr:rowOff>0</xdr:rowOff>
    </xdr:from>
    <xdr:to>
      <xdr:col>22</xdr:col>
      <xdr:colOff>304800</xdr:colOff>
      <xdr:row>23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22</xdr:col>
      <xdr:colOff>304800</xdr:colOff>
      <xdr:row>37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2134850" y="136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28575</xdr:colOff>
      <xdr:row>29</xdr:row>
      <xdr:rowOff>123825</xdr:rowOff>
    </xdr:from>
    <xdr:ext cx="941733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4800600" y="317182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𝑎𝐵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𝑏𝐵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4800600" y="317182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𝑅(𝐵)=𝑎𝐵/(1+𝑏𝐵)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2</xdr:col>
      <xdr:colOff>1990725</xdr:colOff>
      <xdr:row>32</xdr:row>
      <xdr:rowOff>123825</xdr:rowOff>
    </xdr:from>
    <xdr:ext cx="2138342" cy="3514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4752975" y="3933825"/>
              <a:ext cx="2138342" cy="351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h𝐵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+(5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−1)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4752975" y="3933825"/>
              <a:ext cx="2138342" cy="351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𝑅(𝐵)=(4𝑅_0 ℎ𝐵)/((1−ℎ)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𝑅_0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_0</a:t>
              </a:r>
              <a:r>
                <a:rPr lang="en-US" sz="1100" b="0" i="0">
                  <a:latin typeface="Cambria Math" panose="02040503050406030204" pitchFamily="18" charset="0"/>
                </a:rPr>
                <a:t>+(5ℎ−1)𝐵)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36</xdr:row>
      <xdr:rowOff>0</xdr:rowOff>
    </xdr:from>
    <xdr:ext cx="814005" cy="3186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4772025" y="5486400"/>
              <a:ext cx="814005" cy="318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772025" y="5486400"/>
              <a:ext cx="814005" cy="318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ℎ=  (𝑎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𝜑_0)/(</a:t>
              </a:r>
              <a:r>
                <a:rPr lang="en-US" sz="1100" b="0" i="0">
                  <a:latin typeface="Cambria Math" panose="02040503050406030204" pitchFamily="18" charset="0"/>
                </a:rPr>
                <a:t>4+𝑎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_0 )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39</xdr:row>
      <xdr:rowOff>0</xdr:rowOff>
    </xdr:from>
    <xdr:ext cx="1066061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4772025" y="6057900"/>
              <a:ext cx="1066061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𝜑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4772025" y="6057900"/>
              <a:ext cx="1066061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𝑅_0</a:t>
              </a:r>
              <a:r>
                <a:rPr lang="en-US" sz="1100" b="0" i="0">
                  <a:latin typeface="Cambria Math" panose="02040503050406030204" pitchFamily="18" charset="0"/>
                </a:rPr>
                <a:t>=  1/𝑏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1/𝜑_0 )</a:t>
              </a:r>
              <a:endParaRPr lang="en-CA" sz="1100"/>
            </a:p>
          </xdr:txBody>
        </xdr:sp>
      </mc:Fallback>
    </mc:AlternateContent>
    <xdr:clientData/>
  </xdr:oneCellAnchor>
  <xdr:twoCellAnchor>
    <xdr:from>
      <xdr:col>19</xdr:col>
      <xdr:colOff>0</xdr:colOff>
      <xdr:row>0</xdr:row>
      <xdr:rowOff>0</xdr:rowOff>
    </xdr:from>
    <xdr:to>
      <xdr:col>26</xdr:col>
      <xdr:colOff>304800</xdr:colOff>
      <xdr:row>13</xdr:row>
      <xdr:rowOff>114300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0.6375</cdr:x>
      <cdr:y>0.04412</cdr:y>
    </cdr:from>
    <cdr:to>
      <cdr:x>0.81459</cdr:x>
      <cdr:y>0.15809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14635" y="114308"/>
          <a:ext cx="809655" cy="295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(SSB</a:t>
          </a:r>
          <a:r>
            <a:rPr lang="en-CA" sz="11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,R</a:t>
          </a:r>
          <a:r>
            <a:rPr lang="en-CA" sz="110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0.125</cdr:x>
      <cdr:y>0.0527</cdr:y>
    </cdr:from>
    <cdr:to>
      <cdr:x>0.62709</cdr:x>
      <cdr:y>0.14338</cdr:y>
    </cdr:to>
    <cdr:sp macro="" textlink="'SRR and Yield'!$AE$5">
      <cdr:nvSpPr>
        <cdr:cNvPr id="3" name="TextBox 1"/>
        <cdr:cNvSpPr txBox="1"/>
      </cdr:nvSpPr>
      <cdr:spPr>
        <a:xfrm xmlns:a="http://schemas.openxmlformats.org/drawingml/2006/main">
          <a:off x="571485" y="136531"/>
          <a:ext cx="2295555" cy="234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5E70902-74AF-4CDD-9544-CC78F5C6A1B3}" type="TxLink">
            <a:rPr lang="en-US" sz="1100" b="0" i="0" u="none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(Eq_SSBF,Eq_recF) at F=0.1</a:t>
          </a:fld>
          <a:endParaRPr lang="en-CA" sz="11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36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19</xdr:col>
      <xdr:colOff>0</xdr:colOff>
      <xdr:row>0</xdr:row>
      <xdr:rowOff>0</xdr:rowOff>
    </xdr:from>
    <xdr:to>
      <xdr:col>26</xdr:col>
      <xdr:colOff>304800</xdr:colOff>
      <xdr:row>13</xdr:row>
      <xdr:rowOff>114300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14</xdr:row>
      <xdr:rowOff>0</xdr:rowOff>
    </xdr:from>
    <xdr:to>
      <xdr:col>26</xdr:col>
      <xdr:colOff>304800</xdr:colOff>
      <xdr:row>27</xdr:row>
      <xdr:rowOff>133350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28</xdr:row>
      <xdr:rowOff>0</xdr:rowOff>
    </xdr:from>
    <xdr:to>
      <xdr:col>26</xdr:col>
      <xdr:colOff>304800</xdr:colOff>
      <xdr:row>41</xdr:row>
      <xdr:rowOff>133350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0.63958</cdr:x>
      <cdr:y>0.05147</cdr:y>
    </cdr:from>
    <cdr:to>
      <cdr:x>0.81667</cdr:x>
      <cdr:y>0.16544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24160" y="133350"/>
          <a:ext cx="809655" cy="295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(SSB</a:t>
          </a:r>
          <a:r>
            <a:rPr lang="en-CA" sz="11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,R</a:t>
          </a:r>
          <a:r>
            <a:rPr lang="en-CA" sz="110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0.12916</cdr:x>
      <cdr:y>0.04902</cdr:y>
    </cdr:from>
    <cdr:to>
      <cdr:x>0.63125</cdr:x>
      <cdr:y>0.1397</cdr:y>
    </cdr:to>
    <cdr:sp macro="" textlink="MSY!$U$18">
      <cdr:nvSpPr>
        <cdr:cNvPr id="3" name="TextBox 1"/>
        <cdr:cNvSpPr txBox="1"/>
      </cdr:nvSpPr>
      <cdr:spPr>
        <a:xfrm xmlns:a="http://schemas.openxmlformats.org/drawingml/2006/main">
          <a:off x="590535" y="127006"/>
          <a:ext cx="2295555" cy="234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5E70902-74AF-4CDD-9544-CC78F5C6A1B3}" type="TxLink">
            <a:rPr lang="en-US" sz="1100" b="0" i="0" u="none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(Eq_SSBF,Eq_recF) at FMSY</a:t>
          </a:fld>
          <a:endParaRPr lang="en-CA" sz="11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0.29028</cdr:x>
      <cdr:y>0.01946</cdr:y>
    </cdr:from>
    <cdr:to>
      <cdr:x>0.46737</cdr:x>
      <cdr:y>0.1326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27145" y="50790"/>
          <a:ext cx="809655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MSY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0.16736</cdr:x>
      <cdr:y>0.01946</cdr:y>
    </cdr:from>
    <cdr:to>
      <cdr:x>0.34445</cdr:x>
      <cdr:y>0.1326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5185" y="50788"/>
          <a:ext cx="809656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MSY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49530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49530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49530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49530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49530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49530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243840</xdr:colOff>
      <xdr:row>17</xdr:row>
      <xdr:rowOff>137160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14</xdr:col>
      <xdr:colOff>304800</xdr:colOff>
      <xdr:row>17</xdr:row>
      <xdr:rowOff>137160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onlinelibrary.wiley.com/doi/full/10.1111/faf.1253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34"/>
  <sheetViews>
    <sheetView tabSelected="1" workbookViewId="0">
      <selection activeCell="D11" sqref="D11"/>
    </sheetView>
  </sheetViews>
  <sheetFormatPr defaultRowHeight="15" customHeight="1" x14ac:dyDescent="0.3"/>
  <cols>
    <col min="1" max="1" width="15.5546875" bestFit="1" customWidth="1"/>
    <col min="2" max="2" width="67.88671875" bestFit="1" customWidth="1"/>
    <col min="3" max="3" width="43.5546875" customWidth="1"/>
  </cols>
  <sheetData>
    <row r="1" spans="1:3" ht="15" customHeight="1" x14ac:dyDescent="0.3">
      <c r="A1" s="88" t="s">
        <v>100</v>
      </c>
      <c r="B1" s="88"/>
      <c r="C1" s="88"/>
    </row>
    <row r="2" spans="1:3" ht="15" customHeight="1" x14ac:dyDescent="0.3">
      <c r="A2" s="64" t="s">
        <v>101</v>
      </c>
      <c r="B2" s="64"/>
      <c r="C2" s="64"/>
    </row>
    <row r="3" spans="1:3" ht="15" customHeight="1" x14ac:dyDescent="0.3">
      <c r="A3" s="84" t="s">
        <v>192</v>
      </c>
      <c r="B3" s="84"/>
      <c r="C3" s="84"/>
    </row>
    <row r="4" spans="1:3" ht="15" customHeight="1" thickBot="1" x14ac:dyDescent="0.35"/>
    <row r="5" spans="1:3" ht="15" customHeight="1" x14ac:dyDescent="0.3">
      <c r="A5" s="46" t="s">
        <v>70</v>
      </c>
      <c r="B5" s="47" t="s">
        <v>73</v>
      </c>
      <c r="C5" s="48" t="s">
        <v>74</v>
      </c>
    </row>
    <row r="6" spans="1:3" ht="15" customHeight="1" x14ac:dyDescent="0.35">
      <c r="A6" s="49" t="s">
        <v>71</v>
      </c>
      <c r="B6" s="32" t="s">
        <v>76</v>
      </c>
      <c r="C6" s="50" t="s">
        <v>112</v>
      </c>
    </row>
    <row r="7" spans="1:3" ht="15" customHeight="1" x14ac:dyDescent="0.35">
      <c r="A7" s="51" t="s">
        <v>145</v>
      </c>
      <c r="B7" s="29" t="s">
        <v>77</v>
      </c>
      <c r="C7" s="52" t="s">
        <v>113</v>
      </c>
    </row>
    <row r="8" spans="1:3" ht="15" customHeight="1" x14ac:dyDescent="0.3">
      <c r="A8" s="51"/>
      <c r="B8" s="29" t="s">
        <v>19</v>
      </c>
      <c r="C8" s="52" t="s">
        <v>102</v>
      </c>
    </row>
    <row r="9" spans="1:3" ht="15" customHeight="1" x14ac:dyDescent="0.3">
      <c r="A9" s="49"/>
      <c r="B9" s="32"/>
      <c r="C9" s="50" t="s">
        <v>103</v>
      </c>
    </row>
    <row r="10" spans="1:3" ht="15" customHeight="1" x14ac:dyDescent="0.3">
      <c r="A10" s="51" t="s">
        <v>146</v>
      </c>
      <c r="B10" s="29" t="s">
        <v>77</v>
      </c>
      <c r="C10" s="52"/>
    </row>
    <row r="11" spans="1:3" ht="15" customHeight="1" x14ac:dyDescent="0.3">
      <c r="A11" s="49"/>
      <c r="B11" s="77" t="s">
        <v>104</v>
      </c>
      <c r="C11" s="50"/>
    </row>
    <row r="12" spans="1:3" ht="15" customHeight="1" x14ac:dyDescent="0.35">
      <c r="A12" s="81" t="s">
        <v>148</v>
      </c>
      <c r="B12" s="70" t="s">
        <v>77</v>
      </c>
      <c r="C12" s="82" t="s">
        <v>105</v>
      </c>
    </row>
    <row r="13" spans="1:3" ht="15" customHeight="1" x14ac:dyDescent="0.3">
      <c r="A13" s="51"/>
      <c r="B13" s="78" t="s">
        <v>104</v>
      </c>
      <c r="C13" s="52"/>
    </row>
    <row r="14" spans="1:3" ht="15" customHeight="1" x14ac:dyDescent="0.3">
      <c r="A14" s="49"/>
      <c r="B14" s="80" t="s">
        <v>147</v>
      </c>
      <c r="C14" s="50"/>
    </row>
    <row r="15" spans="1:3" ht="15" customHeight="1" x14ac:dyDescent="0.35">
      <c r="A15" s="51" t="s">
        <v>149</v>
      </c>
      <c r="B15" s="29" t="s">
        <v>77</v>
      </c>
      <c r="C15" s="52" t="s">
        <v>150</v>
      </c>
    </row>
    <row r="16" spans="1:3" ht="15" customHeight="1" x14ac:dyDescent="0.35">
      <c r="A16" s="51"/>
      <c r="B16" s="78" t="s">
        <v>104</v>
      </c>
      <c r="C16" s="52" t="s">
        <v>152</v>
      </c>
    </row>
    <row r="17" spans="1:3" ht="15" customHeight="1" x14ac:dyDescent="0.3">
      <c r="A17" s="51"/>
      <c r="B17" s="79" t="s">
        <v>147</v>
      </c>
      <c r="C17" s="52"/>
    </row>
    <row r="18" spans="1:3" ht="15" customHeight="1" x14ac:dyDescent="0.3">
      <c r="A18" s="49"/>
      <c r="B18" s="32" t="s">
        <v>58</v>
      </c>
      <c r="C18" s="50"/>
    </row>
    <row r="19" spans="1:3" ht="15" customHeight="1" x14ac:dyDescent="0.3">
      <c r="A19" s="89" t="s">
        <v>98</v>
      </c>
      <c r="B19" s="90"/>
      <c r="C19" s="91"/>
    </row>
    <row r="20" spans="1:3" ht="15" customHeight="1" x14ac:dyDescent="0.35">
      <c r="A20" s="61" t="s">
        <v>75</v>
      </c>
      <c r="B20" s="29" t="s">
        <v>77</v>
      </c>
      <c r="C20" s="52" t="s">
        <v>152</v>
      </c>
    </row>
    <row r="21" spans="1:3" ht="15" customHeight="1" x14ac:dyDescent="0.3">
      <c r="A21" s="61"/>
      <c r="B21" s="29" t="s">
        <v>79</v>
      </c>
      <c r="C21" s="52" t="s">
        <v>153</v>
      </c>
    </row>
    <row r="22" spans="1:3" ht="15" customHeight="1" x14ac:dyDescent="0.3">
      <c r="A22" s="61"/>
      <c r="B22" s="68" t="s">
        <v>19</v>
      </c>
      <c r="C22" s="52" t="s">
        <v>78</v>
      </c>
    </row>
    <row r="23" spans="1:3" ht="15" customHeight="1" x14ac:dyDescent="0.3">
      <c r="A23" s="62"/>
      <c r="B23" s="32"/>
      <c r="C23" s="50" t="s">
        <v>151</v>
      </c>
    </row>
    <row r="24" spans="1:3" ht="15" customHeight="1" x14ac:dyDescent="0.35">
      <c r="A24" s="61" t="s">
        <v>65</v>
      </c>
      <c r="B24" s="29" t="s">
        <v>77</v>
      </c>
      <c r="C24" s="53" t="s">
        <v>80</v>
      </c>
    </row>
    <row r="25" spans="1:3" ht="15" customHeight="1" x14ac:dyDescent="0.3">
      <c r="A25" s="61"/>
      <c r="B25" s="29" t="s">
        <v>79</v>
      </c>
      <c r="C25" s="52"/>
    </row>
    <row r="26" spans="1:3" ht="15" customHeight="1" thickBot="1" x14ac:dyDescent="0.35">
      <c r="A26" s="63"/>
      <c r="B26" s="83" t="s">
        <v>104</v>
      </c>
      <c r="C26" s="54"/>
    </row>
    <row r="29" spans="1:3" ht="15" customHeight="1" x14ac:dyDescent="0.3">
      <c r="A29" t="s">
        <v>81</v>
      </c>
    </row>
    <row r="30" spans="1:3" ht="15" customHeight="1" x14ac:dyDescent="0.3">
      <c r="A30" s="17" t="s">
        <v>85</v>
      </c>
      <c r="B30" s="17"/>
    </row>
    <row r="31" spans="1:3" ht="15" customHeight="1" x14ac:dyDescent="0.3">
      <c r="A31" s="15" t="s">
        <v>82</v>
      </c>
      <c r="B31" s="15"/>
    </row>
    <row r="32" spans="1:3" ht="15" customHeight="1" x14ac:dyDescent="0.3">
      <c r="A32" s="14" t="s">
        <v>83</v>
      </c>
      <c r="B32" s="14"/>
    </row>
    <row r="33" spans="1:2" ht="15" customHeight="1" x14ac:dyDescent="0.3">
      <c r="A33" s="20" t="s">
        <v>84</v>
      </c>
      <c r="B33" s="20"/>
    </row>
    <row r="34" spans="1:2" ht="15" customHeight="1" x14ac:dyDescent="0.3">
      <c r="A34" s="56" t="s">
        <v>99</v>
      </c>
      <c r="B34" s="56"/>
    </row>
  </sheetData>
  <mergeCells count="2">
    <mergeCell ref="A1:C1"/>
    <mergeCell ref="A19:C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E31" sqref="E31"/>
    </sheetView>
  </sheetViews>
  <sheetFormatPr defaultRowHeight="15" customHeight="1" x14ac:dyDescent="0.3"/>
  <cols>
    <col min="1" max="1" width="32.33203125" customWidth="1"/>
    <col min="3" max="3" width="30.109375" bestFit="1" customWidth="1"/>
    <col min="4" max="4" width="11.33203125" customWidth="1"/>
    <col min="14" max="14" width="12.109375" customWidth="1"/>
  </cols>
  <sheetData>
    <row r="1" spans="1:15" ht="15" customHeight="1" x14ac:dyDescent="0.3">
      <c r="A1" s="94" t="s">
        <v>111</v>
      </c>
      <c r="E1" t="s">
        <v>1</v>
      </c>
    </row>
    <row r="2" spans="1:15" ht="15" customHeight="1" x14ac:dyDescent="0.3">
      <c r="A2" s="94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86</v>
      </c>
      <c r="N2" t="s">
        <v>2</v>
      </c>
      <c r="O2" t="s">
        <v>15</v>
      </c>
    </row>
    <row r="3" spans="1:15" ht="15" customHeight="1" x14ac:dyDescent="0.3">
      <c r="A3" s="94"/>
      <c r="C3" t="s">
        <v>26</v>
      </c>
      <c r="D3" s="1" t="s">
        <v>11</v>
      </c>
      <c r="E3" s="2">
        <v>0.52868749999999987</v>
      </c>
      <c r="F3" s="2">
        <v>0.91743750000000002</v>
      </c>
      <c r="G3" s="2">
        <v>1.2655000000000001</v>
      </c>
      <c r="H3" s="2">
        <v>1.6353958333333327</v>
      </c>
      <c r="I3" s="2">
        <v>1.9437291666666665</v>
      </c>
      <c r="J3" s="2">
        <v>2.2155416666666663</v>
      </c>
      <c r="K3" s="2">
        <v>2.5180416666666665</v>
      </c>
      <c r="L3" s="2">
        <v>2.7956041666666671</v>
      </c>
      <c r="M3" s="2">
        <v>3.1556875000000009</v>
      </c>
      <c r="N3" s="1" t="s">
        <v>87</v>
      </c>
      <c r="O3" t="s">
        <v>37</v>
      </c>
    </row>
    <row r="4" spans="1:15" ht="15" customHeight="1" x14ac:dyDescent="0.3">
      <c r="A4" s="94"/>
      <c r="C4" s="3" t="s">
        <v>5</v>
      </c>
      <c r="D4" s="3" t="s">
        <v>12</v>
      </c>
      <c r="E4" s="2">
        <v>0.18988256328527628</v>
      </c>
      <c r="F4" s="2">
        <v>0.51525951357153688</v>
      </c>
      <c r="G4" s="2">
        <v>0.83071831606934499</v>
      </c>
      <c r="H4" s="2">
        <v>0.94003787933985505</v>
      </c>
      <c r="I4" s="2">
        <v>0.97565145415800825</v>
      </c>
      <c r="J4" s="2">
        <v>0.9890409620488283</v>
      </c>
      <c r="K4" s="2">
        <v>0.99470052453844637</v>
      </c>
      <c r="L4" s="2">
        <v>0.99730049511242003</v>
      </c>
      <c r="M4" s="2">
        <v>0.99856953956468197</v>
      </c>
      <c r="N4" s="5" t="s">
        <v>4</v>
      </c>
      <c r="O4" t="s">
        <v>37</v>
      </c>
    </row>
    <row r="5" spans="1:15" ht="15" customHeight="1" x14ac:dyDescent="0.3">
      <c r="A5" s="94"/>
      <c r="C5" s="1" t="s">
        <v>6</v>
      </c>
      <c r="D5" s="1" t="s">
        <v>6</v>
      </c>
      <c r="E5" s="2">
        <v>0.2</v>
      </c>
      <c r="F5" s="2">
        <f>E5</f>
        <v>0.2</v>
      </c>
      <c r="G5" s="2">
        <f t="shared" ref="G5:M5" si="0">F5</f>
        <v>0.2</v>
      </c>
      <c r="H5" s="2">
        <f t="shared" si="0"/>
        <v>0.2</v>
      </c>
      <c r="I5" s="2">
        <f t="shared" si="0"/>
        <v>0.2</v>
      </c>
      <c r="J5" s="2">
        <f t="shared" si="0"/>
        <v>0.2</v>
      </c>
      <c r="K5" s="2">
        <f t="shared" si="0"/>
        <v>0.2</v>
      </c>
      <c r="L5" s="2">
        <f t="shared" si="0"/>
        <v>0.2</v>
      </c>
      <c r="M5" s="2">
        <f t="shared" si="0"/>
        <v>0.2</v>
      </c>
      <c r="N5" s="4" t="s">
        <v>4</v>
      </c>
      <c r="O5" t="s">
        <v>38</v>
      </c>
    </row>
    <row r="6" spans="1:15" ht="15" customHeight="1" x14ac:dyDescent="0.35">
      <c r="C6" s="11" t="s">
        <v>7</v>
      </c>
      <c r="D6" s="1" t="s">
        <v>23</v>
      </c>
      <c r="E6" s="19">
        <v>1</v>
      </c>
      <c r="F6">
        <f>E6*EXP(-E5)</f>
        <v>0.81873075307798182</v>
      </c>
      <c r="G6">
        <f t="shared" ref="G6:L6" si="1">F6*EXP(-F5)</f>
        <v>0.67032004603563922</v>
      </c>
      <c r="H6">
        <f t="shared" si="1"/>
        <v>0.54881163609402639</v>
      </c>
      <c r="I6">
        <f t="shared" si="1"/>
        <v>0.44932896411722151</v>
      </c>
      <c r="J6">
        <f t="shared" si="1"/>
        <v>0.36787944117144222</v>
      </c>
      <c r="K6">
        <f>J6*EXP(-J5)</f>
        <v>0.30119421191220203</v>
      </c>
      <c r="L6">
        <f t="shared" si="1"/>
        <v>0.24659696394160641</v>
      </c>
      <c r="M6" s="20">
        <f>L6*EXP(-L5)/(1-EXP(-M5))</f>
        <v>1.1137935497768741</v>
      </c>
      <c r="N6" s="7" t="s">
        <v>4</v>
      </c>
      <c r="O6" t="s">
        <v>107</v>
      </c>
    </row>
    <row r="7" spans="1:15" ht="15" customHeight="1" x14ac:dyDescent="0.35">
      <c r="B7" s="65">
        <v>1</v>
      </c>
      <c r="C7" s="12" t="s">
        <v>10</v>
      </c>
      <c r="D7" t="s">
        <v>21</v>
      </c>
      <c r="E7">
        <f>SUMPRODUCT(E6:M6,E3:M3,E4:M4)</f>
        <v>8.6457264291539886</v>
      </c>
      <c r="N7" s="1" t="s">
        <v>88</v>
      </c>
    </row>
    <row r="14" spans="1:15" ht="15" customHeight="1" x14ac:dyDescent="0.3">
      <c r="C14" s="55" t="s">
        <v>106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6" spans="1:15" ht="15" customHeight="1" x14ac:dyDescent="0.35">
      <c r="C16" s="92" t="s">
        <v>9</v>
      </c>
      <c r="I16" t="s">
        <v>42</v>
      </c>
    </row>
    <row r="17" spans="3:7" ht="15" customHeight="1" x14ac:dyDescent="0.3">
      <c r="C17" s="92"/>
    </row>
    <row r="18" spans="3:7" ht="15" customHeight="1" x14ac:dyDescent="0.3">
      <c r="C18" s="92"/>
    </row>
    <row r="19" spans="3:7" ht="15" customHeight="1" x14ac:dyDescent="0.3">
      <c r="C19" s="92"/>
    </row>
    <row r="21" spans="3:7" ht="15" customHeight="1" x14ac:dyDescent="0.3">
      <c r="C21" s="93" t="s">
        <v>14</v>
      </c>
    </row>
    <row r="22" spans="3:7" ht="15" customHeight="1" x14ac:dyDescent="0.3">
      <c r="C22" s="93"/>
    </row>
    <row r="23" spans="3:7" ht="15" customHeight="1" x14ac:dyDescent="0.3">
      <c r="C23" s="9"/>
    </row>
    <row r="25" spans="3:7" ht="15" customHeight="1" x14ac:dyDescent="0.3">
      <c r="C25" t="s">
        <v>110</v>
      </c>
    </row>
    <row r="27" spans="3:7" ht="15" customHeight="1" x14ac:dyDescent="0.35">
      <c r="C27" s="93" t="s">
        <v>108</v>
      </c>
      <c r="D27" s="10"/>
      <c r="E27" s="10"/>
      <c r="G27" t="s">
        <v>109</v>
      </c>
    </row>
    <row r="28" spans="3:7" ht="15" customHeight="1" x14ac:dyDescent="0.3">
      <c r="C28" s="93"/>
      <c r="D28" s="10"/>
      <c r="E28" s="10"/>
    </row>
  </sheetData>
  <mergeCells count="4">
    <mergeCell ref="C16:C19"/>
    <mergeCell ref="C21:C22"/>
    <mergeCell ref="C27:C28"/>
    <mergeCell ref="A1:A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E31" sqref="E31"/>
    </sheetView>
  </sheetViews>
  <sheetFormatPr defaultRowHeight="15" customHeight="1" x14ac:dyDescent="0.3"/>
  <cols>
    <col min="1" max="1" width="32.33203125" customWidth="1"/>
    <col min="3" max="3" width="30.109375" bestFit="1" customWidth="1"/>
    <col min="4" max="4" width="11.33203125" customWidth="1"/>
    <col min="5" max="5" width="9.109375" customWidth="1"/>
    <col min="14" max="14" width="12.109375" customWidth="1"/>
  </cols>
  <sheetData>
    <row r="1" spans="1:15" ht="15" customHeight="1" x14ac:dyDescent="0.3">
      <c r="A1" s="94" t="s">
        <v>114</v>
      </c>
    </row>
    <row r="2" spans="1:15" ht="15" customHeight="1" x14ac:dyDescent="0.3">
      <c r="A2" s="94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86</v>
      </c>
      <c r="N2" t="s">
        <v>2</v>
      </c>
      <c r="O2" t="s">
        <v>15</v>
      </c>
    </row>
    <row r="3" spans="1:15" ht="15" customHeight="1" x14ac:dyDescent="0.3">
      <c r="A3" s="94"/>
      <c r="C3" t="s">
        <v>26</v>
      </c>
      <c r="D3" s="1" t="s">
        <v>11</v>
      </c>
      <c r="E3" s="2">
        <f>phi0!E3</f>
        <v>0.52868749999999987</v>
      </c>
      <c r="F3" s="2">
        <f>phi0!F3</f>
        <v>0.91743750000000002</v>
      </c>
      <c r="G3" s="2">
        <f>phi0!G3</f>
        <v>1.2655000000000001</v>
      </c>
      <c r="H3" s="2">
        <f>phi0!H3</f>
        <v>1.6353958333333327</v>
      </c>
      <c r="I3" s="2">
        <f>phi0!I3</f>
        <v>1.9437291666666665</v>
      </c>
      <c r="J3" s="2">
        <f>phi0!J3</f>
        <v>2.2155416666666663</v>
      </c>
      <c r="K3" s="2">
        <f>phi0!K3</f>
        <v>2.5180416666666665</v>
      </c>
      <c r="L3" s="2">
        <f>phi0!L3</f>
        <v>2.7956041666666671</v>
      </c>
      <c r="M3" s="2">
        <f>phi0!M3</f>
        <v>3.1556875000000009</v>
      </c>
      <c r="N3" s="1" t="s">
        <v>87</v>
      </c>
      <c r="O3" t="s">
        <v>37</v>
      </c>
    </row>
    <row r="4" spans="1:15" ht="15" customHeight="1" x14ac:dyDescent="0.3">
      <c r="A4" s="94"/>
      <c r="C4" s="3" t="s">
        <v>5</v>
      </c>
      <c r="D4" s="3" t="s">
        <v>12</v>
      </c>
      <c r="E4" s="2">
        <f>phi0!E4</f>
        <v>0.18988256328527628</v>
      </c>
      <c r="F4" s="2">
        <f>phi0!F4</f>
        <v>0.51525951357153688</v>
      </c>
      <c r="G4" s="2">
        <f>phi0!G4</f>
        <v>0.83071831606934499</v>
      </c>
      <c r="H4" s="2">
        <f>phi0!H4</f>
        <v>0.94003787933985505</v>
      </c>
      <c r="I4" s="2">
        <f>phi0!I4</f>
        <v>0.97565145415800825</v>
      </c>
      <c r="J4" s="2">
        <f>phi0!J4</f>
        <v>0.9890409620488283</v>
      </c>
      <c r="K4" s="2">
        <f>phi0!K4</f>
        <v>0.99470052453844637</v>
      </c>
      <c r="L4" s="2">
        <f>phi0!L4</f>
        <v>0.99730049511242003</v>
      </c>
      <c r="M4" s="2">
        <f>phi0!M4</f>
        <v>0.99856953956468197</v>
      </c>
      <c r="N4" s="5" t="s">
        <v>4</v>
      </c>
      <c r="O4" t="s">
        <v>37</v>
      </c>
    </row>
    <row r="5" spans="1:15" ht="15" customHeight="1" x14ac:dyDescent="0.3">
      <c r="A5" s="94"/>
      <c r="C5" s="1" t="s">
        <v>6</v>
      </c>
      <c r="D5" s="1" t="s">
        <v>8</v>
      </c>
      <c r="E5" s="2">
        <f>phi0!E5</f>
        <v>0.2</v>
      </c>
      <c r="F5" s="2">
        <f>E5</f>
        <v>0.2</v>
      </c>
      <c r="G5" s="2">
        <f t="shared" ref="G5:M5" si="0">F5</f>
        <v>0.2</v>
      </c>
      <c r="H5" s="2">
        <f t="shared" si="0"/>
        <v>0.2</v>
      </c>
      <c r="I5" s="2">
        <f t="shared" si="0"/>
        <v>0.2</v>
      </c>
      <c r="J5" s="2">
        <f t="shared" si="0"/>
        <v>0.2</v>
      </c>
      <c r="K5" s="2">
        <f t="shared" si="0"/>
        <v>0.2</v>
      </c>
      <c r="L5" s="2">
        <f t="shared" si="0"/>
        <v>0.2</v>
      </c>
      <c r="M5" s="2">
        <f t="shared" si="0"/>
        <v>0.2</v>
      </c>
      <c r="N5" s="4" t="s">
        <v>4</v>
      </c>
      <c r="O5" t="s">
        <v>38</v>
      </c>
    </row>
    <row r="6" spans="1:15" ht="15" customHeight="1" x14ac:dyDescent="0.35">
      <c r="A6" s="37" t="s">
        <v>39</v>
      </c>
      <c r="B6" s="17">
        <v>0.1</v>
      </c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1">F6*EXP(-F5)</f>
        <v>0.67032004603563922</v>
      </c>
      <c r="H6">
        <f t="shared" si="1"/>
        <v>0.54881163609402639</v>
      </c>
      <c r="I6">
        <f t="shared" si="1"/>
        <v>0.44932896411722151</v>
      </c>
      <c r="J6">
        <f t="shared" si="1"/>
        <v>0.36787944117144222</v>
      </c>
      <c r="K6">
        <f t="shared" si="1"/>
        <v>0.30119421191220203</v>
      </c>
      <c r="L6">
        <f t="shared" si="1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88</v>
      </c>
    </row>
    <row r="8" spans="1:15" ht="15" customHeight="1" x14ac:dyDescent="0.3">
      <c r="C8" s="3" t="s">
        <v>3</v>
      </c>
      <c r="D8" s="3" t="s">
        <v>13</v>
      </c>
      <c r="E8" s="2">
        <v>4.0436359999999998E-3</v>
      </c>
      <c r="F8" s="2">
        <v>4.8546620999999998E-2</v>
      </c>
      <c r="G8" s="2">
        <v>0.35489582200000003</v>
      </c>
      <c r="H8" s="2">
        <v>0.72466872699999996</v>
      </c>
      <c r="I8" s="2">
        <v>0.90894166899999995</v>
      </c>
      <c r="J8" s="2">
        <v>0.97144023599999996</v>
      </c>
      <c r="K8" s="2">
        <v>0.98972695300000002</v>
      </c>
      <c r="L8" s="2">
        <v>0.99659088699999998</v>
      </c>
      <c r="M8" s="2">
        <v>0.99806452199999995</v>
      </c>
      <c r="N8" s="4" t="s">
        <v>4</v>
      </c>
      <c r="O8" t="s">
        <v>40</v>
      </c>
    </row>
    <row r="9" spans="1:15" ht="15" customHeight="1" x14ac:dyDescent="0.3">
      <c r="C9" t="s">
        <v>20</v>
      </c>
      <c r="D9" t="s">
        <v>19</v>
      </c>
      <c r="E9" s="6">
        <f>B6</f>
        <v>0.1</v>
      </c>
      <c r="N9" s="4" t="s">
        <v>4</v>
      </c>
    </row>
    <row r="10" spans="1:15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J10" si="2">F10*EXP(-F5-$E$9*F8)</f>
        <v>0.66680406909640177</v>
      </c>
      <c r="H10">
        <f t="shared" si="2"/>
        <v>0.52689783648290989</v>
      </c>
      <c r="I10">
        <f t="shared" si="2"/>
        <v>0.40123199388411179</v>
      </c>
      <c r="J10">
        <f t="shared" si="2"/>
        <v>0.29995894985656085</v>
      </c>
      <c r="K10">
        <f t="shared" ref="K10" si="3">J10*EXP(-J5-$E$9*J8)</f>
        <v>0.22285060358771858</v>
      </c>
      <c r="L10">
        <f t="shared" ref="L10" si="4">K10*EXP(-K5-$E$9*K8)</f>
        <v>0.16526147434211816</v>
      </c>
      <c r="M10" s="20">
        <f>L10*EXP(-L5-$E$9*L8)/(1-EXP(-M5-$E$9*M8))</f>
        <v>0.47278883928200716</v>
      </c>
      <c r="N10" s="4" t="s">
        <v>4</v>
      </c>
    </row>
    <row r="11" spans="1:15" ht="15" customHeight="1" x14ac:dyDescent="0.35">
      <c r="B11" s="65">
        <v>2</v>
      </c>
      <c r="C11" s="14" t="s">
        <v>18</v>
      </c>
      <c r="D11" s="14" t="s">
        <v>22</v>
      </c>
      <c r="E11">
        <f>SUMPRODUCT(E10:M10,E3:M3,E4:M4)</f>
        <v>5.9252300739334878</v>
      </c>
      <c r="N11" s="1" t="s">
        <v>88</v>
      </c>
    </row>
    <row r="12" spans="1:15" ht="15" customHeight="1" x14ac:dyDescent="0.3">
      <c r="B12" s="65">
        <v>2</v>
      </c>
      <c r="C12" t="s">
        <v>46</v>
      </c>
      <c r="D12" t="s">
        <v>25</v>
      </c>
      <c r="E12">
        <f>E11/E7</f>
        <v>0.68533628984063166</v>
      </c>
      <c r="N12" s="4" t="s">
        <v>4</v>
      </c>
    </row>
    <row r="13" spans="1:15" ht="15" customHeight="1" x14ac:dyDescent="0.3">
      <c r="C13" s="14" t="s">
        <v>49</v>
      </c>
      <c r="D13" s="14" t="s">
        <v>48</v>
      </c>
      <c r="E13">
        <f>E10*E3*$E$9*E8*(1-EXP(-$E$9*E8-E5))/($E$9*E8+E5)</f>
        <v>1.9372262843376736E-4</v>
      </c>
      <c r="F13">
        <f t="shared" ref="F13:M13" si="5">F10*F3*$E$9*F8*(1-EXP(-$E$9*F8-F5))/($E$9*F8+F5)</f>
        <v>3.2959186610397725E-3</v>
      </c>
      <c r="G13">
        <f t="shared" si="5"/>
        <v>2.6682615564540248E-2</v>
      </c>
      <c r="H13">
        <f t="shared" si="5"/>
        <v>5.4659536821670462E-2</v>
      </c>
      <c r="I13">
        <f t="shared" si="5"/>
        <v>6.1507859870212421E-2</v>
      </c>
      <c r="J13">
        <f t="shared" si="5"/>
        <v>5.5850928657019398E-2</v>
      </c>
      <c r="K13">
        <f t="shared" si="5"/>
        <v>4.8005090742236592E-2</v>
      </c>
      <c r="L13">
        <f t="shared" si="5"/>
        <v>3.9784853213727378E-2</v>
      </c>
      <c r="M13">
        <f t="shared" si="5"/>
        <v>0.12865982806513587</v>
      </c>
      <c r="N13" t="s">
        <v>87</v>
      </c>
    </row>
    <row r="14" spans="1:15" ht="15" customHeight="1" x14ac:dyDescent="0.3">
      <c r="B14" s="65">
        <v>2</v>
      </c>
      <c r="C14" s="14" t="s">
        <v>45</v>
      </c>
      <c r="D14" s="14" t="s">
        <v>47</v>
      </c>
      <c r="E14">
        <f>SUM(E13:M13)</f>
        <v>0.41864035422401591</v>
      </c>
      <c r="N14" t="s">
        <v>87</v>
      </c>
    </row>
    <row r="16" spans="1:15" ht="15" customHeight="1" x14ac:dyDescent="0.3">
      <c r="C16" s="9"/>
    </row>
    <row r="17" spans="3:13" ht="15" customHeight="1" x14ac:dyDescent="0.3">
      <c r="C17" s="9"/>
    </row>
    <row r="23" spans="3:13" ht="15" customHeight="1" x14ac:dyDescent="0.3">
      <c r="C23" s="9"/>
    </row>
    <row r="24" spans="3:13" ht="15" customHeight="1" x14ac:dyDescent="0.3">
      <c r="C24" s="55" t="s">
        <v>106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</row>
    <row r="26" spans="3:13" ht="15" customHeight="1" x14ac:dyDescent="0.35">
      <c r="C26" s="92" t="s">
        <v>9</v>
      </c>
      <c r="I26" t="s">
        <v>42</v>
      </c>
    </row>
    <row r="27" spans="3:13" ht="15" customHeight="1" x14ac:dyDescent="0.3">
      <c r="C27" s="92"/>
    </row>
    <row r="28" spans="3:13" ht="15" customHeight="1" x14ac:dyDescent="0.3">
      <c r="C28" s="92"/>
    </row>
    <row r="29" spans="3:13" ht="15" customHeight="1" x14ac:dyDescent="0.3">
      <c r="C29" s="92"/>
    </row>
    <row r="31" spans="3:13" ht="15" customHeight="1" x14ac:dyDescent="0.3">
      <c r="C31" s="93" t="s">
        <v>14</v>
      </c>
    </row>
    <row r="32" spans="3:13" ht="15" customHeight="1" x14ac:dyDescent="0.3">
      <c r="C32" s="93"/>
    </row>
    <row r="33" spans="3:6" ht="15" customHeight="1" x14ac:dyDescent="0.3">
      <c r="C33" s="9"/>
    </row>
    <row r="34" spans="3:6" ht="15" customHeight="1" x14ac:dyDescent="0.3">
      <c r="C34" s="93" t="s">
        <v>41</v>
      </c>
      <c r="F34" t="s">
        <v>44</v>
      </c>
    </row>
    <row r="35" spans="3:6" ht="15" customHeight="1" x14ac:dyDescent="0.3">
      <c r="C35" s="93"/>
    </row>
    <row r="37" spans="3:6" ht="15" customHeight="1" x14ac:dyDescent="0.3">
      <c r="C37" s="93" t="s">
        <v>43</v>
      </c>
    </row>
    <row r="38" spans="3:6" ht="15" customHeight="1" x14ac:dyDescent="0.3">
      <c r="C38" s="93"/>
    </row>
  </sheetData>
  <mergeCells count="5">
    <mergeCell ref="A1:A5"/>
    <mergeCell ref="C34:C35"/>
    <mergeCell ref="C37:C38"/>
    <mergeCell ref="C26:C29"/>
    <mergeCell ref="C31:C32"/>
  </mergeCells>
  <pageMargins left="0.7" right="0.7" top="0.75" bottom="0.75" header="0.3" footer="0.3"/>
  <pageSetup orientation="portrait" r:id="rId1"/>
  <ignoredErrors>
    <ignoredError sqref="B13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0"/>
  <sheetViews>
    <sheetView workbookViewId="0">
      <selection activeCell="E31" sqref="E31"/>
    </sheetView>
  </sheetViews>
  <sheetFormatPr defaultRowHeight="15" customHeight="1" x14ac:dyDescent="0.3"/>
  <cols>
    <col min="1" max="1" width="32.33203125" customWidth="1"/>
    <col min="3" max="3" width="30.109375" customWidth="1"/>
    <col min="4" max="4" width="11.33203125" customWidth="1"/>
    <col min="5" max="5" width="9.109375" customWidth="1"/>
    <col min="14" max="14" width="12.109375" customWidth="1"/>
  </cols>
  <sheetData>
    <row r="1" spans="1:15" ht="15" customHeight="1" x14ac:dyDescent="0.3">
      <c r="A1" s="94" t="s">
        <v>121</v>
      </c>
    </row>
    <row r="2" spans="1:15" ht="15" customHeight="1" x14ac:dyDescent="0.3">
      <c r="A2" s="94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86</v>
      </c>
      <c r="N2" t="s">
        <v>2</v>
      </c>
      <c r="O2" t="s">
        <v>15</v>
      </c>
    </row>
    <row r="3" spans="1:15" ht="15" customHeight="1" x14ac:dyDescent="0.3">
      <c r="A3" s="94"/>
      <c r="C3" t="s">
        <v>26</v>
      </c>
      <c r="D3" s="1" t="s">
        <v>11</v>
      </c>
      <c r="E3" s="2">
        <f>phi0!E3</f>
        <v>0.52868749999999987</v>
      </c>
      <c r="F3" s="2">
        <f>phi0!F3</f>
        <v>0.91743750000000002</v>
      </c>
      <c r="G3" s="2">
        <f>phi0!G3</f>
        <v>1.2655000000000001</v>
      </c>
      <c r="H3" s="2">
        <f>phi0!H3</f>
        <v>1.6353958333333327</v>
      </c>
      <c r="I3" s="2">
        <f>phi0!I3</f>
        <v>1.9437291666666665</v>
      </c>
      <c r="J3" s="2">
        <f>phi0!J3</f>
        <v>2.2155416666666663</v>
      </c>
      <c r="K3" s="2">
        <f>phi0!K3</f>
        <v>2.5180416666666665</v>
      </c>
      <c r="L3" s="2">
        <f>phi0!L3</f>
        <v>2.7956041666666671</v>
      </c>
      <c r="M3" s="2">
        <f>phi0!M3</f>
        <v>3.1556875000000009</v>
      </c>
      <c r="N3" s="1" t="s">
        <v>87</v>
      </c>
      <c r="O3" t="s">
        <v>37</v>
      </c>
    </row>
    <row r="4" spans="1:15" ht="15" customHeight="1" x14ac:dyDescent="0.3">
      <c r="A4" s="94"/>
      <c r="C4" s="3" t="s">
        <v>5</v>
      </c>
      <c r="D4" s="3" t="s">
        <v>12</v>
      </c>
      <c r="E4" s="2">
        <f>phi0!E4</f>
        <v>0.18988256328527628</v>
      </c>
      <c r="F4" s="2">
        <f>phi0!F4</f>
        <v>0.51525951357153688</v>
      </c>
      <c r="G4" s="2">
        <f>phi0!G4</f>
        <v>0.83071831606934499</v>
      </c>
      <c r="H4" s="2">
        <f>phi0!H4</f>
        <v>0.94003787933985505</v>
      </c>
      <c r="I4" s="2">
        <f>phi0!I4</f>
        <v>0.97565145415800825</v>
      </c>
      <c r="J4" s="2">
        <f>phi0!J4</f>
        <v>0.9890409620488283</v>
      </c>
      <c r="K4" s="2">
        <f>phi0!K4</f>
        <v>0.99470052453844637</v>
      </c>
      <c r="L4" s="2">
        <f>phi0!L4</f>
        <v>0.99730049511242003</v>
      </c>
      <c r="M4" s="2">
        <f>phi0!M4</f>
        <v>0.99856953956468197</v>
      </c>
      <c r="N4" s="5" t="s">
        <v>4</v>
      </c>
      <c r="O4" t="s">
        <v>37</v>
      </c>
    </row>
    <row r="5" spans="1:15" ht="15" customHeight="1" thickBot="1" x14ac:dyDescent="0.35">
      <c r="A5" s="94"/>
      <c r="C5" s="1" t="s">
        <v>6</v>
      </c>
      <c r="D5" s="1" t="s">
        <v>8</v>
      </c>
      <c r="E5" s="2">
        <f>phi0!E5</f>
        <v>0.2</v>
      </c>
      <c r="F5" s="2">
        <f>E5</f>
        <v>0.2</v>
      </c>
      <c r="G5" s="2">
        <f t="shared" ref="G5:M5" si="0">F5</f>
        <v>0.2</v>
      </c>
      <c r="H5" s="2">
        <f t="shared" si="0"/>
        <v>0.2</v>
      </c>
      <c r="I5" s="2">
        <f t="shared" si="0"/>
        <v>0.2</v>
      </c>
      <c r="J5" s="2">
        <f t="shared" si="0"/>
        <v>0.2</v>
      </c>
      <c r="K5" s="2">
        <f t="shared" si="0"/>
        <v>0.2</v>
      </c>
      <c r="L5" s="2">
        <f t="shared" si="0"/>
        <v>0.2</v>
      </c>
      <c r="M5" s="2">
        <f t="shared" si="0"/>
        <v>0.2</v>
      </c>
      <c r="N5" s="4" t="s">
        <v>4</v>
      </c>
      <c r="O5" t="s">
        <v>38</v>
      </c>
    </row>
    <row r="6" spans="1:15" ht="15" customHeight="1" thickBot="1" x14ac:dyDescent="0.4">
      <c r="A6" s="37" t="s">
        <v>39</v>
      </c>
      <c r="B6" s="74">
        <v>0.1</v>
      </c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1">F6*EXP(-F5)</f>
        <v>0.67032004603563922</v>
      </c>
      <c r="H6">
        <f t="shared" si="1"/>
        <v>0.54881163609402639</v>
      </c>
      <c r="I6">
        <f t="shared" si="1"/>
        <v>0.44932896411722151</v>
      </c>
      <c r="J6">
        <f t="shared" si="1"/>
        <v>0.36787944117144222</v>
      </c>
      <c r="K6">
        <f t="shared" si="1"/>
        <v>0.30119421191220203</v>
      </c>
      <c r="L6">
        <f t="shared" si="1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88</v>
      </c>
    </row>
    <row r="8" spans="1:15" ht="15" customHeight="1" x14ac:dyDescent="0.3">
      <c r="C8" s="3" t="s">
        <v>3</v>
      </c>
      <c r="D8" s="3" t="s">
        <v>13</v>
      </c>
      <c r="E8" s="2">
        <f>'phiF SPR YPR'!E8</f>
        <v>4.0436359999999998E-3</v>
      </c>
      <c r="F8" s="2">
        <f>'phiF SPR YPR'!F8</f>
        <v>4.8546620999999998E-2</v>
      </c>
      <c r="G8" s="2">
        <f>'phiF SPR YPR'!G8</f>
        <v>0.35489582200000003</v>
      </c>
      <c r="H8" s="2">
        <f>'phiF SPR YPR'!H8</f>
        <v>0.72466872699999996</v>
      </c>
      <c r="I8" s="2">
        <f>'phiF SPR YPR'!I8</f>
        <v>0.90894166899999995</v>
      </c>
      <c r="J8" s="2">
        <f>'phiF SPR YPR'!J8</f>
        <v>0.97144023599999996</v>
      </c>
      <c r="K8" s="2">
        <f>'phiF SPR YPR'!K8</f>
        <v>0.98972695300000002</v>
      </c>
      <c r="L8" s="2">
        <f>'phiF SPR YPR'!L8</f>
        <v>0.99659088699999998</v>
      </c>
      <c r="M8" s="2">
        <f>'phiF SPR YPR'!M8</f>
        <v>0.99806452199999995</v>
      </c>
      <c r="N8" s="4" t="s">
        <v>4</v>
      </c>
      <c r="O8" t="s">
        <v>40</v>
      </c>
    </row>
    <row r="9" spans="1:15" ht="15" customHeight="1" x14ac:dyDescent="0.3">
      <c r="C9" t="s">
        <v>20</v>
      </c>
      <c r="D9" t="s">
        <v>19</v>
      </c>
      <c r="E9" s="6">
        <f>B6</f>
        <v>0.1</v>
      </c>
      <c r="N9" s="4" t="s">
        <v>4</v>
      </c>
    </row>
    <row r="10" spans="1:15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>F10*EXP(-F5-$E$9*F8)</f>
        <v>0.66680406909640177</v>
      </c>
      <c r="H10">
        <f>G10*EXP(-G5-$E$9*G8)</f>
        <v>0.52689783648290989</v>
      </c>
      <c r="I10">
        <f>H10*EXP(-H5-$E$9*H8)</f>
        <v>0.40123199388411179</v>
      </c>
      <c r="J10">
        <f>I10*EXP(-I5-$E$9*I8)</f>
        <v>0.29995894985656085</v>
      </c>
      <c r="K10">
        <f t="shared" ref="K10:L10" si="2">J10*EXP(-J5-$E$9*J8)</f>
        <v>0.22285060358771858</v>
      </c>
      <c r="L10">
        <f t="shared" si="2"/>
        <v>0.16526147434211816</v>
      </c>
      <c r="M10" s="20">
        <f>L10*EXP(-L5-$E$9*L8)/(1-EXP(-M5-$E$9*M8))</f>
        <v>0.47278883928200716</v>
      </c>
      <c r="N10" s="4" t="s">
        <v>4</v>
      </c>
    </row>
    <row r="11" spans="1:15" ht="15" customHeight="1" thickBot="1" x14ac:dyDescent="0.4">
      <c r="C11" s="14" t="s">
        <v>18</v>
      </c>
      <c r="D11" s="14" t="s">
        <v>22</v>
      </c>
      <c r="E11">
        <f>SUMPRODUCT(E10:M10,E3:M3,E4:M4)</f>
        <v>5.9252300739334878</v>
      </c>
      <c r="N11" s="1" t="s">
        <v>88</v>
      </c>
    </row>
    <row r="12" spans="1:15" ht="15" customHeight="1" thickBot="1" x14ac:dyDescent="0.35">
      <c r="C12" s="24" t="s">
        <v>46</v>
      </c>
      <c r="D12" s="24" t="s">
        <v>25</v>
      </c>
      <c r="E12" s="73">
        <f>E11/E7</f>
        <v>0.68533628984063166</v>
      </c>
      <c r="N12" s="4" t="s">
        <v>4</v>
      </c>
    </row>
    <row r="13" spans="1:15" ht="15" customHeight="1" thickBot="1" x14ac:dyDescent="0.35">
      <c r="C13" s="14" t="s">
        <v>49</v>
      </c>
      <c r="D13" s="14" t="s">
        <v>48</v>
      </c>
      <c r="E13">
        <f>E10*E3*$E$9*E8*(1-EXP(-$E$9*E8-E5))/($E$9*E8+E5)</f>
        <v>1.9372262843376736E-4</v>
      </c>
      <c r="F13">
        <f t="shared" ref="F13:M13" si="3">F10*F3*$E$9*F8*(1-EXP(-$E$9*F8-F5))/($E$9*F8+F5)</f>
        <v>3.2959186610397725E-3</v>
      </c>
      <c r="G13">
        <f t="shared" si="3"/>
        <v>2.6682615564540248E-2</v>
      </c>
      <c r="H13">
        <f t="shared" si="3"/>
        <v>5.4659536821670462E-2</v>
      </c>
      <c r="I13">
        <f t="shared" si="3"/>
        <v>6.1507859870212421E-2</v>
      </c>
      <c r="J13">
        <f t="shared" si="3"/>
        <v>5.5850928657019398E-2</v>
      </c>
      <c r="K13">
        <f t="shared" si="3"/>
        <v>4.8005090742236592E-2</v>
      </c>
      <c r="L13">
        <f t="shared" si="3"/>
        <v>3.9784853213727378E-2</v>
      </c>
      <c r="M13">
        <f t="shared" si="3"/>
        <v>0.12865982806513587</v>
      </c>
      <c r="N13" t="s">
        <v>87</v>
      </c>
    </row>
    <row r="14" spans="1:15" ht="15" customHeight="1" thickBot="1" x14ac:dyDescent="0.35">
      <c r="C14" s="14" t="s">
        <v>45</v>
      </c>
      <c r="D14" s="14" t="s">
        <v>47</v>
      </c>
      <c r="E14" s="73">
        <f>SUM(E13:M13)</f>
        <v>0.41864035422401591</v>
      </c>
      <c r="N14" t="s">
        <v>87</v>
      </c>
    </row>
    <row r="16" spans="1:15" ht="15" customHeight="1" x14ac:dyDescent="0.3">
      <c r="C16" s="9"/>
    </row>
    <row r="17" spans="1:12" ht="15" customHeight="1" x14ac:dyDescent="0.3">
      <c r="B17" s="67">
        <v>3</v>
      </c>
      <c r="C17" t="s">
        <v>115</v>
      </c>
    </row>
    <row r="18" spans="1:12" ht="15" customHeight="1" x14ac:dyDescent="0.3">
      <c r="C18" s="9" t="s">
        <v>117</v>
      </c>
    </row>
    <row r="19" spans="1:12" ht="15" customHeight="1" x14ac:dyDescent="0.3">
      <c r="A19" s="66"/>
      <c r="B19" s="24"/>
      <c r="C19" s="9" t="s">
        <v>116</v>
      </c>
    </row>
    <row r="20" spans="1:12" ht="15" customHeight="1" x14ac:dyDescent="0.3">
      <c r="A20" s="38"/>
      <c r="B20" s="24"/>
      <c r="C20" s="9" t="s">
        <v>118</v>
      </c>
    </row>
    <row r="21" spans="1:12" ht="15" customHeight="1" x14ac:dyDescent="0.3">
      <c r="A21" s="37"/>
      <c r="B21" s="41"/>
      <c r="C21" s="9" t="s">
        <v>119</v>
      </c>
    </row>
    <row r="22" spans="1:12" ht="15" customHeight="1" x14ac:dyDescent="0.3">
      <c r="A22" s="37"/>
      <c r="B22" s="57"/>
      <c r="C22" s="9" t="s">
        <v>120</v>
      </c>
    </row>
    <row r="23" spans="1:12" ht="15" customHeight="1" x14ac:dyDescent="0.3">
      <c r="C23" s="9" t="s">
        <v>123</v>
      </c>
    </row>
    <row r="24" spans="1:12" ht="15" customHeight="1" x14ac:dyDescent="0.3">
      <c r="C24" s="9" t="s">
        <v>122</v>
      </c>
    </row>
    <row r="26" spans="1:12" ht="15" customHeight="1" x14ac:dyDescent="0.3">
      <c r="C26" s="10"/>
    </row>
    <row r="27" spans="1:12" s="24" customFormat="1" ht="15" customHeight="1" x14ac:dyDescent="0.3">
      <c r="A27" s="21" t="s">
        <v>124</v>
      </c>
      <c r="B27" s="22"/>
      <c r="C27" s="23"/>
      <c r="D27"/>
      <c r="J27"/>
      <c r="K27"/>
      <c r="L27"/>
    </row>
    <row r="28" spans="1:12" ht="15" customHeight="1" thickBot="1" x14ac:dyDescent="0.35">
      <c r="A28" s="34" t="s">
        <v>19</v>
      </c>
      <c r="B28" s="70" t="s">
        <v>25</v>
      </c>
      <c r="C28" s="72" t="s">
        <v>47</v>
      </c>
      <c r="E28" s="58"/>
    </row>
    <row r="29" spans="1:12" s="24" customFormat="1" ht="15" customHeight="1" thickBot="1" x14ac:dyDescent="0.35">
      <c r="A29" s="25"/>
      <c r="B29" s="71">
        <f>E12</f>
        <v>0.68533628984063166</v>
      </c>
      <c r="C29" s="71">
        <f>E14</f>
        <v>0.41864035422401591</v>
      </c>
      <c r="D29"/>
      <c r="J29"/>
      <c r="K29"/>
      <c r="L29"/>
    </row>
    <row r="30" spans="1:12" ht="15" customHeight="1" x14ac:dyDescent="0.3">
      <c r="A30" s="28">
        <v>1E-4</v>
      </c>
      <c r="B30" s="29">
        <f t="dataTable" ref="B30:C280" dt2D="0" dtr="0" r1="B6"/>
        <v>0.99952159084272474</v>
      </c>
      <c r="C30" s="30">
        <v>6.8128969288715636E-4</v>
      </c>
      <c r="J30" s="24"/>
      <c r="K30" s="24"/>
    </row>
    <row r="31" spans="1:12" ht="15" customHeight="1" x14ac:dyDescent="0.3">
      <c r="A31" s="28">
        <v>0.01</v>
      </c>
      <c r="B31" s="29">
        <v>0.95448419702497456</v>
      </c>
      <c r="C31" s="30">
        <v>6.43343462730398E-2</v>
      </c>
      <c r="J31" s="24"/>
      <c r="K31" s="24"/>
    </row>
    <row r="32" spans="1:12" ht="15" customHeight="1" x14ac:dyDescent="0.3">
      <c r="A32" s="28">
        <v>0.02</v>
      </c>
      <c r="B32" s="29">
        <v>0.91323765685305125</v>
      </c>
      <c r="C32" s="30">
        <v>0.12173192642859101</v>
      </c>
      <c r="J32" s="24"/>
      <c r="K32" s="24"/>
    </row>
    <row r="33" spans="1:11" ht="15" customHeight="1" x14ac:dyDescent="0.3">
      <c r="A33" s="28">
        <v>0.03</v>
      </c>
      <c r="B33" s="29">
        <v>0.87569913806345145</v>
      </c>
      <c r="C33" s="30">
        <v>0.17314724253319588</v>
      </c>
      <c r="J33" s="24"/>
      <c r="K33" s="24"/>
    </row>
    <row r="34" spans="1:11" ht="15" customHeight="1" x14ac:dyDescent="0.3">
      <c r="A34" s="28">
        <v>0.04</v>
      </c>
      <c r="B34" s="29">
        <v>0.84140098817357856</v>
      </c>
      <c r="C34" s="30">
        <v>0.21937345502736541</v>
      </c>
      <c r="J34" s="24"/>
      <c r="K34" s="24"/>
    </row>
    <row r="35" spans="1:11" ht="15" customHeight="1" x14ac:dyDescent="0.3">
      <c r="A35" s="28">
        <v>0.05</v>
      </c>
      <c r="B35" s="29">
        <v>0.80995044719986264</v>
      </c>
      <c r="C35" s="30">
        <v>0.26107472664256853</v>
      </c>
      <c r="J35" s="24"/>
      <c r="K35" s="24"/>
    </row>
    <row r="36" spans="1:11" ht="15" customHeight="1" x14ac:dyDescent="0.3">
      <c r="A36" s="28">
        <v>0.06</v>
      </c>
      <c r="B36" s="29">
        <v>0.78101525965315455</v>
      </c>
      <c r="C36" s="30">
        <v>0.29881110713728715</v>
      </c>
      <c r="J36" s="24"/>
      <c r="K36" s="24"/>
    </row>
    <row r="37" spans="1:11" ht="15" customHeight="1" x14ac:dyDescent="0.3">
      <c r="A37" s="28">
        <v>7.0000000000000007E-2</v>
      </c>
      <c r="B37" s="29">
        <v>0.75431247955756053</v>
      </c>
      <c r="C37" s="30">
        <v>0.33305789025881521</v>
      </c>
      <c r="J37" s="24"/>
      <c r="K37" s="24"/>
    </row>
    <row r="38" spans="1:11" ht="15" customHeight="1" x14ac:dyDescent="0.3">
      <c r="A38" s="28">
        <v>0.08</v>
      </c>
      <c r="B38" s="29">
        <v>0.72959967133015535</v>
      </c>
      <c r="C38" s="30">
        <v>0.36422082325420319</v>
      </c>
      <c r="J38" s="24"/>
      <c r="K38" s="24"/>
    </row>
    <row r="39" spans="1:11" ht="15" customHeight="1" x14ac:dyDescent="0.3">
      <c r="A39" s="28">
        <v>0.09</v>
      </c>
      <c r="B39" s="29">
        <v>0.7066679289726443</v>
      </c>
      <c r="C39" s="30">
        <v>0.39264816896870791</v>
      </c>
      <c r="J39" s="24"/>
      <c r="K39" s="24"/>
    </row>
    <row r="40" spans="1:11" ht="15" customHeight="1" x14ac:dyDescent="0.3">
      <c r="A40" s="28">
        <v>0.1</v>
      </c>
      <c r="B40" s="29">
        <v>0.68533628984063166</v>
      </c>
      <c r="C40" s="30">
        <v>0.41864035422401591</v>
      </c>
      <c r="J40" s="24"/>
      <c r="K40" s="24"/>
    </row>
    <row r="41" spans="1:11" ht="15" customHeight="1" x14ac:dyDescent="0.3">
      <c r="A41" s="28">
        <v>0.11</v>
      </c>
      <c r="B41" s="29">
        <v>0.66544722847070559</v>
      </c>
      <c r="C41" s="30">
        <v>0.44245774905277546</v>
      </c>
      <c r="J41" s="24"/>
      <c r="K41" s="24"/>
    </row>
    <row r="42" spans="1:11" ht="15" customHeight="1" x14ac:dyDescent="0.3">
      <c r="A42" s="28">
        <v>0.12</v>
      </c>
      <c r="B42" s="29">
        <v>0.64686299448063744</v>
      </c>
      <c r="C42" s="30">
        <v>0.46432698537526651</v>
      </c>
      <c r="J42" s="24"/>
      <c r="K42" s="24"/>
    </row>
    <row r="43" spans="1:11" ht="15" customHeight="1" x14ac:dyDescent="0.3">
      <c r="A43" s="28">
        <v>0.13</v>
      </c>
      <c r="B43" s="29">
        <v>0.62946261569958595</v>
      </c>
      <c r="C43" s="30">
        <v>0.48444612475875548</v>
      </c>
      <c r="J43" s="24"/>
      <c r="K43" s="24"/>
    </row>
    <row r="44" spans="1:11" ht="15" customHeight="1" x14ac:dyDescent="0.3">
      <c r="A44" s="28">
        <v>0.14000000000000001</v>
      </c>
      <c r="B44" s="29">
        <v>0.6131394297182754</v>
      </c>
      <c r="C44" s="30">
        <v>0.50298891211688024</v>
      </c>
      <c r="J44" s="24"/>
      <c r="K44" s="24"/>
    </row>
    <row r="45" spans="1:11" ht="15" customHeight="1" x14ac:dyDescent="0.3">
      <c r="A45" s="28">
        <v>0.15</v>
      </c>
      <c r="B45" s="29">
        <v>0.59779903828564174</v>
      </c>
      <c r="C45" s="30">
        <v>0.52010829811866577</v>
      </c>
      <c r="J45" s="24"/>
      <c r="K45" s="24"/>
    </row>
    <row r="46" spans="1:11" ht="15" customHeight="1" x14ac:dyDescent="0.3">
      <c r="A46" s="28">
        <v>0.16</v>
      </c>
      <c r="B46" s="29">
        <v>0.58335760241424339</v>
      </c>
      <c r="C46" s="30">
        <v>0.53593937249685797</v>
      </c>
      <c r="J46" s="24"/>
      <c r="K46" s="24"/>
    </row>
    <row r="47" spans="1:11" ht="15" customHeight="1" x14ac:dyDescent="0.3">
      <c r="A47" s="28">
        <v>0.17</v>
      </c>
      <c r="B47" s="29">
        <v>0.56974041379787388</v>
      </c>
      <c r="C47" s="30">
        <v>0.55060181972622135</v>
      </c>
      <c r="J47" s="24"/>
      <c r="K47" s="24"/>
    </row>
    <row r="48" spans="1:11" ht="15" customHeight="1" x14ac:dyDescent="0.3">
      <c r="A48" s="28">
        <v>0.18</v>
      </c>
      <c r="B48" s="29">
        <v>0.55688069168838961</v>
      </c>
      <c r="C48" s="30">
        <v>0.56420198509193298</v>
      </c>
      <c r="J48" s="24"/>
      <c r="K48" s="24"/>
    </row>
    <row r="49" spans="1:11" ht="15" customHeight="1" x14ac:dyDescent="0.3">
      <c r="A49" s="28">
        <v>0.19</v>
      </c>
      <c r="B49" s="29">
        <v>0.54471856479999958</v>
      </c>
      <c r="C49" s="30">
        <v>0.57683462112432093</v>
      </c>
      <c r="J49" s="24"/>
      <c r="K49" s="24"/>
    </row>
    <row r="50" spans="1:11" ht="15" customHeight="1" x14ac:dyDescent="0.3">
      <c r="A50" s="28">
        <v>0.2</v>
      </c>
      <c r="B50" s="29">
        <v>0.53320020588797934</v>
      </c>
      <c r="C50" s="30">
        <v>0.5885843703885929</v>
      </c>
      <c r="J50" s="24"/>
      <c r="K50" s="24"/>
    </row>
    <row r="51" spans="1:11" ht="15" customHeight="1" x14ac:dyDescent="0.3">
      <c r="A51" s="28">
        <v>0.21</v>
      </c>
      <c r="B51" s="29">
        <v>0.52227709295577129</v>
      </c>
      <c r="C51" s="30">
        <v>0.59952702969842908</v>
      </c>
      <c r="J51" s="24"/>
      <c r="K51" s="24"/>
    </row>
    <row r="52" spans="1:11" ht="15" customHeight="1" x14ac:dyDescent="0.3">
      <c r="A52" s="28">
        <v>0.22</v>
      </c>
      <c r="B52" s="29">
        <v>0.51190537600119057</v>
      </c>
      <c r="C52" s="30">
        <v>0.60973063224063184</v>
      </c>
      <c r="J52" s="24"/>
      <c r="K52" s="24"/>
    </row>
    <row r="53" spans="1:11" ht="15" customHeight="1" x14ac:dyDescent="0.3">
      <c r="A53" s="28">
        <v>0.23</v>
      </c>
      <c r="B53" s="29">
        <v>0.50204533213265934</v>
      </c>
      <c r="C53" s="30">
        <v>0.6192563773111408</v>
      </c>
      <c r="J53" s="24"/>
      <c r="K53" s="24"/>
    </row>
    <row r="54" spans="1:11" ht="15" customHeight="1" x14ac:dyDescent="0.3">
      <c r="A54" s="28">
        <v>0.24</v>
      </c>
      <c r="B54" s="29">
        <v>0.4926608950054514</v>
      </c>
      <c r="C54" s="30">
        <v>0.62815943196308066</v>
      </c>
      <c r="J54" s="24"/>
      <c r="K54" s="24"/>
    </row>
    <row r="55" spans="1:11" ht="15" customHeight="1" x14ac:dyDescent="0.3">
      <c r="A55" s="28">
        <v>0.25</v>
      </c>
      <c r="B55" s="29">
        <v>0.48371924702369723</v>
      </c>
      <c r="C55" s="30">
        <v>0.63648962454709368</v>
      </c>
      <c r="J55" s="24"/>
      <c r="K55" s="24"/>
    </row>
    <row r="56" spans="1:11" ht="15" customHeight="1" x14ac:dyDescent="0.3">
      <c r="A56" s="28">
        <v>0.26</v>
      </c>
      <c r="B56" s="29">
        <v>0.47519046476178278</v>
      </c>
      <c r="C56" s="30">
        <v>0.64429204664858242</v>
      </c>
      <c r="J56" s="24"/>
      <c r="K56" s="24"/>
    </row>
    <row r="57" spans="1:11" ht="15" customHeight="1" x14ac:dyDescent="0.3">
      <c r="A57" s="28">
        <v>0.27</v>
      </c>
      <c r="B57" s="29">
        <v>0.46704720968245955</v>
      </c>
      <c r="C57" s="30">
        <v>0.65160757711605088</v>
      </c>
      <c r="J57" s="24"/>
      <c r="K57" s="24"/>
    </row>
    <row r="58" spans="1:11" ht="15" customHeight="1" x14ac:dyDescent="0.3">
      <c r="A58" s="28">
        <v>0.28000000000000003</v>
      </c>
      <c r="B58" s="29">
        <v>0.45926445754849993</v>
      </c>
      <c r="C58" s="30">
        <v>0.65847333959100185</v>
      </c>
      <c r="J58" s="24"/>
      <c r="K58" s="24"/>
    </row>
    <row r="59" spans="1:11" ht="15" customHeight="1" x14ac:dyDescent="0.3">
      <c r="A59" s="28">
        <v>0.28999999999999998</v>
      </c>
      <c r="B59" s="29">
        <v>0.45181926100204461</v>
      </c>
      <c r="C59" s="30">
        <v>0.66492310308541891</v>
      </c>
      <c r="J59" s="24"/>
      <c r="K59" s="24"/>
    </row>
    <row r="60" spans="1:11" ht="15" customHeight="1" x14ac:dyDescent="0.3">
      <c r="A60" s="28">
        <v>0.3</v>
      </c>
      <c r="B60" s="29">
        <v>0.44469054066934505</v>
      </c>
      <c r="C60" s="30">
        <v>0.67098763362390867</v>
      </c>
      <c r="J60" s="24"/>
      <c r="K60" s="24"/>
    </row>
    <row r="61" spans="1:11" ht="15" customHeight="1" x14ac:dyDescent="0.3">
      <c r="A61" s="28">
        <v>0.31</v>
      </c>
      <c r="B61" s="29">
        <v>0.43785890087636159</v>
      </c>
      <c r="C61" s="30">
        <v>0.67669500370839575</v>
      </c>
      <c r="J61" s="24"/>
      <c r="K61" s="24"/>
    </row>
    <row r="62" spans="1:11" ht="15" customHeight="1" x14ac:dyDescent="0.3">
      <c r="A62" s="28">
        <v>0.32</v>
      </c>
      <c r="B62" s="29">
        <v>0.43130646666254246</v>
      </c>
      <c r="C62" s="30">
        <v>0.68207086532196659</v>
      </c>
      <c r="J62" s="24"/>
      <c r="K62" s="24"/>
    </row>
    <row r="63" spans="1:11" ht="15" customHeight="1" x14ac:dyDescent="0.3">
      <c r="A63" s="28">
        <v>0.33</v>
      </c>
      <c r="B63" s="29">
        <v>0.42501673927986727</v>
      </c>
      <c r="C63" s="30">
        <v>0.68713869132399574</v>
      </c>
      <c r="J63" s="24"/>
      <c r="K63" s="24"/>
    </row>
    <row r="64" spans="1:11" ht="15" customHeight="1" x14ac:dyDescent="0.3">
      <c r="A64" s="28">
        <v>0.34</v>
      </c>
      <c r="B64" s="29">
        <v>0.41897446778074526</v>
      </c>
      <c r="C64" s="30">
        <v>0.69191998936830301</v>
      </c>
      <c r="J64" s="24"/>
      <c r="K64" s="24"/>
    </row>
    <row r="65" spans="1:11" ht="15" customHeight="1" x14ac:dyDescent="0.3">
      <c r="A65" s="28">
        <v>0.35</v>
      </c>
      <c r="B65" s="29">
        <v>0.41316553464675532</v>
      </c>
      <c r="C65" s="30">
        <v>0.69643449187361295</v>
      </c>
      <c r="J65" s="24"/>
      <c r="K65" s="24"/>
    </row>
    <row r="66" spans="1:11" ht="15" customHeight="1" x14ac:dyDescent="0.3">
      <c r="A66" s="28">
        <v>0.36</v>
      </c>
      <c r="B66" s="29">
        <v>0.40757685370266106</v>
      </c>
      <c r="C66" s="30">
        <v>0.70070032506996671</v>
      </c>
      <c r="J66" s="24"/>
      <c r="K66" s="24"/>
    </row>
    <row r="67" spans="1:11" ht="15" customHeight="1" x14ac:dyDescent="0.3">
      <c r="A67" s="28">
        <v>0.37</v>
      </c>
      <c r="B67" s="29">
        <v>0.40219627880642972</v>
      </c>
      <c r="C67" s="30">
        <v>0.70473415971899789</v>
      </c>
      <c r="J67" s="24"/>
      <c r="K67" s="24"/>
    </row>
    <row r="68" spans="1:11" ht="15" customHeight="1" x14ac:dyDescent="0.3">
      <c r="A68" s="28">
        <v>0.38</v>
      </c>
      <c r="B68" s="29">
        <v>0.39701252201407877</v>
      </c>
      <c r="C68" s="30">
        <v>0.70855134574633194</v>
      </c>
      <c r="J68" s="24"/>
      <c r="K68" s="24"/>
    </row>
    <row r="69" spans="1:11" ht="15" customHeight="1" x14ac:dyDescent="0.3">
      <c r="A69" s="28">
        <v>0.39</v>
      </c>
      <c r="B69" s="29">
        <v>0.3920150800945556</v>
      </c>
      <c r="C69" s="30">
        <v>0.71216603271964074</v>
      </c>
      <c r="J69" s="24"/>
      <c r="K69" s="24"/>
    </row>
    <row r="70" spans="1:11" ht="15" customHeight="1" x14ac:dyDescent="0.3">
      <c r="A70" s="28">
        <v>0.4</v>
      </c>
      <c r="B70" s="29">
        <v>0.38719416841978377</v>
      </c>
      <c r="C70" s="30">
        <v>0.71559127784690002</v>
      </c>
      <c r="J70" s="24"/>
      <c r="K70" s="24"/>
    </row>
    <row r="71" spans="1:11" ht="15" customHeight="1" x14ac:dyDescent="0.3">
      <c r="A71" s="28">
        <v>0.41</v>
      </c>
      <c r="B71" s="29">
        <v>0.3825406613828321</v>
      </c>
      <c r="C71" s="30">
        <v>0.71883914294866724</v>
      </c>
      <c r="J71" s="24"/>
      <c r="K71" s="24"/>
    </row>
    <row r="72" spans="1:11" ht="15" customHeight="1" x14ac:dyDescent="0.3">
      <c r="A72" s="28">
        <v>0.42</v>
      </c>
      <c r="B72" s="29">
        <v>0.37804603860644587</v>
      </c>
      <c r="C72" s="30">
        <v>0.72192078166957041</v>
      </c>
      <c r="J72" s="24"/>
      <c r="K72" s="24"/>
    </row>
    <row r="73" spans="1:11" ht="15" customHeight="1" x14ac:dyDescent="0.3">
      <c r="A73" s="28">
        <v>0.43</v>
      </c>
      <c r="B73" s="29">
        <v>0.37370233629784722</v>
      </c>
      <c r="C73" s="30">
        <v>0.72484651803252975</v>
      </c>
      <c r="J73" s="24"/>
      <c r="K73" s="24"/>
    </row>
    <row r="74" spans="1:11" ht="15" customHeight="1" x14ac:dyDescent="0.3">
      <c r="A74" s="28">
        <v>0.44</v>
      </c>
      <c r="B74" s="29">
        <v>0.36950210318622317</v>
      </c>
      <c r="C74" s="30">
        <v>0.72762591730038206</v>
      </c>
      <c r="J74" s="24"/>
      <c r="K74" s="24"/>
    </row>
    <row r="75" spans="1:11" ht="15" customHeight="1" x14ac:dyDescent="0.3">
      <c r="A75" s="28">
        <v>0.45</v>
      </c>
      <c r="B75" s="29">
        <v>0.36543836054868317</v>
      </c>
      <c r="C75" s="30">
        <v>0.73026784998995797</v>
      </c>
      <c r="J75" s="24"/>
      <c r="K75" s="24"/>
    </row>
    <row r="76" spans="1:11" ht="15" customHeight="1" x14ac:dyDescent="0.3">
      <c r="A76" s="28">
        <v>0.46</v>
      </c>
      <c r="B76" s="29">
        <v>0.36150456589037933</v>
      </c>
      <c r="C76" s="30">
        <v>0.73278054978041451</v>
      </c>
      <c r="J76" s="24"/>
      <c r="K76" s="24"/>
    </row>
    <row r="77" spans="1:11" ht="15" customHeight="1" x14ac:dyDescent="0.3">
      <c r="A77" s="28">
        <v>0.47</v>
      </c>
      <c r="B77" s="29">
        <v>0.35769457989634645</v>
      </c>
      <c r="C77" s="30">
        <v>0.73517166596827765</v>
      </c>
      <c r="J77" s="24"/>
      <c r="K77" s="24"/>
    </row>
    <row r="78" spans="1:11" ht="15" customHeight="1" x14ac:dyDescent="0.3">
      <c r="A78" s="28">
        <v>0.48</v>
      </c>
      <c r="B78" s="29">
        <v>0.35400263631762141</v>
      </c>
      <c r="C78" s="30">
        <v>0.73744831104416164</v>
      </c>
      <c r="J78" s="24"/>
      <c r="K78" s="24"/>
    </row>
    <row r="79" spans="1:11" ht="15" customHeight="1" x14ac:dyDescent="0.3">
      <c r="A79" s="28">
        <v>0.49</v>
      </c>
      <c r="B79" s="29">
        <v>0.35042331449334041</v>
      </c>
      <c r="C79" s="30">
        <v>0.73961710389878788</v>
      </c>
      <c r="J79" s="24"/>
      <c r="K79" s="24"/>
    </row>
    <row r="80" spans="1:11" ht="15" customHeight="1" x14ac:dyDescent="0.3">
      <c r="A80" s="28">
        <v>0.5</v>
      </c>
      <c r="B80" s="29">
        <v>0.34695151424461262</v>
      </c>
      <c r="C80" s="30">
        <v>0.7416842091072724</v>
      </c>
      <c r="J80" s="24"/>
      <c r="K80" s="24"/>
    </row>
    <row r="81" spans="1:11" ht="15" customHeight="1" x14ac:dyDescent="0.3">
      <c r="A81" s="28">
        <v>0.51</v>
      </c>
      <c r="B81" s="29">
        <v>0.34358243290575535</v>
      </c>
      <c r="C81" s="30">
        <v>0.74365537268946535</v>
      </c>
      <c r="J81" s="24"/>
      <c r="K81" s="24"/>
    </row>
    <row r="82" spans="1:11" ht="15" customHeight="1" x14ac:dyDescent="0.3">
      <c r="A82" s="28">
        <v>0.52</v>
      </c>
      <c r="B82" s="29">
        <v>0.34031154428453309</v>
      </c>
      <c r="C82" s="30">
        <v>0.74553595469935863</v>
      </c>
      <c r="J82" s="24"/>
      <c r="K82" s="24"/>
    </row>
    <row r="83" spans="1:11" ht="15" customHeight="1" x14ac:dyDescent="0.3">
      <c r="A83" s="28">
        <v>0.53</v>
      </c>
      <c r="B83" s="29">
        <v>0.33713457936589597</v>
      </c>
      <c r="C83" s="30">
        <v>0.74733095895737112</v>
      </c>
      <c r="J83" s="24"/>
      <c r="K83" s="24"/>
    </row>
    <row r="84" spans="1:11" ht="15" customHeight="1" x14ac:dyDescent="0.3">
      <c r="A84" s="28">
        <v>0.54</v>
      </c>
      <c r="B84" s="29">
        <v>0.3340475085937758</v>
      </c>
      <c r="C84" s="30">
        <v>0.74904506020489758</v>
      </c>
      <c r="J84" s="24"/>
      <c r="K84" s="24"/>
    </row>
    <row r="85" spans="1:11" ht="15" customHeight="1" x14ac:dyDescent="0.3">
      <c r="A85" s="28">
        <v>0.55000000000000004</v>
      </c>
      <c r="B85" s="29">
        <v>0.33104652558316783</v>
      </c>
      <c r="C85" s="30">
        <v>0.75068262893023951</v>
      </c>
      <c r="J85" s="24"/>
      <c r="K85" s="24"/>
    </row>
    <row r="86" spans="1:11" ht="15" customHeight="1" x14ac:dyDescent="0.3">
      <c r="A86" s="28">
        <v>0.56000000000000005</v>
      </c>
      <c r="B86" s="29">
        <v>0.32812803213029046</v>
      </c>
      <c r="C86" s="30">
        <v>0.75224775408838829</v>
      </c>
      <c r="J86" s="24"/>
      <c r="K86" s="24"/>
    </row>
    <row r="87" spans="1:11" ht="15" customHeight="1" x14ac:dyDescent="0.3">
      <c r="A87" s="28">
        <v>0.56999999999999995</v>
      </c>
      <c r="B87" s="29">
        <v>0.32528862440236567</v>
      </c>
      <c r="C87" s="30">
        <v>0.75374426391359517</v>
      </c>
      <c r="J87" s="24"/>
      <c r="K87" s="24"/>
    </row>
    <row r="88" spans="1:11" ht="15" customHeight="1" x14ac:dyDescent="0.3">
      <c r="A88" s="28">
        <v>0.57999999999999996</v>
      </c>
      <c r="B88" s="29">
        <v>0.32252508020073262</v>
      </c>
      <c r="C88" s="30">
        <v>0.75517574500289719</v>
      </c>
      <c r="J88" s="24"/>
      <c r="K88" s="24"/>
    </row>
    <row r="89" spans="1:11" ht="15" customHeight="1" x14ac:dyDescent="0.3">
      <c r="A89" s="28">
        <v>0.59</v>
      </c>
      <c r="B89" s="29">
        <v>0.31983434720177595</v>
      </c>
      <c r="C89" s="30">
        <v>0.75654555983034633</v>
      </c>
      <c r="J89" s="24"/>
      <c r="K89" s="24"/>
    </row>
    <row r="90" spans="1:11" ht="15" customHeight="1" x14ac:dyDescent="0.3">
      <c r="A90" s="28">
        <v>0.6</v>
      </c>
      <c r="B90" s="29">
        <v>0.31721353208972275</v>
      </c>
      <c r="C90" s="30">
        <v>0.75785686283539866</v>
      </c>
      <c r="J90" s="24"/>
      <c r="K90" s="24"/>
    </row>
    <row r="91" spans="1:11" ht="15" customHeight="1" x14ac:dyDescent="0.3">
      <c r="A91" s="28">
        <v>0.61</v>
      </c>
      <c r="B91" s="29">
        <v>0.31465989050385901</v>
      </c>
      <c r="C91" s="30">
        <v>0.75911261521442286</v>
      </c>
      <c r="J91" s="24"/>
      <c r="K91" s="24"/>
    </row>
    <row r="92" spans="1:11" ht="15" customHeight="1" x14ac:dyDescent="0.3">
      <c r="A92" s="28">
        <v>0.62</v>
      </c>
      <c r="B92" s="29">
        <v>0.31217081773028965</v>
      </c>
      <c r="C92" s="30">
        <v>0.76031559853142527</v>
      </c>
      <c r="J92" s="24"/>
      <c r="K92" s="24"/>
    </row>
    <row r="93" spans="1:11" ht="15" customHeight="1" x14ac:dyDescent="0.3">
      <c r="A93" s="28">
        <v>0.63</v>
      </c>
      <c r="B93" s="29">
        <v>0.30974384007510952</v>
      </c>
      <c r="C93" s="30">
        <v>0.76146842725260622</v>
      </c>
      <c r="J93" s="24"/>
      <c r="K93" s="24"/>
    </row>
    <row r="94" spans="1:11" ht="15" customHeight="1" x14ac:dyDescent="0.3">
      <c r="A94" s="28">
        <v>0.64</v>
      </c>
      <c r="B94" s="29">
        <v>0.30737660686187879</v>
      </c>
      <c r="C94" s="30">
        <v>0.76257356029915857</v>
      </c>
      <c r="J94" s="24"/>
      <c r="K94" s="24"/>
    </row>
    <row r="95" spans="1:11" ht="15" customHeight="1" x14ac:dyDescent="0.3">
      <c r="A95" s="28">
        <v>0.65</v>
      </c>
      <c r="B95" s="29">
        <v>0.30506688300168544</v>
      </c>
      <c r="C95" s="30">
        <v>0.76363331170357773</v>
      </c>
      <c r="J95" s="24"/>
      <c r="K95" s="24"/>
    </row>
    <row r="96" spans="1:11" ht="15" customHeight="1" x14ac:dyDescent="0.3">
      <c r="A96" s="28">
        <v>0.66</v>
      </c>
      <c r="B96" s="29">
        <v>0.3028125420888938</v>
      </c>
      <c r="C96" s="30">
        <v>0.76464986044659855</v>
      </c>
      <c r="J96" s="24"/>
      <c r="K96" s="24"/>
    </row>
    <row r="97" spans="1:11" ht="15" customHeight="1" x14ac:dyDescent="0.3">
      <c r="A97" s="28">
        <v>0.67</v>
      </c>
      <c r="B97" s="29">
        <v>0.30061155998000555</v>
      </c>
      <c r="C97" s="30">
        <v>0.76562525954456917</v>
      </c>
      <c r="J97" s="24"/>
      <c r="K97" s="24"/>
    </row>
    <row r="98" spans="1:11" ht="15" customHeight="1" x14ac:dyDescent="0.3">
      <c r="A98" s="28">
        <v>0.68</v>
      </c>
      <c r="B98" s="29">
        <v>0.29846200881694074</v>
      </c>
      <c r="C98" s="30">
        <v>0.76656144445053254</v>
      </c>
      <c r="J98" s="24"/>
      <c r="K98" s="24"/>
    </row>
    <row r="99" spans="1:11" ht="15" customHeight="1" x14ac:dyDescent="0.3">
      <c r="A99" s="28">
        <v>0.69</v>
      </c>
      <c r="B99" s="29">
        <v>0.29636205145952904</v>
      </c>
      <c r="C99" s="30">
        <v>0.76746024082639364</v>
      </c>
      <c r="J99" s="24"/>
      <c r="K99" s="24"/>
    </row>
    <row r="100" spans="1:11" ht="15" customHeight="1" x14ac:dyDescent="0.3">
      <c r="A100" s="28">
        <v>0.7</v>
      </c>
      <c r="B100" s="29">
        <v>0.29430993629514718</v>
      </c>
      <c r="C100" s="30">
        <v>0.76832337173830079</v>
      </c>
      <c r="J100" s="24"/>
      <c r="K100" s="24"/>
    </row>
    <row r="101" spans="1:11" ht="15" customHeight="1" x14ac:dyDescent="0.3">
      <c r="A101" s="28">
        <v>0.71</v>
      </c>
      <c r="B101" s="29">
        <v>0.29230399239626115</v>
      </c>
      <c r="C101" s="30">
        <v>0.76915246432259821</v>
      </c>
      <c r="J101" s="24"/>
      <c r="K101" s="24"/>
    </row>
    <row r="102" spans="1:11" ht="15" customHeight="1" x14ac:dyDescent="0.3">
      <c r="A102" s="28">
        <v>0.72</v>
      </c>
      <c r="B102" s="29">
        <v>0.29034262499918539</v>
      </c>
      <c r="C102" s="30">
        <v>0.76994905596544971</v>
      </c>
      <c r="J102" s="24"/>
      <c r="K102" s="24"/>
    </row>
    <row r="103" spans="1:11" ht="15" customHeight="1" x14ac:dyDescent="0.3">
      <c r="A103" s="28">
        <v>0.73</v>
      </c>
      <c r="B103" s="29">
        <v>0.28842431127967433</v>
      </c>
      <c r="C103" s="30">
        <v>0.77071460003537207</v>
      </c>
      <c r="J103" s="24"/>
      <c r="K103" s="24"/>
    </row>
    <row r="104" spans="1:11" ht="15" customHeight="1" x14ac:dyDescent="0.3">
      <c r="A104" s="28">
        <v>0.74</v>
      </c>
      <c r="B104" s="29">
        <v>0.28654759640304611</v>
      </c>
      <c r="C104" s="30">
        <v>0.77145047120445109</v>
      </c>
      <c r="J104" s="24"/>
      <c r="K104" s="24"/>
    </row>
    <row r="105" spans="1:11" ht="15" customHeight="1" x14ac:dyDescent="0.3">
      <c r="A105" s="28">
        <v>0.75</v>
      </c>
      <c r="B105" s="29">
        <v>0.28471108982842003</v>
      </c>
      <c r="C105" s="30">
        <v>0.77215797039086076</v>
      </c>
      <c r="J105" s="24"/>
      <c r="K105" s="24"/>
    </row>
    <row r="106" spans="1:11" ht="15" customHeight="1" x14ac:dyDescent="0.3">
      <c r="A106" s="28">
        <v>0.76</v>
      </c>
      <c r="B106" s="29">
        <v>0.28291346184836469</v>
      </c>
      <c r="C106" s="30">
        <v>0.77283832935248276</v>
      </c>
      <c r="J106" s="24"/>
      <c r="K106" s="24"/>
    </row>
    <row r="107" spans="1:11" ht="15" customHeight="1" x14ac:dyDescent="0.3">
      <c r="A107" s="28">
        <v>0.77</v>
      </c>
      <c r="B107" s="29">
        <v>0.28115344034679329</v>
      </c>
      <c r="C107" s="30">
        <v>0.7734927149588372</v>
      </c>
      <c r="J107" s="24"/>
      <c r="K107" s="24"/>
    </row>
    <row r="108" spans="1:11" ht="15" customHeight="1" x14ac:dyDescent="0.3">
      <c r="A108" s="28">
        <v>0.78</v>
      </c>
      <c r="B108" s="29">
        <v>0.27942980775936105</v>
      </c>
      <c r="C108" s="30">
        <v>0.77412223316622819</v>
      </c>
      <c r="J108" s="24"/>
      <c r="K108" s="24"/>
    </row>
    <row r="109" spans="1:11" ht="15" customHeight="1" x14ac:dyDescent="0.3">
      <c r="A109" s="28">
        <v>0.79</v>
      </c>
      <c r="B109" s="29">
        <v>0.27774139822188915</v>
      </c>
      <c r="C109" s="30">
        <v>0.77472793271887741</v>
      </c>
      <c r="J109" s="24"/>
      <c r="K109" s="24"/>
    </row>
    <row r="110" spans="1:11" ht="15" customHeight="1" x14ac:dyDescent="0.3">
      <c r="A110" s="28">
        <v>0.8</v>
      </c>
      <c r="B110" s="29">
        <v>0.27608709489350897</v>
      </c>
      <c r="C110" s="30">
        <v>0.77531080859692181</v>
      </c>
      <c r="J110" s="24"/>
      <c r="K110" s="24"/>
    </row>
    <row r="111" spans="1:11" ht="15" customHeight="1" x14ac:dyDescent="0.3">
      <c r="A111" s="28">
        <v>0.81</v>
      </c>
      <c r="B111" s="29">
        <v>0.27446582744227782</v>
      </c>
      <c r="C111" s="30">
        <v>0.77587180523039656</v>
      </c>
      <c r="J111" s="24"/>
      <c r="K111" s="24"/>
    </row>
    <row r="112" spans="1:11" ht="15" customHeight="1" x14ac:dyDescent="0.3">
      <c r="A112" s="28">
        <v>0.82</v>
      </c>
      <c r="B112" s="29">
        <v>0.2728765696819842</v>
      </c>
      <c r="C112" s="30">
        <v>0.77641181949675209</v>
      </c>
      <c r="J112" s="24"/>
      <c r="K112" s="24"/>
    </row>
    <row r="113" spans="1:11" ht="15" customHeight="1" x14ac:dyDescent="0.3">
      <c r="A113" s="28">
        <v>0.83</v>
      </c>
      <c r="B113" s="29">
        <v>0.27131833734974026</v>
      </c>
      <c r="C113" s="30">
        <v>0.77693170351801288</v>
      </c>
      <c r="J113" s="24"/>
      <c r="K113" s="24"/>
    </row>
    <row r="114" spans="1:11" ht="15" customHeight="1" x14ac:dyDescent="0.3">
      <c r="A114" s="28">
        <v>0.84</v>
      </c>
      <c r="B114" s="29">
        <v>0.26979018601476712</v>
      </c>
      <c r="C114" s="30">
        <v>0.7774322672723738</v>
      </c>
      <c r="J114" s="24"/>
      <c r="K114" s="24"/>
    </row>
    <row r="115" spans="1:11" ht="15" customHeight="1" x14ac:dyDescent="0.3">
      <c r="A115" s="28">
        <v>0.85</v>
      </c>
      <c r="B115" s="29">
        <v>0.26829120910951293</v>
      </c>
      <c r="C115" s="30">
        <v>0.77791428103382987</v>
      </c>
      <c r="J115" s="24"/>
      <c r="K115" s="24"/>
    </row>
    <row r="116" spans="1:11" ht="15" customHeight="1" x14ac:dyDescent="0.3">
      <c r="A116" s="28">
        <v>0.86</v>
      </c>
      <c r="B116" s="29">
        <v>0.26682053607491374</v>
      </c>
      <c r="C116" s="30">
        <v>0.77837847765236123</v>
      </c>
      <c r="J116" s="24"/>
      <c r="K116" s="24"/>
    </row>
    <row r="117" spans="1:11" ht="15" customHeight="1" x14ac:dyDescent="0.3">
      <c r="A117" s="28">
        <v>0.87</v>
      </c>
      <c r="B117" s="29">
        <v>0.26537733061222968</v>
      </c>
      <c r="C117" s="30">
        <v>0.77882555468617642</v>
      </c>
      <c r="J117" s="24"/>
      <c r="K117" s="24"/>
    </row>
    <row r="118" spans="1:11" ht="15" customHeight="1" x14ac:dyDescent="0.3">
      <c r="A118" s="28">
        <v>0.88</v>
      </c>
      <c r="B118" s="29">
        <v>0.26396078903444975</v>
      </c>
      <c r="C118" s="30">
        <v>0.77925617639663602</v>
      </c>
      <c r="J118" s="24"/>
      <c r="K118" s="24"/>
    </row>
    <row r="119" spans="1:11" ht="15" customHeight="1" x14ac:dyDescent="0.3">
      <c r="A119" s="28">
        <v>0.89</v>
      </c>
      <c r="B119" s="29">
        <v>0.2625701387107745</v>
      </c>
      <c r="C119" s="30">
        <v>0.77967097561561727</v>
      </c>
      <c r="J119" s="24"/>
      <c r="K119" s="24"/>
    </row>
    <row r="120" spans="1:11" ht="15" customHeight="1" x14ac:dyDescent="0.3">
      <c r="A120" s="28">
        <v>0.9</v>
      </c>
      <c r="B120" s="29">
        <v>0.26120463659816789</v>
      </c>
      <c r="C120" s="30">
        <v>0.78007055549435156</v>
      </c>
      <c r="J120" s="24"/>
      <c r="K120" s="24"/>
    </row>
    <row r="121" spans="1:11" ht="15" customHeight="1" x14ac:dyDescent="0.3">
      <c r="A121" s="28">
        <v>0.91</v>
      </c>
      <c r="B121" s="29">
        <v>0.25986356785439996</v>
      </c>
      <c r="C121" s="30">
        <v>0.78045549114204249</v>
      </c>
      <c r="J121" s="24"/>
      <c r="K121" s="24"/>
    </row>
    <row r="122" spans="1:11" ht="15" customHeight="1" x14ac:dyDescent="0.3">
      <c r="A122" s="28">
        <v>0.92</v>
      </c>
      <c r="B122" s="29">
        <v>0.25854624452740771</v>
      </c>
      <c r="C122" s="30">
        <v>0.7808263311619531</v>
      </c>
      <c r="J122" s="24"/>
      <c r="K122" s="24"/>
    </row>
    <row r="123" spans="1:11" ht="15" customHeight="1" x14ac:dyDescent="0.3">
      <c r="A123" s="28">
        <v>0.93</v>
      </c>
      <c r="B123" s="29">
        <v>0.25725200431616851</v>
      </c>
      <c r="C123" s="30">
        <v>0.78118359909206103</v>
      </c>
      <c r="J123" s="24"/>
      <c r="K123" s="24"/>
    </row>
    <row r="124" spans="1:11" ht="15" customHeight="1" x14ac:dyDescent="0.3">
      <c r="A124" s="28">
        <v>0.94</v>
      </c>
      <c r="B124" s="29">
        <v>0.25598020939862121</v>
      </c>
      <c r="C124" s="30">
        <v>0.78152779475683642</v>
      </c>
      <c r="J124" s="24"/>
      <c r="K124" s="24"/>
    </row>
    <row r="125" spans="1:11" ht="15" customHeight="1" x14ac:dyDescent="0.3">
      <c r="A125" s="28">
        <v>0.95</v>
      </c>
      <c r="B125" s="29">
        <v>0.25473024532248623</v>
      </c>
      <c r="C125" s="30">
        <v>0.78185939553621842</v>
      </c>
      <c r="J125" s="24"/>
      <c r="K125" s="24"/>
    </row>
    <row r="126" spans="1:11" ht="15" customHeight="1" x14ac:dyDescent="0.3">
      <c r="A126" s="28">
        <v>0.96</v>
      </c>
      <c r="B126" s="29">
        <v>0.25350151995511894</v>
      </c>
      <c r="C126" s="30">
        <v>0.7821788575574028</v>
      </c>
      <c r="J126" s="24"/>
      <c r="K126" s="24"/>
    </row>
    <row r="127" spans="1:11" ht="15" customHeight="1" x14ac:dyDescent="0.3">
      <c r="A127" s="28">
        <v>0.97</v>
      </c>
      <c r="B127" s="29">
        <v>0.2522934624888033</v>
      </c>
      <c r="C127" s="30">
        <v>0.78248661681464127</v>
      </c>
      <c r="J127" s="24"/>
      <c r="K127" s="24"/>
    </row>
    <row r="128" spans="1:11" ht="15" customHeight="1" x14ac:dyDescent="0.3">
      <c r="A128" s="28">
        <v>0.98</v>
      </c>
      <c r="B128" s="29">
        <v>0.25110552249813722</v>
      </c>
      <c r="C128" s="30">
        <v>0.78278309022187265</v>
      </c>
      <c r="J128" s="24"/>
      <c r="K128" s="24"/>
    </row>
    <row r="129" spans="1:11" ht="15" customHeight="1" x14ac:dyDescent="0.3">
      <c r="A129" s="28">
        <v>0.99</v>
      </c>
      <c r="B129" s="29">
        <v>0.24993716904638399</v>
      </c>
      <c r="C129" s="30">
        <v>0.78306867660264945</v>
      </c>
      <c r="J129" s="24"/>
      <c r="K129" s="24"/>
    </row>
    <row r="130" spans="1:11" ht="15" customHeight="1" x14ac:dyDescent="0.3">
      <c r="A130" s="28">
        <v>1</v>
      </c>
      <c r="B130" s="29">
        <v>0.24878788983788414</v>
      </c>
      <c r="C130" s="30">
        <v>0.78334375762150366</v>
      </c>
      <c r="J130" s="24"/>
      <c r="K130" s="24"/>
    </row>
    <row r="131" spans="1:11" ht="15" customHeight="1" x14ac:dyDescent="0.3">
      <c r="A131" s="28">
        <v>1.01</v>
      </c>
      <c r="B131" s="29">
        <v>0.24765719041380529</v>
      </c>
      <c r="C131" s="30">
        <v>0.78360869866059335</v>
      </c>
      <c r="J131" s="24"/>
      <c r="K131" s="24"/>
    </row>
    <row r="132" spans="1:11" ht="15" customHeight="1" x14ac:dyDescent="0.3">
      <c r="A132" s="28">
        <v>1.02</v>
      </c>
      <c r="B132" s="29">
        <v>0.24654459338869789</v>
      </c>
      <c r="C132" s="30">
        <v>0.78386384964519984</v>
      </c>
      <c r="J132" s="24"/>
      <c r="K132" s="24"/>
    </row>
    <row r="133" spans="1:11" ht="15" customHeight="1" x14ac:dyDescent="0.3">
      <c r="A133" s="28">
        <v>1.03</v>
      </c>
      <c r="B133" s="29">
        <v>0.24544963772548459</v>
      </c>
      <c r="C133" s="30">
        <v>0.78410954582138837</v>
      </c>
      <c r="J133" s="24"/>
      <c r="K133" s="24"/>
    </row>
    <row r="134" spans="1:11" ht="15" customHeight="1" x14ac:dyDescent="0.3">
      <c r="A134" s="28">
        <v>1.04</v>
      </c>
      <c r="B134" s="29">
        <v>0.24437187804666854</v>
      </c>
      <c r="C134" s="30">
        <v>0.7843461084889104</v>
      </c>
      <c r="J134" s="24"/>
      <c r="K134" s="24"/>
    </row>
    <row r="135" spans="1:11" ht="15" customHeight="1" x14ac:dyDescent="0.3">
      <c r="A135" s="28">
        <v>1.05</v>
      </c>
      <c r="B135" s="29">
        <v>0.243310883979691</v>
      </c>
      <c r="C135" s="30">
        <v>0.78457384569221311</v>
      </c>
      <c r="J135" s="24"/>
      <c r="K135" s="24"/>
    </row>
    <row r="136" spans="1:11" ht="15" customHeight="1" x14ac:dyDescent="0.3">
      <c r="A136" s="28">
        <v>1.06</v>
      </c>
      <c r="B136" s="29">
        <v>0.24226623953449766</v>
      </c>
      <c r="C136" s="30">
        <v>0.78479305287221657</v>
      </c>
      <c r="J136" s="24"/>
      <c r="K136" s="24"/>
    </row>
    <row r="137" spans="1:11" ht="15" customHeight="1" x14ac:dyDescent="0.3">
      <c r="A137" s="28">
        <v>1.07</v>
      </c>
      <c r="B137" s="29">
        <v>0.24123754251150048</v>
      </c>
      <c r="C137" s="30">
        <v>0.78500401348133952</v>
      </c>
      <c r="J137" s="24"/>
      <c r="K137" s="24"/>
    </row>
    <row r="138" spans="1:11" ht="15" customHeight="1" x14ac:dyDescent="0.3">
      <c r="A138" s="28">
        <v>1.08</v>
      </c>
      <c r="B138" s="29">
        <v>0.24022440393823571</v>
      </c>
      <c r="C138" s="30">
        <v>0.78520699956407713</v>
      </c>
      <c r="J138" s="24"/>
      <c r="K138" s="24"/>
    </row>
    <row r="139" spans="1:11" ht="15" customHeight="1" x14ac:dyDescent="0.3">
      <c r="A139" s="28">
        <v>1.0900000000000001</v>
      </c>
      <c r="B139" s="29">
        <v>0.23922644753312411</v>
      </c>
      <c r="C139" s="30">
        <v>0.78540227230528181</v>
      </c>
      <c r="J139" s="24"/>
      <c r="K139" s="24"/>
    </row>
    <row r="140" spans="1:11" ht="15" customHeight="1" x14ac:dyDescent="0.3">
      <c r="A140" s="28">
        <v>1.1000000000000001</v>
      </c>
      <c r="B140" s="29">
        <v>0.2382433091948403</v>
      </c>
      <c r="C140" s="30">
        <v>0.78559008254815044</v>
      </c>
      <c r="J140" s="24"/>
      <c r="K140" s="24"/>
    </row>
    <row r="141" spans="1:11" ht="15" customHeight="1" x14ac:dyDescent="0.3">
      <c r="A141" s="28">
        <v>1.1100000000000001</v>
      </c>
      <c r="B141" s="29">
        <v>0.23727463651589242</v>
      </c>
      <c r="C141" s="30">
        <v>0.78577067128378231</v>
      </c>
      <c r="J141" s="24"/>
      <c r="K141" s="24"/>
    </row>
    <row r="142" spans="1:11" ht="15" customHeight="1" x14ac:dyDescent="0.3">
      <c r="A142" s="28">
        <v>1.1200000000000001</v>
      </c>
      <c r="B142" s="29">
        <v>0.23632008831909385</v>
      </c>
      <c r="C142" s="30">
        <v>0.78594427011404733</v>
      </c>
      <c r="J142" s="24"/>
      <c r="K142" s="24"/>
    </row>
    <row r="143" spans="1:11" ht="15" customHeight="1" x14ac:dyDescent="0.3">
      <c r="A143" s="28">
        <v>1.1299999999999999</v>
      </c>
      <c r="B143" s="29">
        <v>0.23537933421569526</v>
      </c>
      <c r="C143" s="30">
        <v>0.78611110168939635</v>
      </c>
      <c r="J143" s="24"/>
      <c r="K143" s="24"/>
    </row>
    <row r="144" spans="1:11" ht="15" customHeight="1" x14ac:dyDescent="0.3">
      <c r="A144" s="28">
        <v>1.1399999999999999</v>
      </c>
      <c r="B144" s="29">
        <v>0.23445205418401688</v>
      </c>
      <c r="C144" s="30">
        <v>0.78627138012311693</v>
      </c>
      <c r="J144" s="24"/>
      <c r="K144" s="24"/>
    </row>
    <row r="145" spans="1:11" ht="15" customHeight="1" x14ac:dyDescent="0.3">
      <c r="A145" s="28">
        <v>1.1499999999999999</v>
      </c>
      <c r="B145" s="29">
        <v>0.23353793816749024</v>
      </c>
      <c r="C145" s="30">
        <v>0.78642531138346472</v>
      </c>
      <c r="J145" s="24"/>
      <c r="K145" s="24"/>
    </row>
    <row r="146" spans="1:11" ht="15" customHeight="1" x14ac:dyDescent="0.3">
      <c r="A146" s="28">
        <v>1.1599999999999999</v>
      </c>
      <c r="B146" s="29">
        <v>0.23263668569108592</v>
      </c>
      <c r="C146" s="30">
        <v>0.78657309366497985</v>
      </c>
      <c r="J146" s="24"/>
      <c r="K146" s="24"/>
    </row>
    <row r="147" spans="1:11" ht="15" customHeight="1" x14ac:dyDescent="0.3">
      <c r="A147" s="28">
        <v>1.17</v>
      </c>
      <c r="B147" s="29">
        <v>0.23174800549516245</v>
      </c>
      <c r="C147" s="30">
        <v>0.78671491774023528</v>
      </c>
      <c r="J147" s="24"/>
      <c r="K147" s="24"/>
    </row>
    <row r="148" spans="1:11" ht="15" customHeight="1" x14ac:dyDescent="0.3">
      <c r="A148" s="28">
        <v>1.18</v>
      </c>
      <c r="B148" s="29">
        <v>0.23087161518582994</v>
      </c>
      <c r="C148" s="30">
        <v>0.78685096729316295</v>
      </c>
      <c r="J148" s="24"/>
      <c r="K148" s="24"/>
    </row>
    <row r="149" spans="1:11" ht="15" customHeight="1" x14ac:dyDescent="0.3">
      <c r="A149" s="28">
        <v>1.19</v>
      </c>
      <c r="B149" s="29">
        <v>0.23000724090097513</v>
      </c>
      <c r="C149" s="30">
        <v>0.7869814192350475</v>
      </c>
      <c r="J149" s="24"/>
      <c r="K149" s="24"/>
    </row>
    <row r="150" spans="1:11" ht="15" customHeight="1" x14ac:dyDescent="0.3">
      <c r="A150" s="28">
        <v>1.2</v>
      </c>
      <c r="B150" s="29">
        <v>0.22915461699114162</v>
      </c>
      <c r="C150" s="30">
        <v>0.78710644400419216</v>
      </c>
      <c r="J150" s="24"/>
      <c r="K150" s="24"/>
    </row>
    <row r="151" spans="1:11" ht="15" customHeight="1" x14ac:dyDescent="0.3">
      <c r="A151" s="28">
        <v>1.21</v>
      </c>
      <c r="B151" s="29">
        <v>0.22831348571450999</v>
      </c>
      <c r="C151" s="30">
        <v>0.78722620585020631</v>
      </c>
      <c r="J151" s="24"/>
      <c r="K151" s="24"/>
    </row>
    <row r="152" spans="1:11" ht="15" customHeight="1" x14ac:dyDescent="0.3">
      <c r="A152" s="28">
        <v>1.22</v>
      </c>
      <c r="B152" s="29">
        <v>0.22748359694526149</v>
      </c>
      <c r="C152" s="30">
        <v>0.78734086310380158</v>
      </c>
      <c r="J152" s="24"/>
      <c r="K152" s="24"/>
    </row>
    <row r="153" spans="1:11" ht="15" customHeight="1" x14ac:dyDescent="0.3">
      <c r="A153" s="28">
        <v>1.23</v>
      </c>
      <c r="B153" s="29">
        <v>0.2266647078946521</v>
      </c>
      <c r="C153" s="30">
        <v>0.7874505684329236</v>
      </c>
      <c r="J153" s="24"/>
      <c r="K153" s="24"/>
    </row>
    <row r="154" spans="1:11" ht="15" customHeight="1" x14ac:dyDescent="0.3">
      <c r="A154" s="28">
        <v>1.24</v>
      </c>
      <c r="B154" s="29">
        <v>0.22585658284416293</v>
      </c>
      <c r="C154" s="30">
        <v>0.78755546908600349</v>
      </c>
      <c r="J154" s="24"/>
      <c r="K154" s="24"/>
    </row>
    <row r="155" spans="1:11" ht="15" customHeight="1" x14ac:dyDescent="0.3">
      <c r="A155" s="28">
        <v>1.25</v>
      </c>
      <c r="B155" s="29">
        <v>0.22505899289012465</v>
      </c>
      <c r="C155" s="30">
        <v>0.78765570712304978</v>
      </c>
      <c r="J155" s="24"/>
      <c r="K155" s="24"/>
    </row>
    <row r="156" spans="1:11" ht="15" customHeight="1" x14ac:dyDescent="0.3">
      <c r="A156" s="28">
        <v>1.26</v>
      </c>
      <c r="B156" s="29">
        <v>0.22427171569925192</v>
      </c>
      <c r="C156" s="30">
        <v>0.78775141963527506</v>
      </c>
      <c r="J156" s="24"/>
      <c r="K156" s="24"/>
    </row>
    <row r="157" spans="1:11" ht="15" customHeight="1" x14ac:dyDescent="0.3">
      <c r="A157" s="28">
        <v>1.27</v>
      </c>
      <c r="B157" s="29">
        <v>0.22349453527455171</v>
      </c>
      <c r="C157" s="30">
        <v>0.7878427389538889</v>
      </c>
      <c r="J157" s="24"/>
      <c r="K157" s="24"/>
    </row>
    <row r="158" spans="1:11" ht="15" customHeight="1" x14ac:dyDescent="0.3">
      <c r="A158" s="28">
        <v>1.28</v>
      </c>
      <c r="B158" s="29">
        <v>0.2227272417311007</v>
      </c>
      <c r="C158" s="30">
        <v>0.7879297928486676</v>
      </c>
      <c r="J158" s="24"/>
      <c r="K158" s="24"/>
    </row>
    <row r="159" spans="1:11" ht="15" customHeight="1" x14ac:dyDescent="0.3">
      <c r="A159" s="28">
        <v>1.29</v>
      </c>
      <c r="B159" s="29">
        <v>0.22196963108121426</v>
      </c>
      <c r="C159" s="30">
        <v>0.78801270471685891</v>
      </c>
      <c r="J159" s="24"/>
      <c r="K159" s="24"/>
    </row>
    <row r="160" spans="1:11" ht="15" customHeight="1" x14ac:dyDescent="0.3">
      <c r="A160" s="28">
        <v>1.3</v>
      </c>
      <c r="B160" s="29">
        <v>0.22122150502855434</v>
      </c>
      <c r="C160" s="30">
        <v>0.78809159376296167</v>
      </c>
      <c r="J160" s="24"/>
      <c r="K160" s="24"/>
    </row>
    <row r="161" spans="1:11" ht="15" customHeight="1" x14ac:dyDescent="0.3">
      <c r="A161" s="28">
        <v>1.31</v>
      </c>
      <c r="B161" s="29">
        <v>0.22048267077075084</v>
      </c>
      <c r="C161" s="30">
        <v>0.78816657516986643</v>
      </c>
      <c r="J161" s="24"/>
      <c r="K161" s="24"/>
    </row>
    <row r="162" spans="1:11" ht="15" customHeight="1" x14ac:dyDescent="0.3">
      <c r="A162" s="28">
        <v>1.32</v>
      </c>
      <c r="B162" s="29">
        <v>0.21975294081013066</v>
      </c>
      <c r="C162" s="30">
        <v>0.78823776026184045</v>
      </c>
      <c r="J162" s="24"/>
      <c r="K162" s="24"/>
    </row>
    <row r="163" spans="1:11" ht="15" customHeight="1" x14ac:dyDescent="0.3">
      <c r="A163" s="28">
        <v>1.33</v>
      </c>
      <c r="B163" s="29">
        <v>0.2190321327721724</v>
      </c>
      <c r="C163" s="30">
        <v>0.78830525665978612</v>
      </c>
      <c r="J163" s="24"/>
      <c r="K163" s="24"/>
    </row>
    <row r="164" spans="1:11" ht="15" customHeight="1" x14ac:dyDescent="0.3">
      <c r="A164" s="28">
        <v>1.34</v>
      </c>
      <c r="B164" s="29">
        <v>0.21832006923132488</v>
      </c>
      <c r="C164" s="30">
        <v>0.78836916842919158</v>
      </c>
      <c r="J164" s="24"/>
      <c r="K164" s="24"/>
    </row>
    <row r="165" spans="1:11" ht="15" customHeight="1" x14ac:dyDescent="0.3">
      <c r="A165" s="28">
        <v>1.35</v>
      </c>
      <c r="B165" s="29">
        <v>0.21761657754384495</v>
      </c>
      <c r="C165" s="30">
        <v>0.78842959622116482</v>
      </c>
      <c r="J165" s="24"/>
      <c r="K165" s="24"/>
    </row>
    <row r="166" spans="1:11" ht="15" customHeight="1" x14ac:dyDescent="0.3">
      <c r="A166" s="28">
        <v>1.36</v>
      </c>
      <c r="B166" s="29">
        <v>0.21692148968733141</v>
      </c>
      <c r="C166" s="30">
        <v>0.78848663740691616</v>
      </c>
      <c r="J166" s="24"/>
      <c r="K166" s="24"/>
    </row>
    <row r="167" spans="1:11" ht="15" customHeight="1" x14ac:dyDescent="0.3">
      <c r="A167" s="28">
        <v>1.37</v>
      </c>
      <c r="B167" s="29">
        <v>0.2162346421066447</v>
      </c>
      <c r="C167" s="30">
        <v>0.78854038620603628</v>
      </c>
      <c r="J167" s="24"/>
      <c r="K167" s="24"/>
    </row>
    <row r="168" spans="1:11" ht="15" customHeight="1" x14ac:dyDescent="0.3">
      <c r="A168" s="28">
        <v>1.38</v>
      </c>
      <c r="B168" s="29">
        <v>0.21555587556592173</v>
      </c>
      <c r="C168" s="30">
        <v>0.78859093380888945</v>
      </c>
      <c r="J168" s="24"/>
      <c r="K168" s="24"/>
    </row>
    <row r="169" spans="1:11" ht="15" customHeight="1" x14ac:dyDescent="0.3">
      <c r="A169" s="28">
        <v>1.39</v>
      </c>
      <c r="B169" s="29">
        <v>0.21488503500640771</v>
      </c>
      <c r="C169" s="30">
        <v>0.78863836849343905</v>
      </c>
      <c r="J169" s="24"/>
      <c r="K169" s="24"/>
    </row>
    <row r="170" spans="1:11" ht="15" customHeight="1" x14ac:dyDescent="0.3">
      <c r="A170" s="28">
        <v>1.4</v>
      </c>
      <c r="B170" s="29">
        <v>0.21422196940984226</v>
      </c>
      <c r="C170" s="30">
        <v>0.78868277573678158</v>
      </c>
      <c r="J170" s="24"/>
      <c r="K170" s="24"/>
    </row>
    <row r="171" spans="1:11" ht="15" customHeight="1" x14ac:dyDescent="0.3">
      <c r="A171" s="28">
        <v>1.41</v>
      </c>
      <c r="B171" s="29">
        <v>0.21356653166715087</v>
      </c>
      <c r="C171" s="30">
        <v>0.78872423832167271</v>
      </c>
      <c r="J171" s="24"/>
      <c r="K171" s="24"/>
    </row>
    <row r="172" spans="1:11" ht="15" customHeight="1" x14ac:dyDescent="0.3">
      <c r="A172" s="28">
        <v>1.42</v>
      </c>
      <c r="B172" s="29">
        <v>0.21291857845220305</v>
      </c>
      <c r="C172" s="30">
        <v>0.78876283643829193</v>
      </c>
      <c r="J172" s="24"/>
      <c r="K172" s="24"/>
    </row>
    <row r="173" spans="1:11" ht="15" customHeight="1" x14ac:dyDescent="0.3">
      <c r="A173" s="28">
        <v>1.43</v>
      </c>
      <c r="B173" s="29">
        <v>0.21227797010041399</v>
      </c>
      <c r="C173" s="30">
        <v>0.788798647781497</v>
      </c>
      <c r="J173" s="24"/>
      <c r="K173" s="24"/>
    </row>
    <row r="174" spans="1:11" ht="15" customHeight="1" x14ac:dyDescent="0.3">
      <c r="A174" s="28">
        <v>1.44</v>
      </c>
      <c r="B174" s="29">
        <v>0.21164457049197488</v>
      </c>
      <c r="C174" s="30">
        <v>0.78883174764378861</v>
      </c>
      <c r="J174" s="24"/>
      <c r="K174" s="24"/>
    </row>
    <row r="175" spans="1:11" ht="15" customHeight="1" x14ac:dyDescent="0.3">
      <c r="A175" s="28">
        <v>1.45</v>
      </c>
      <c r="B175" s="29">
        <v>0.21101824693950885</v>
      </c>
      <c r="C175" s="30">
        <v>0.78886220900420689</v>
      </c>
      <c r="J175" s="24"/>
      <c r="K175" s="24"/>
    </row>
    <row r="176" spans="1:11" ht="15" customHeight="1" x14ac:dyDescent="0.3">
      <c r="A176" s="28">
        <v>1.46</v>
      </c>
      <c r="B176" s="29">
        <v>0.21039887007995942</v>
      </c>
      <c r="C176" s="30">
        <v>0.78889010261335923</v>
      </c>
      <c r="J176" s="24"/>
      <c r="K176" s="24"/>
    </row>
    <row r="177" spans="1:11" ht="15" customHeight="1" x14ac:dyDescent="0.3">
      <c r="A177" s="28">
        <v>1.47</v>
      </c>
      <c r="B177" s="29">
        <v>0.20978631377052842</v>
      </c>
      <c r="C177" s="30">
        <v>0.78891549707477393</v>
      </c>
      <c r="J177" s="24"/>
      <c r="K177" s="24"/>
    </row>
    <row r="178" spans="1:11" ht="15" customHeight="1" x14ac:dyDescent="0.3">
      <c r="A178" s="28">
        <v>1.48</v>
      </c>
      <c r="B178" s="29">
        <v>0.20918045498848767</v>
      </c>
      <c r="C178" s="30">
        <v>0.78893845892276049</v>
      </c>
      <c r="J178" s="24"/>
      <c r="K178" s="24"/>
    </row>
    <row r="179" spans="1:11" ht="15" customHeight="1" x14ac:dyDescent="0.3">
      <c r="A179" s="28">
        <v>1.49</v>
      </c>
      <c r="B179" s="29">
        <v>0.20858117373469906</v>
      </c>
      <c r="C179" s="30">
        <v>0.78895905269694677</v>
      </c>
      <c r="J179" s="24"/>
      <c r="K179" s="24"/>
    </row>
    <row r="180" spans="1:11" ht="15" customHeight="1" x14ac:dyDescent="0.3">
      <c r="A180" s="28">
        <v>1.5</v>
      </c>
      <c r="B180" s="29">
        <v>0.20798835294068493</v>
      </c>
      <c r="C180" s="30">
        <v>0.78897734101365913</v>
      </c>
      <c r="J180" s="24"/>
      <c r="K180" s="24"/>
    </row>
    <row r="181" spans="1:11" ht="15" customHeight="1" x14ac:dyDescent="0.3">
      <c r="A181" s="28">
        <v>1.51</v>
      </c>
      <c r="B181" s="29">
        <v>0.20740187837909746</v>
      </c>
      <c r="C181" s="30">
        <v>0.78899338463429225</v>
      </c>
      <c r="J181" s="24"/>
      <c r="K181" s="24"/>
    </row>
    <row r="182" spans="1:11" ht="15" customHeight="1" x14ac:dyDescent="0.3">
      <c r="A182" s="28">
        <v>1.52</v>
      </c>
      <c r="B182" s="29">
        <v>0.20682163857744484</v>
      </c>
      <c r="C182" s="30">
        <v>0.78900724253082388</v>
      </c>
      <c r="J182" s="24"/>
      <c r="K182" s="24"/>
    </row>
    <row r="183" spans="1:11" ht="15" customHeight="1" x14ac:dyDescent="0.3">
      <c r="A183" s="28">
        <v>1.53</v>
      </c>
      <c r="B183" s="29">
        <v>0.20624752473493652</v>
      </c>
      <c r="C183" s="30">
        <v>0.78901897194859683</v>
      </c>
      <c r="J183" s="24"/>
      <c r="K183" s="24"/>
    </row>
    <row r="184" spans="1:11" ht="15" customHeight="1" x14ac:dyDescent="0.3">
      <c r="A184" s="28">
        <v>1.54</v>
      </c>
      <c r="B184" s="29">
        <v>0.20567943064231864</v>
      </c>
      <c r="C184" s="30">
        <v>0.78902862846651822</v>
      </c>
      <c r="J184" s="24"/>
      <c r="K184" s="24"/>
    </row>
    <row r="185" spans="1:11" ht="15" customHeight="1" x14ac:dyDescent="0.3">
      <c r="A185" s="28">
        <v>1.55</v>
      </c>
      <c r="B185" s="29">
        <v>0.20511725260457475</v>
      </c>
      <c r="C185" s="30">
        <v>0.78903626605477506</v>
      </c>
      <c r="J185" s="24"/>
      <c r="K185" s="24"/>
    </row>
    <row r="186" spans="1:11" ht="15" customHeight="1" x14ac:dyDescent="0.3">
      <c r="A186" s="28">
        <v>1.56</v>
      </c>
      <c r="B186" s="29">
        <v>0.20456088936637412</v>
      </c>
      <c r="C186" s="30">
        <v>0.78904193713020665</v>
      </c>
      <c r="J186" s="24"/>
      <c r="K186" s="24"/>
    </row>
    <row r="187" spans="1:11" ht="15" customHeight="1" x14ac:dyDescent="0.3">
      <c r="A187" s="28">
        <v>1.57</v>
      </c>
      <c r="B187" s="29">
        <v>0.20401024204015508</v>
      </c>
      <c r="C187" s="30">
        <v>0.78904569260942403</v>
      </c>
      <c r="J187" s="24"/>
      <c r="K187" s="24"/>
    </row>
    <row r="188" spans="1:11" ht="15" customHeight="1" x14ac:dyDescent="0.3">
      <c r="A188" s="28">
        <v>1.58</v>
      </c>
      <c r="B188" s="29">
        <v>0.20346521403673554</v>
      </c>
      <c r="C188" s="30">
        <v>0.7890475819597963</v>
      </c>
      <c r="J188" s="24"/>
      <c r="K188" s="24"/>
    </row>
    <row r="189" spans="1:11" ht="15" customHeight="1" x14ac:dyDescent="0.3">
      <c r="A189" s="28">
        <v>1.59</v>
      </c>
      <c r="B189" s="29">
        <v>0.20292571099834836</v>
      </c>
      <c r="C189" s="30">
        <v>0.78904765324838999</v>
      </c>
      <c r="J189" s="24"/>
      <c r="K189" s="24"/>
    </row>
    <row r="190" spans="1:11" ht="15" customHeight="1" x14ac:dyDescent="0.3">
      <c r="A190" s="28">
        <v>1.6</v>
      </c>
      <c r="B190" s="29">
        <v>0.20239164073400459</v>
      </c>
      <c r="C190" s="30">
        <v>0.78904595318896831</v>
      </c>
      <c r="J190" s="24"/>
      <c r="K190" s="24"/>
    </row>
    <row r="191" spans="1:11" ht="15" customHeight="1" x14ac:dyDescent="0.3">
      <c r="A191" s="28">
        <v>1.61</v>
      </c>
      <c r="B191" s="29">
        <v>0.20186291315708896</v>
      </c>
      <c r="C191" s="30">
        <v>0.78904252718712631</v>
      </c>
      <c r="J191" s="24"/>
      <c r="K191" s="24"/>
    </row>
    <row r="192" spans="1:11" ht="15" customHeight="1" x14ac:dyDescent="0.3">
      <c r="A192" s="28">
        <v>1.62</v>
      </c>
      <c r="B192" s="29">
        <v>0.20133944022510139</v>
      </c>
      <c r="C192" s="30">
        <v>0.78903741938365779</v>
      </c>
      <c r="J192" s="24"/>
      <c r="K192" s="24"/>
    </row>
    <row r="193" spans="1:11" ht="15" customHeight="1" x14ac:dyDescent="0.3">
      <c r="A193" s="28">
        <v>1.63</v>
      </c>
      <c r="B193" s="29">
        <v>0.20082113588145756</v>
      </c>
      <c r="C193" s="30">
        <v>0.78903067269622773</v>
      </c>
      <c r="J193" s="24"/>
      <c r="K193" s="24"/>
    </row>
    <row r="194" spans="1:11" ht="15" customHeight="1" x14ac:dyDescent="0.3">
      <c r="A194" s="28">
        <v>1.64</v>
      </c>
      <c r="B194" s="29">
        <v>0.20030791599926717</v>
      </c>
      <c r="C194" s="30">
        <v>0.78902232885942603</v>
      </c>
      <c r="J194" s="24"/>
      <c r="K194" s="24"/>
    </row>
    <row r="195" spans="1:11" ht="15" customHeight="1" x14ac:dyDescent="0.3">
      <c r="A195" s="28">
        <v>1.65</v>
      </c>
      <c r="B195" s="29">
        <v>0.19979969832701328</v>
      </c>
      <c r="C195" s="30">
        <v>0.78901242846328024</v>
      </c>
      <c r="J195" s="24"/>
      <c r="K195" s="24"/>
    </row>
    <row r="196" spans="1:11" ht="15" customHeight="1" x14ac:dyDescent="0.3">
      <c r="A196" s="28">
        <v>1.66</v>
      </c>
      <c r="B196" s="29">
        <v>0.1992964024360577</v>
      </c>
      <c r="C196" s="30">
        <v>0.78900101099028941</v>
      </c>
      <c r="J196" s="24"/>
      <c r="K196" s="24"/>
    </row>
    <row r="197" spans="1:11" ht="15" customHeight="1" x14ac:dyDescent="0.3">
      <c r="A197" s="28">
        <v>1.67</v>
      </c>
      <c r="B197" s="29">
        <v>0.1987979496699018</v>
      </c>
      <c r="C197" s="30">
        <v>0.78898811485104847</v>
      </c>
      <c r="J197" s="24"/>
      <c r="K197" s="24"/>
    </row>
    <row r="198" spans="1:11" ht="15" customHeight="1" x14ac:dyDescent="0.3">
      <c r="A198" s="28">
        <v>1.68</v>
      </c>
      <c r="B198" s="29">
        <v>0.19830426309513469</v>
      </c>
      <c r="C198" s="30">
        <v>0.7889737774185257</v>
      </c>
      <c r="J198" s="24"/>
      <c r="K198" s="24"/>
    </row>
    <row r="199" spans="1:11" ht="15" customHeight="1" x14ac:dyDescent="0.3">
      <c r="A199" s="28">
        <v>1.69</v>
      </c>
      <c r="B199" s="29">
        <v>0.19781526745400385</v>
      </c>
      <c r="C199" s="30">
        <v>0.78895803506104578</v>
      </c>
      <c r="J199" s="24"/>
      <c r="K199" s="24"/>
    </row>
    <row r="200" spans="1:11" ht="15" customHeight="1" x14ac:dyDescent="0.3">
      <c r="A200" s="28">
        <v>1.7</v>
      </c>
      <c r="B200" s="29">
        <v>0.1973308891185466</v>
      </c>
      <c r="C200" s="30">
        <v>0.78894092317404563</v>
      </c>
      <c r="J200" s="24"/>
      <c r="K200" s="24"/>
    </row>
    <row r="201" spans="1:11" ht="15" customHeight="1" x14ac:dyDescent="0.3">
      <c r="A201" s="28">
        <v>1.71</v>
      </c>
      <c r="B201" s="29">
        <v>0.19685105604622252</v>
      </c>
      <c r="C201" s="30">
        <v>0.78892247621064227</v>
      </c>
      <c r="J201" s="24"/>
      <c r="K201" s="24"/>
    </row>
    <row r="202" spans="1:11" ht="15" customHeight="1" x14ac:dyDescent="0.3">
      <c r="A202" s="28">
        <v>1.72</v>
      </c>
      <c r="B202" s="29">
        <v>0.19637569773699026</v>
      </c>
      <c r="C202" s="30">
        <v>0.78890272771107861</v>
      </c>
      <c r="J202" s="24"/>
      <c r="K202" s="24"/>
    </row>
    <row r="203" spans="1:11" ht="15" customHeight="1" x14ac:dyDescent="0.3">
      <c r="A203" s="28">
        <v>1.73</v>
      </c>
      <c r="B203" s="29">
        <v>0.19590474519177409</v>
      </c>
      <c r="C203" s="30">
        <v>0.7888817103310809</v>
      </c>
      <c r="J203" s="24"/>
      <c r="K203" s="24"/>
    </row>
    <row r="204" spans="1:11" ht="15" customHeight="1" x14ac:dyDescent="0.3">
      <c r="A204" s="28">
        <v>1.74</v>
      </c>
      <c r="B204" s="29">
        <v>0.19543813087226836</v>
      </c>
      <c r="C204" s="30">
        <v>0.78885945586918504</v>
      </c>
      <c r="J204" s="24"/>
      <c r="K204" s="24"/>
    </row>
    <row r="205" spans="1:11" ht="15" customHeight="1" x14ac:dyDescent="0.3">
      <c r="A205" s="28">
        <v>1.75</v>
      </c>
      <c r="B205" s="29">
        <v>0.19497578866203025</v>
      </c>
      <c r="C205" s="30">
        <v>0.78883599529306825</v>
      </c>
      <c r="J205" s="24"/>
      <c r="K205" s="24"/>
    </row>
    <row r="206" spans="1:11" ht="15" customHeight="1" x14ac:dyDescent="0.3">
      <c r="A206" s="28">
        <v>1.76</v>
      </c>
      <c r="B206" s="29">
        <v>0.19451765382881223</v>
      </c>
      <c r="C206" s="30">
        <v>0.78881135876493236</v>
      </c>
      <c r="J206" s="24"/>
      <c r="K206" s="24"/>
    </row>
    <row r="207" spans="1:11" ht="15" customHeight="1" x14ac:dyDescent="0.3">
      <c r="A207" s="28">
        <v>1.77</v>
      </c>
      <c r="B207" s="29">
        <v>0.19406366298808897</v>
      </c>
      <c r="C207" s="30">
        <v>0.78878557566597496</v>
      </c>
      <c r="J207" s="24"/>
      <c r="K207" s="24"/>
    </row>
    <row r="208" spans="1:11" ht="15" customHeight="1" x14ac:dyDescent="0.3">
      <c r="A208" s="28">
        <v>1.78</v>
      </c>
      <c r="B208" s="29">
        <v>0.19361375406773551</v>
      </c>
      <c r="C208" s="30">
        <v>0.78875867461998772</v>
      </c>
      <c r="J208" s="24"/>
      <c r="K208" s="24"/>
    </row>
    <row r="209" spans="1:11" ht="15" customHeight="1" x14ac:dyDescent="0.3">
      <c r="A209" s="28">
        <v>1.79</v>
      </c>
      <c r="B209" s="29">
        <v>0.19316786627381274</v>
      </c>
      <c r="C209" s="30">
        <v>0.78873068351611819</v>
      </c>
      <c r="J209" s="24"/>
      <c r="K209" s="24"/>
    </row>
    <row r="210" spans="1:11" ht="15" customHeight="1" x14ac:dyDescent="0.3">
      <c r="A210" s="28">
        <v>1.8</v>
      </c>
      <c r="B210" s="29">
        <v>0.1927259400574225</v>
      </c>
      <c r="C210" s="30">
        <v>0.78870162953082934</v>
      </c>
      <c r="J210" s="24"/>
      <c r="K210" s="24"/>
    </row>
    <row r="211" spans="1:11" ht="15" customHeight="1" x14ac:dyDescent="0.3">
      <c r="A211" s="28">
        <v>1.81</v>
      </c>
      <c r="B211" s="29">
        <v>0.19228791708259099</v>
      </c>
      <c r="C211" s="30">
        <v>0.78867153914908716</v>
      </c>
      <c r="J211" s="24"/>
      <c r="K211" s="24"/>
    </row>
    <row r="212" spans="1:11" ht="15" customHeight="1" x14ac:dyDescent="0.3">
      <c r="A212" s="28">
        <v>1.82</v>
      </c>
      <c r="B212" s="29">
        <v>0.19185374019514573</v>
      </c>
      <c r="C212" s="30">
        <v>0.78864043818481255</v>
      </c>
      <c r="J212" s="24"/>
      <c r="K212" s="24"/>
    </row>
    <row r="213" spans="1:11" ht="15" customHeight="1" x14ac:dyDescent="0.3">
      <c r="A213" s="28">
        <v>1.83</v>
      </c>
      <c r="B213" s="29">
        <v>0.19142335339254885</v>
      </c>
      <c r="C213" s="30">
        <v>0.78860835180062205</v>
      </c>
      <c r="J213" s="24"/>
      <c r="K213" s="24"/>
    </row>
    <row r="214" spans="1:11" ht="15" customHeight="1" x14ac:dyDescent="0.3">
      <c r="A214" s="28">
        <v>1.84</v>
      </c>
      <c r="B214" s="29">
        <v>0.19099670179465358</v>
      </c>
      <c r="C214" s="30">
        <v>0.78857530452688818</v>
      </c>
      <c r="J214" s="24"/>
      <c r="K214" s="24"/>
    </row>
    <row r="215" spans="1:11" ht="15" customHeight="1" x14ac:dyDescent="0.3">
      <c r="A215" s="28">
        <v>1.85</v>
      </c>
      <c r="B215" s="29">
        <v>0.19057373161535066</v>
      </c>
      <c r="C215" s="30">
        <v>0.78854132028014834</v>
      </c>
      <c r="J215" s="24"/>
      <c r="K215" s="24"/>
    </row>
    <row r="216" spans="1:11" ht="15" customHeight="1" x14ac:dyDescent="0.3">
      <c r="A216" s="28">
        <v>1.86</v>
      </c>
      <c r="B216" s="29">
        <v>0.19015439013507379</v>
      </c>
      <c r="C216" s="30">
        <v>0.78850642238088287</v>
      </c>
      <c r="J216" s="24"/>
      <c r="K216" s="24"/>
    </row>
    <row r="217" spans="1:11" ht="15" customHeight="1" x14ac:dyDescent="0.3">
      <c r="A217" s="28">
        <v>1.87</v>
      </c>
      <c r="B217" s="29">
        <v>0.18973862567413327</v>
      </c>
      <c r="C217" s="30">
        <v>0.78847063357069458</v>
      </c>
      <c r="J217" s="24"/>
      <c r="K217" s="24"/>
    </row>
    <row r="218" spans="1:11" ht="15" customHeight="1" x14ac:dyDescent="0.3">
      <c r="A218" s="28">
        <v>1.88</v>
      </c>
      <c r="B218" s="29">
        <v>0.18932638756684964</v>
      </c>
      <c r="C218" s="30">
        <v>0.78843397602890408</v>
      </c>
      <c r="J218" s="24"/>
      <c r="K218" s="24"/>
    </row>
    <row r="219" spans="1:11" ht="15" customHeight="1" x14ac:dyDescent="0.3">
      <c r="A219" s="28">
        <v>1.89</v>
      </c>
      <c r="B219" s="29">
        <v>0.18891762613645882</v>
      </c>
      <c r="C219" s="30">
        <v>0.78839647138859448</v>
      </c>
      <c r="J219" s="24"/>
      <c r="K219" s="24"/>
    </row>
    <row r="220" spans="1:11" ht="15" customHeight="1" x14ac:dyDescent="0.3">
      <c r="A220" s="28">
        <v>1.9</v>
      </c>
      <c r="B220" s="29">
        <v>0.18851229267076222</v>
      </c>
      <c r="C220" s="30">
        <v>0.78835814075211508</v>
      </c>
      <c r="J220" s="24"/>
      <c r="K220" s="24"/>
    </row>
    <row r="221" spans="1:11" ht="15" customHeight="1" x14ac:dyDescent="0.3">
      <c r="A221" s="28">
        <v>1.91</v>
      </c>
      <c r="B221" s="29">
        <v>0.18811033939849681</v>
      </c>
      <c r="C221" s="30">
        <v>0.78831900470607597</v>
      </c>
      <c r="J221" s="24"/>
      <c r="K221" s="24"/>
    </row>
    <row r="222" spans="1:11" ht="15" customHeight="1" x14ac:dyDescent="0.3">
      <c r="A222" s="28">
        <v>1.92</v>
      </c>
      <c r="B222" s="29">
        <v>0.18771171946639917</v>
      </c>
      <c r="C222" s="30">
        <v>0.78827908333584451</v>
      </c>
      <c r="J222" s="24"/>
      <c r="K222" s="24"/>
    </row>
    <row r="223" spans="1:11" ht="15" customHeight="1" x14ac:dyDescent="0.3">
      <c r="A223" s="28">
        <v>1.93</v>
      </c>
      <c r="B223" s="29">
        <v>0.18731638691694127</v>
      </c>
      <c r="C223" s="30">
        <v>0.78823839623956682</v>
      </c>
      <c r="J223" s="24"/>
      <c r="K223" s="24"/>
    </row>
    <row r="224" spans="1:11" ht="15" customHeight="1" x14ac:dyDescent="0.3">
      <c r="A224" s="28">
        <v>1.94</v>
      </c>
      <c r="B224" s="29">
        <v>0.18692429666671428</v>
      </c>
      <c r="C224" s="30">
        <v>0.78819696254173366</v>
      </c>
      <c r="J224" s="24"/>
      <c r="K224" s="24"/>
    </row>
    <row r="225" spans="1:11" ht="15" customHeight="1" x14ac:dyDescent="0.3">
      <c r="A225" s="28">
        <v>1.95</v>
      </c>
      <c r="B225" s="29">
        <v>0.18653540448543784</v>
      </c>
      <c r="C225" s="30">
        <v>0.78815480090630219</v>
      </c>
      <c r="J225" s="24"/>
      <c r="K225" s="24"/>
    </row>
    <row r="226" spans="1:11" ht="15" customHeight="1" x14ac:dyDescent="0.3">
      <c r="A226" s="28">
        <v>1.96</v>
      </c>
      <c r="B226" s="29">
        <v>0.18614966697557628</v>
      </c>
      <c r="C226" s="30">
        <v>0.78811192954939779</v>
      </c>
      <c r="J226" s="24"/>
      <c r="K226" s="24"/>
    </row>
    <row r="227" spans="1:11" ht="15" customHeight="1" x14ac:dyDescent="0.3">
      <c r="A227" s="28">
        <v>1.97</v>
      </c>
      <c r="B227" s="29">
        <v>0.18576704155253804</v>
      </c>
      <c r="C227" s="30">
        <v>0.78806836625160415</v>
      </c>
      <c r="J227" s="24"/>
      <c r="K227" s="24"/>
    </row>
    <row r="228" spans="1:11" ht="15" customHeight="1" x14ac:dyDescent="0.3">
      <c r="A228" s="28">
        <v>1.98</v>
      </c>
      <c r="B228" s="29">
        <v>0.18538748642544212</v>
      </c>
      <c r="C228" s="30">
        <v>0.78802412836986357</v>
      </c>
      <c r="J228" s="24"/>
      <c r="K228" s="24"/>
    </row>
    <row r="229" spans="1:11" ht="15" customHeight="1" x14ac:dyDescent="0.3">
      <c r="A229" s="28">
        <v>1.99</v>
      </c>
      <c r="B229" s="29">
        <v>0.18501096057842967</v>
      </c>
      <c r="C229" s="30">
        <v>0.78797923284899629</v>
      </c>
      <c r="J229" s="24"/>
      <c r="K229" s="24"/>
    </row>
    <row r="230" spans="1:11" ht="15" customHeight="1" x14ac:dyDescent="0.3">
      <c r="A230" s="28">
        <v>2</v>
      </c>
      <c r="B230" s="29">
        <v>0.18463742375250583</v>
      </c>
      <c r="C230" s="30">
        <v>0.7879336962328567</v>
      </c>
      <c r="J230" s="24"/>
      <c r="K230" s="24"/>
    </row>
    <row r="231" spans="1:11" ht="15" customHeight="1" x14ac:dyDescent="0.3">
      <c r="A231" s="28">
        <v>2.0099999999999998</v>
      </c>
      <c r="B231" s="29">
        <v>0.18426683642789146</v>
      </c>
      <c r="C231" s="30">
        <v>0.78788753467513917</v>
      </c>
      <c r="J231" s="24"/>
      <c r="K231" s="24"/>
    </row>
    <row r="232" spans="1:11" ht="15" customHeight="1" x14ac:dyDescent="0.3">
      <c r="A232" s="28">
        <v>2.02</v>
      </c>
      <c r="B232" s="29">
        <v>0.18389915980687038</v>
      </c>
      <c r="C232" s="30">
        <v>0.7878407639498427</v>
      </c>
      <c r="J232" s="24"/>
      <c r="K232" s="24"/>
    </row>
    <row r="233" spans="1:11" ht="15" customHeight="1" x14ac:dyDescent="0.3">
      <c r="A233" s="28">
        <v>2.0299999999999998</v>
      </c>
      <c r="B233" s="29">
        <v>0.18353435579711447</v>
      </c>
      <c r="C233" s="30">
        <v>0.78779339946141114</v>
      </c>
      <c r="J233" s="24"/>
      <c r="K233" s="24"/>
    </row>
    <row r="234" spans="1:11" ht="15" customHeight="1" x14ac:dyDescent="0.3">
      <c r="A234" s="28">
        <v>2.04</v>
      </c>
      <c r="B234" s="29">
        <v>0.18317238699547211</v>
      </c>
      <c r="C234" s="30">
        <v>0.78774545625456127</v>
      </c>
      <c r="J234" s="24"/>
      <c r="K234" s="24"/>
    </row>
    <row r="235" spans="1:11" ht="15" customHeight="1" x14ac:dyDescent="0.3">
      <c r="A235" s="28">
        <v>2.0499999999999998</v>
      </c>
      <c r="B235" s="29">
        <v>0.18281321667220407</v>
      </c>
      <c r="C235" s="30">
        <v>0.78769694902380227</v>
      </c>
      <c r="J235" s="24"/>
      <c r="K235" s="24"/>
    </row>
    <row r="236" spans="1:11" ht="15" customHeight="1" x14ac:dyDescent="0.3">
      <c r="A236" s="28">
        <v>2.06</v>
      </c>
      <c r="B236" s="29">
        <v>0.18245680875565323</v>
      </c>
      <c r="C236" s="30">
        <v>0.78764789212266639</v>
      </c>
      <c r="J236" s="24"/>
      <c r="K236" s="24"/>
    </row>
    <row r="237" spans="1:11" ht="15" customHeight="1" x14ac:dyDescent="0.3">
      <c r="A237" s="28">
        <v>2.0699999999999998</v>
      </c>
      <c r="B237" s="29">
        <v>0.18210312781733473</v>
      </c>
      <c r="C237" s="30">
        <v>0.78759829957265814</v>
      </c>
      <c r="J237" s="24"/>
      <c r="K237" s="24"/>
    </row>
    <row r="238" spans="1:11" ht="15" customHeight="1" x14ac:dyDescent="0.3">
      <c r="A238" s="28">
        <v>2.08</v>
      </c>
      <c r="B238" s="29">
        <v>0.18175213905743073</v>
      </c>
      <c r="C238" s="30">
        <v>0.78754818507192936</v>
      </c>
      <c r="J238" s="24"/>
      <c r="K238" s="24"/>
    </row>
    <row r="239" spans="1:11" ht="15" customHeight="1" x14ac:dyDescent="0.3">
      <c r="A239" s="28">
        <v>2.09</v>
      </c>
      <c r="B239" s="29">
        <v>0.18140380829068042</v>
      </c>
      <c r="C239" s="30">
        <v>0.78749756200369181</v>
      </c>
      <c r="J239" s="24"/>
      <c r="K239" s="24"/>
    </row>
    <row r="240" spans="1:11" ht="15" customHeight="1" x14ac:dyDescent="0.3">
      <c r="A240" s="28">
        <v>2.1</v>
      </c>
      <c r="B240" s="29">
        <v>0.1810581019326501</v>
      </c>
      <c r="C240" s="30">
        <v>0.78744644344437909</v>
      </c>
      <c r="J240" s="24"/>
      <c r="K240" s="24"/>
    </row>
    <row r="241" spans="1:11" ht="15" customHeight="1" x14ac:dyDescent="0.3">
      <c r="A241" s="28">
        <v>2.11</v>
      </c>
      <c r="B241" s="29">
        <v>0.18071498698637242</v>
      </c>
      <c r="C241" s="30">
        <v>0.78739484217155842</v>
      </c>
      <c r="J241" s="24"/>
      <c r="K241" s="24"/>
    </row>
    <row r="242" spans="1:11" ht="15" customHeight="1" x14ac:dyDescent="0.3">
      <c r="A242" s="28">
        <v>2.12</v>
      </c>
      <c r="B242" s="29">
        <v>0.18037443102934322</v>
      </c>
      <c r="C242" s="30">
        <v>0.78734277067161385</v>
      </c>
      <c r="J242" s="24"/>
      <c r="K242" s="24"/>
    </row>
    <row r="243" spans="1:11" ht="15" customHeight="1" x14ac:dyDescent="0.3">
      <c r="A243" s="28">
        <v>2.13</v>
      </c>
      <c r="B243" s="29">
        <v>0.180036402200865</v>
      </c>
      <c r="C243" s="30">
        <v>0.78729024114719393</v>
      </c>
      <c r="J243" s="24"/>
      <c r="K243" s="24"/>
    </row>
    <row r="244" spans="1:11" ht="15" customHeight="1" x14ac:dyDescent="0.3">
      <c r="A244" s="28">
        <v>2.14</v>
      </c>
      <c r="B244" s="29">
        <v>0.17970086918972533</v>
      </c>
      <c r="C244" s="30">
        <v>0.78723726552444329</v>
      </c>
      <c r="J244" s="24"/>
      <c r="K244" s="24"/>
    </row>
    <row r="245" spans="1:11" ht="15" customHeight="1" x14ac:dyDescent="0.3">
      <c r="A245" s="28">
        <v>2.15</v>
      </c>
      <c r="B245" s="29">
        <v>0.17936780122220169</v>
      </c>
      <c r="C245" s="30">
        <v>0.78718385546002245</v>
      </c>
      <c r="J245" s="24"/>
      <c r="K245" s="24"/>
    </row>
    <row r="246" spans="1:11" ht="15" customHeight="1" x14ac:dyDescent="0.3">
      <c r="A246" s="28">
        <v>2.16</v>
      </c>
      <c r="B246" s="29">
        <v>0.17903716805038003</v>
      </c>
      <c r="C246" s="30">
        <v>0.78713002234791696</v>
      </c>
      <c r="J246" s="24"/>
      <c r="K246" s="24"/>
    </row>
    <row r="247" spans="1:11" ht="15" customHeight="1" x14ac:dyDescent="0.3">
      <c r="A247" s="28">
        <v>2.17</v>
      </c>
      <c r="B247" s="29">
        <v>0.17870893994078052</v>
      </c>
      <c r="C247" s="30">
        <v>0.78707577732605394</v>
      </c>
      <c r="J247" s="24"/>
      <c r="K247" s="24"/>
    </row>
    <row r="248" spans="1:11" ht="15" customHeight="1" x14ac:dyDescent="0.3">
      <c r="A248" s="28">
        <v>2.1800000000000002</v>
      </c>
      <c r="B248" s="29">
        <v>0.17838308766327837</v>
      </c>
      <c r="C248" s="30">
        <v>0.78702113128272311</v>
      </c>
      <c r="J248" s="24"/>
      <c r="K248" s="24"/>
    </row>
    <row r="249" spans="1:11" ht="15" customHeight="1" x14ac:dyDescent="0.3">
      <c r="A249" s="28">
        <v>2.19</v>
      </c>
      <c r="B249" s="29">
        <v>0.17805958248031289</v>
      </c>
      <c r="C249" s="30">
        <v>0.78696609486281166</v>
      </c>
      <c r="J249" s="24"/>
      <c r="K249" s="24"/>
    </row>
    <row r="250" spans="1:11" ht="15" customHeight="1" x14ac:dyDescent="0.3">
      <c r="A250" s="28">
        <v>2.2000000000000002</v>
      </c>
      <c r="B250" s="29">
        <v>0.1777383961363744</v>
      </c>
      <c r="C250" s="30">
        <v>0.78691067847386331</v>
      </c>
      <c r="J250" s="24"/>
      <c r="K250" s="24"/>
    </row>
    <row r="251" spans="1:11" ht="15" customHeight="1" x14ac:dyDescent="0.3">
      <c r="A251" s="28">
        <v>2.21</v>
      </c>
      <c r="B251" s="29">
        <v>0.17741950084776195</v>
      </c>
      <c r="C251" s="30">
        <v>0.78685489229195915</v>
      </c>
      <c r="J251" s="24"/>
      <c r="K251" s="24"/>
    </row>
    <row r="252" spans="1:11" ht="15" customHeight="1" x14ac:dyDescent="0.3">
      <c r="A252" s="28">
        <v>2.2200000000000002</v>
      </c>
      <c r="B252" s="29">
        <v>0.17710286929260316</v>
      </c>
      <c r="C252" s="30">
        <v>0.78679874626743673</v>
      </c>
      <c r="J252" s="24"/>
      <c r="K252" s="24"/>
    </row>
    <row r="253" spans="1:11" ht="15" customHeight="1" x14ac:dyDescent="0.3">
      <c r="A253" s="28">
        <v>2.23</v>
      </c>
      <c r="B253" s="29">
        <v>0.17678847460112776</v>
      </c>
      <c r="C253" s="30">
        <v>0.78674225013043819</v>
      </c>
      <c r="J253" s="24"/>
      <c r="K253" s="24"/>
    </row>
    <row r="254" spans="1:11" ht="15" customHeight="1" x14ac:dyDescent="0.3">
      <c r="A254" s="28">
        <v>2.2400000000000002</v>
      </c>
      <c r="B254" s="29">
        <v>0.17647629034618892</v>
      </c>
      <c r="C254" s="30">
        <v>0.78668541339631171</v>
      </c>
      <c r="J254" s="24"/>
      <c r="K254" s="24"/>
    </row>
    <row r="255" spans="1:11" ht="15" customHeight="1" x14ac:dyDescent="0.3">
      <c r="A255" s="28">
        <v>2.25</v>
      </c>
      <c r="B255" s="29">
        <v>0.17616629053402327</v>
      </c>
      <c r="C255" s="30">
        <v>0.78662824537085341</v>
      </c>
      <c r="J255" s="24"/>
      <c r="K255" s="24"/>
    </row>
    <row r="256" spans="1:11" ht="15" customHeight="1" x14ac:dyDescent="0.3">
      <c r="A256" s="28">
        <v>2.2599999999999998</v>
      </c>
      <c r="B256" s="29">
        <v>0.17585844959524363</v>
      </c>
      <c r="C256" s="30">
        <v>0.78657075515540464</v>
      </c>
      <c r="J256" s="24"/>
      <c r="K256" s="24"/>
    </row>
    <row r="257" spans="1:11" ht="15" customHeight="1" x14ac:dyDescent="0.3">
      <c r="A257" s="28">
        <v>2.27</v>
      </c>
      <c r="B257" s="29">
        <v>0.1755527423760572</v>
      </c>
      <c r="C257" s="30">
        <v>0.78651295165180735</v>
      </c>
      <c r="J257" s="24"/>
      <c r="K257" s="24"/>
    </row>
    <row r="258" spans="1:11" ht="15" customHeight="1" x14ac:dyDescent="0.3">
      <c r="A258" s="28">
        <v>2.2799999999999998</v>
      </c>
      <c r="B258" s="29">
        <v>0.17524914412970322</v>
      </c>
      <c r="C258" s="30">
        <v>0.78645484356722251</v>
      </c>
      <c r="J258" s="24"/>
      <c r="K258" s="24"/>
    </row>
    <row r="259" spans="1:11" ht="15" customHeight="1" x14ac:dyDescent="0.3">
      <c r="A259" s="28">
        <v>2.29</v>
      </c>
      <c r="B259" s="29">
        <v>0.17494763050810253</v>
      </c>
      <c r="C259" s="30">
        <v>0.7863964394188121</v>
      </c>
      <c r="J259" s="24"/>
      <c r="K259" s="24"/>
    </row>
    <row r="260" spans="1:11" ht="15" customHeight="1" x14ac:dyDescent="0.3">
      <c r="A260" s="28">
        <v>2.2999999999999998</v>
      </c>
      <c r="B260" s="29">
        <v>0.17464817755371459</v>
      </c>
      <c r="C260" s="30">
        <v>0.78633774753829766</v>
      </c>
      <c r="J260" s="24"/>
      <c r="K260" s="24"/>
    </row>
    <row r="261" spans="1:11" ht="15" customHeight="1" x14ac:dyDescent="0.3">
      <c r="A261" s="28">
        <v>2.31</v>
      </c>
      <c r="B261" s="29">
        <v>0.17435076169159369</v>
      </c>
      <c r="C261" s="30">
        <v>0.78627877607638619</v>
      </c>
      <c r="J261" s="24"/>
      <c r="K261" s="24"/>
    </row>
    <row r="262" spans="1:11" ht="15" customHeight="1" x14ac:dyDescent="0.3">
      <c r="A262" s="28">
        <v>2.3199999999999998</v>
      </c>
      <c r="B262" s="29">
        <v>0.17405535972164157</v>
      </c>
      <c r="C262" s="30">
        <v>0.78621953300708092</v>
      </c>
      <c r="J262" s="24"/>
      <c r="K262" s="24"/>
    </row>
    <row r="263" spans="1:11" ht="15" customHeight="1" x14ac:dyDescent="0.3">
      <c r="A263" s="28">
        <v>2.33</v>
      </c>
      <c r="B263" s="29">
        <v>0.17376194881104792</v>
      </c>
      <c r="C263" s="30">
        <v>0.78616002613187375</v>
      </c>
      <c r="J263" s="24"/>
      <c r="K263" s="24"/>
    </row>
    <row r="264" spans="1:11" ht="15" customHeight="1" x14ac:dyDescent="0.3">
      <c r="A264" s="28">
        <v>2.34</v>
      </c>
      <c r="B264" s="29">
        <v>0.173470506486915</v>
      </c>
      <c r="C264" s="30">
        <v>0.78610026308382142</v>
      </c>
      <c r="J264" s="24"/>
      <c r="K264" s="24"/>
    </row>
    <row r="265" spans="1:11" ht="15" customHeight="1" x14ac:dyDescent="0.3">
      <c r="A265" s="28">
        <v>2.35</v>
      </c>
      <c r="B265" s="29">
        <v>0.17318101062906152</v>
      </c>
      <c r="C265" s="30">
        <v>0.78604025133151478</v>
      </c>
      <c r="J265" s="24"/>
      <c r="K265" s="24"/>
    </row>
    <row r="266" spans="1:11" ht="15" customHeight="1" x14ac:dyDescent="0.3">
      <c r="A266" s="28">
        <v>2.36</v>
      </c>
      <c r="B266" s="29">
        <v>0.17289343946299918</v>
      </c>
      <c r="C266" s="30">
        <v>0.78597999818293751</v>
      </c>
      <c r="J266" s="24"/>
      <c r="K266" s="24"/>
    </row>
    <row r="267" spans="1:11" ht="15" customHeight="1" x14ac:dyDescent="0.3">
      <c r="A267" s="28">
        <v>2.37</v>
      </c>
      <c r="B267" s="29">
        <v>0.17260777155307835</v>
      </c>
      <c r="C267" s="30">
        <v>0.7859195107892275</v>
      </c>
      <c r="J267" s="24"/>
      <c r="K267" s="24"/>
    </row>
    <row r="268" spans="1:11" ht="15" customHeight="1" x14ac:dyDescent="0.3">
      <c r="A268" s="28">
        <v>2.38</v>
      </c>
      <c r="B268" s="29">
        <v>0.17232398579579764</v>
      </c>
      <c r="C268" s="30">
        <v>0.78585879614832999</v>
      </c>
      <c r="J268" s="24"/>
      <c r="K268" s="24"/>
    </row>
    <row r="269" spans="1:11" ht="15" customHeight="1" x14ac:dyDescent="0.3">
      <c r="A269" s="28">
        <v>2.39</v>
      </c>
      <c r="B269" s="29">
        <v>0.17204206141327241</v>
      </c>
      <c r="C269" s="30">
        <v>0.78579786110856054</v>
      </c>
      <c r="J269" s="24"/>
      <c r="K269" s="24"/>
    </row>
    <row r="270" spans="1:11" ht="15" customHeight="1" x14ac:dyDescent="0.3">
      <c r="A270" s="28">
        <v>2.4</v>
      </c>
      <c r="B270" s="29">
        <v>0.1717619779468591</v>
      </c>
      <c r="C270" s="30">
        <v>0.78573671237206877</v>
      </c>
      <c r="J270" s="24"/>
      <c r="K270" s="24"/>
    </row>
    <row r="271" spans="1:11" ht="15" customHeight="1" x14ac:dyDescent="0.3">
      <c r="A271" s="28">
        <v>2.41</v>
      </c>
      <c r="B271" s="29">
        <v>0.17148371525092945</v>
      </c>
      <c r="C271" s="30">
        <v>0.78567535649821485</v>
      </c>
      <c r="J271" s="24"/>
      <c r="K271" s="24"/>
    </row>
    <row r="272" spans="1:11" ht="15" customHeight="1" x14ac:dyDescent="0.3">
      <c r="A272" s="28">
        <v>2.42</v>
      </c>
      <c r="B272" s="29">
        <v>0.17120725348679094</v>
      </c>
      <c r="C272" s="30">
        <v>0.78561379990685309</v>
      </c>
      <c r="J272" s="24"/>
      <c r="K272" s="24"/>
    </row>
    <row r="273" spans="1:11" ht="15" customHeight="1" x14ac:dyDescent="0.3">
      <c r="A273" s="28">
        <v>2.4300000000000002</v>
      </c>
      <c r="B273" s="29">
        <v>0.17093257311675078</v>
      </c>
      <c r="C273" s="30">
        <v>0.78555204888153252</v>
      </c>
      <c r="J273" s="24"/>
      <c r="K273" s="24"/>
    </row>
    <row r="274" spans="1:11" ht="15" customHeight="1" x14ac:dyDescent="0.3">
      <c r="A274" s="28">
        <v>2.44</v>
      </c>
      <c r="B274" s="29">
        <v>0.17065965489831747</v>
      </c>
      <c r="C274" s="30">
        <v>0.78549010957261378</v>
      </c>
      <c r="J274" s="24"/>
      <c r="K274" s="24"/>
    </row>
    <row r="275" spans="1:11" ht="15" customHeight="1" x14ac:dyDescent="0.3">
      <c r="A275" s="28">
        <v>2.4500000000000002</v>
      </c>
      <c r="B275" s="29">
        <v>0.17038847987853742</v>
      </c>
      <c r="C275" s="30">
        <v>0.785427988000302</v>
      </c>
      <c r="J275" s="24"/>
      <c r="K275" s="24"/>
    </row>
    <row r="276" spans="1:11" ht="15" customHeight="1" x14ac:dyDescent="0.3">
      <c r="A276" s="28">
        <v>2.46</v>
      </c>
      <c r="B276" s="29">
        <v>0.17011902938846288</v>
      </c>
      <c r="C276" s="30">
        <v>0.78536569005760648</v>
      </c>
      <c r="J276" s="24"/>
      <c r="K276" s="24"/>
    </row>
    <row r="277" spans="1:11" ht="15" customHeight="1" x14ac:dyDescent="0.3">
      <c r="A277" s="28">
        <v>2.4700000000000002</v>
      </c>
      <c r="B277" s="29">
        <v>0.16985128503774724</v>
      </c>
      <c r="C277" s="30">
        <v>0.78530322151321796</v>
      </c>
      <c r="J277" s="24"/>
      <c r="K277" s="24"/>
    </row>
    <row r="278" spans="1:11" ht="15" customHeight="1" x14ac:dyDescent="0.3">
      <c r="A278" s="28">
        <v>2.48</v>
      </c>
      <c r="B278" s="29">
        <v>0.16958522870936446</v>
      </c>
      <c r="C278" s="30">
        <v>0.78524058801431784</v>
      </c>
      <c r="J278" s="24"/>
      <c r="K278" s="24"/>
    </row>
    <row r="279" spans="1:11" ht="15" customHeight="1" x14ac:dyDescent="0.3">
      <c r="A279" s="28">
        <v>2.4900000000000002</v>
      </c>
      <c r="B279" s="29">
        <v>0.16932084255444962</v>
      </c>
      <c r="C279" s="30">
        <v>0.78517779508931074</v>
      </c>
      <c r="J279" s="24"/>
      <c r="K279" s="24"/>
    </row>
    <row r="280" spans="1:11" ht="15" customHeight="1" x14ac:dyDescent="0.3">
      <c r="A280" s="31">
        <v>2.5</v>
      </c>
      <c r="B280" s="32">
        <v>0.16905810898725607</v>
      </c>
      <c r="C280" s="33">
        <v>0.78511484815048893</v>
      </c>
      <c r="J280" s="24"/>
      <c r="K280" s="24"/>
    </row>
  </sheetData>
  <mergeCells count="1">
    <mergeCell ref="A1:A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0"/>
  <sheetViews>
    <sheetView workbookViewId="0">
      <selection activeCell="X32" sqref="X32"/>
    </sheetView>
  </sheetViews>
  <sheetFormatPr defaultRowHeight="15" customHeight="1" x14ac:dyDescent="0.3"/>
  <cols>
    <col min="1" max="1" width="32.33203125" customWidth="1"/>
    <col min="3" max="3" width="30.109375" bestFit="1" customWidth="1"/>
    <col min="4" max="4" width="11.33203125" customWidth="1"/>
    <col min="5" max="5" width="9.109375" customWidth="1"/>
    <col min="14" max="14" width="12.109375" customWidth="1"/>
  </cols>
  <sheetData>
    <row r="1" spans="1:15" ht="15" customHeight="1" x14ac:dyDescent="0.3">
      <c r="A1" s="94" t="s">
        <v>129</v>
      </c>
    </row>
    <row r="2" spans="1:15" ht="15" customHeight="1" x14ac:dyDescent="0.3">
      <c r="A2" s="94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86</v>
      </c>
      <c r="N2" t="s">
        <v>2</v>
      </c>
      <c r="O2" t="s">
        <v>15</v>
      </c>
    </row>
    <row r="3" spans="1:15" ht="15" customHeight="1" x14ac:dyDescent="0.3">
      <c r="A3" s="94"/>
      <c r="C3" t="s">
        <v>26</v>
      </c>
      <c r="D3" s="1" t="s">
        <v>11</v>
      </c>
      <c r="E3" s="2">
        <f>phi0!E3</f>
        <v>0.52868749999999987</v>
      </c>
      <c r="F3" s="2">
        <f>phi0!F3</f>
        <v>0.91743750000000002</v>
      </c>
      <c r="G3" s="2">
        <f>phi0!G3</f>
        <v>1.2655000000000001</v>
      </c>
      <c r="H3" s="2">
        <f>phi0!H3</f>
        <v>1.6353958333333327</v>
      </c>
      <c r="I3" s="2">
        <f>phi0!I3</f>
        <v>1.9437291666666665</v>
      </c>
      <c r="J3" s="2">
        <f>phi0!J3</f>
        <v>2.2155416666666663</v>
      </c>
      <c r="K3" s="2">
        <f>phi0!K3</f>
        <v>2.5180416666666665</v>
      </c>
      <c r="L3" s="2">
        <f>phi0!L3</f>
        <v>2.7956041666666671</v>
      </c>
      <c r="M3" s="2">
        <f>phi0!M3</f>
        <v>3.1556875000000009</v>
      </c>
      <c r="N3" s="1" t="s">
        <v>87</v>
      </c>
      <c r="O3" t="s">
        <v>37</v>
      </c>
    </row>
    <row r="4" spans="1:15" ht="15" customHeight="1" x14ac:dyDescent="0.3">
      <c r="A4" s="94"/>
      <c r="C4" s="3" t="s">
        <v>5</v>
      </c>
      <c r="D4" s="3" t="s">
        <v>12</v>
      </c>
      <c r="E4" s="2">
        <f>phi0!E4</f>
        <v>0.18988256328527628</v>
      </c>
      <c r="F4" s="2">
        <f>phi0!F4</f>
        <v>0.51525951357153688</v>
      </c>
      <c r="G4" s="2">
        <f>phi0!G4</f>
        <v>0.83071831606934499</v>
      </c>
      <c r="H4" s="2">
        <f>phi0!H4</f>
        <v>0.94003787933985505</v>
      </c>
      <c r="I4" s="2">
        <f>phi0!I4</f>
        <v>0.97565145415800825</v>
      </c>
      <c r="J4" s="2">
        <f>phi0!J4</f>
        <v>0.9890409620488283</v>
      </c>
      <c r="K4" s="2">
        <f>phi0!K4</f>
        <v>0.99470052453844637</v>
      </c>
      <c r="L4" s="2">
        <f>phi0!L4</f>
        <v>0.99730049511242003</v>
      </c>
      <c r="M4" s="2">
        <f>phi0!M4</f>
        <v>0.99856953956468197</v>
      </c>
      <c r="N4" s="5" t="s">
        <v>4</v>
      </c>
      <c r="O4" t="s">
        <v>37</v>
      </c>
    </row>
    <row r="5" spans="1:15" ht="15" customHeight="1" x14ac:dyDescent="0.3">
      <c r="A5" s="94"/>
      <c r="C5" s="1" t="s">
        <v>6</v>
      </c>
      <c r="D5" s="1" t="s">
        <v>8</v>
      </c>
      <c r="E5" s="2">
        <f>phi0!E5</f>
        <v>0.2</v>
      </c>
      <c r="F5" s="2">
        <f>E5</f>
        <v>0.2</v>
      </c>
      <c r="G5" s="2">
        <f t="shared" ref="G5:M5" si="0">F5</f>
        <v>0.2</v>
      </c>
      <c r="H5" s="2">
        <f t="shared" si="0"/>
        <v>0.2</v>
      </c>
      <c r="I5" s="2">
        <f t="shared" si="0"/>
        <v>0.2</v>
      </c>
      <c r="J5" s="2">
        <f t="shared" si="0"/>
        <v>0.2</v>
      </c>
      <c r="K5" s="2">
        <f t="shared" si="0"/>
        <v>0.2</v>
      </c>
      <c r="L5" s="2">
        <f t="shared" si="0"/>
        <v>0.2</v>
      </c>
      <c r="M5" s="2">
        <f t="shared" si="0"/>
        <v>0.2</v>
      </c>
      <c r="N5" s="4" t="s">
        <v>4</v>
      </c>
      <c r="O5" t="s">
        <v>38</v>
      </c>
    </row>
    <row r="6" spans="1:15" ht="15" customHeight="1" x14ac:dyDescent="0.35">
      <c r="A6" s="37" t="s">
        <v>39</v>
      </c>
      <c r="B6" s="17">
        <v>0.1</v>
      </c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1">F6*EXP(-F5)</f>
        <v>0.67032004603563922</v>
      </c>
      <c r="H6">
        <f t="shared" si="1"/>
        <v>0.54881163609402639</v>
      </c>
      <c r="I6">
        <f t="shared" si="1"/>
        <v>0.44932896411722151</v>
      </c>
      <c r="J6">
        <f t="shared" si="1"/>
        <v>0.36787944117144222</v>
      </c>
      <c r="K6">
        <f t="shared" si="1"/>
        <v>0.30119421191220203</v>
      </c>
      <c r="L6">
        <f t="shared" si="1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88</v>
      </c>
    </row>
    <row r="8" spans="1:15" ht="15" customHeight="1" x14ac:dyDescent="0.3">
      <c r="C8" s="3" t="s">
        <v>3</v>
      </c>
      <c r="D8" s="3" t="s">
        <v>13</v>
      </c>
      <c r="E8" s="2">
        <f>'phiF SPR YPR'!E8</f>
        <v>4.0436359999999998E-3</v>
      </c>
      <c r="F8" s="2">
        <f>'phiF SPR YPR'!F8</f>
        <v>4.8546620999999998E-2</v>
      </c>
      <c r="G8" s="2">
        <f>'phiF SPR YPR'!G8</f>
        <v>0.35489582200000003</v>
      </c>
      <c r="H8" s="2">
        <f>'phiF SPR YPR'!H8</f>
        <v>0.72466872699999996</v>
      </c>
      <c r="I8" s="2">
        <f>'phiF SPR YPR'!I8</f>
        <v>0.90894166899999995</v>
      </c>
      <c r="J8" s="2">
        <f>'phiF SPR YPR'!J8</f>
        <v>0.97144023599999996</v>
      </c>
      <c r="K8" s="2">
        <f>'phiF SPR YPR'!K8</f>
        <v>0.98972695300000002</v>
      </c>
      <c r="L8" s="2">
        <f>'phiF SPR YPR'!L8</f>
        <v>0.99659088699999998</v>
      </c>
      <c r="M8" s="2">
        <f>'phiF SPR YPR'!M8</f>
        <v>0.99806452199999995</v>
      </c>
      <c r="N8" s="4" t="s">
        <v>4</v>
      </c>
      <c r="O8" t="s">
        <v>40</v>
      </c>
    </row>
    <row r="9" spans="1:15" ht="15" customHeight="1" x14ac:dyDescent="0.3">
      <c r="C9" t="s">
        <v>20</v>
      </c>
      <c r="D9" t="s">
        <v>19</v>
      </c>
      <c r="E9" s="6">
        <f>B6</f>
        <v>0.1</v>
      </c>
      <c r="N9" s="4" t="s">
        <v>4</v>
      </c>
    </row>
    <row r="10" spans="1:15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>F10*EXP(-F5-$E$9*F8)</f>
        <v>0.66680406909640177</v>
      </c>
      <c r="H10">
        <f>G10*EXP(-G5-$E$9*G8)</f>
        <v>0.52689783648290989</v>
      </c>
      <c r="I10">
        <f>H10*EXP(-H5-$E$9*H8)</f>
        <v>0.40123199388411179</v>
      </c>
      <c r="J10">
        <f>I10*EXP(-I5-$E$9*I8)</f>
        <v>0.29995894985656085</v>
      </c>
      <c r="K10">
        <f t="shared" ref="K10:L10" si="2">J10*EXP(-J5-$E$9*J8)</f>
        <v>0.22285060358771858</v>
      </c>
      <c r="L10">
        <f t="shared" si="2"/>
        <v>0.16526147434211816</v>
      </c>
      <c r="M10" s="20">
        <f>L10*EXP(-L5-$E$9*L8)/(1-EXP(-M5-$E$9*M8))</f>
        <v>0.47278883928200716</v>
      </c>
      <c r="N10" s="4" t="s">
        <v>4</v>
      </c>
    </row>
    <row r="11" spans="1:15" ht="15" customHeight="1" x14ac:dyDescent="0.35">
      <c r="C11" s="14" t="s">
        <v>18</v>
      </c>
      <c r="D11" s="14" t="s">
        <v>22</v>
      </c>
      <c r="E11">
        <f>SUMPRODUCT(E10:M10,E3:M3,E4:M4)</f>
        <v>5.9252300739334878</v>
      </c>
      <c r="N11" s="1" t="s">
        <v>88</v>
      </c>
    </row>
    <row r="12" spans="1:15" ht="15" customHeight="1" x14ac:dyDescent="0.3">
      <c r="C12" s="24" t="s">
        <v>46</v>
      </c>
      <c r="D12" s="24" t="s">
        <v>25</v>
      </c>
      <c r="E12">
        <f>E11/E7</f>
        <v>0.68533628984063166</v>
      </c>
      <c r="N12" s="4" t="s">
        <v>4</v>
      </c>
    </row>
    <row r="13" spans="1:15" ht="15" customHeight="1" x14ac:dyDescent="0.3">
      <c r="C13" s="14" t="s">
        <v>49</v>
      </c>
      <c r="D13" s="14" t="s">
        <v>48</v>
      </c>
      <c r="E13">
        <f>E10*E3*$E$9*E8*(1-EXP(-$E$9*E8-E5))/($E$9*E8+E5)</f>
        <v>1.9372262843376736E-4</v>
      </c>
      <c r="F13">
        <f t="shared" ref="F13:M13" si="3">F10*F3*$E$9*F8*(1-EXP(-$E$9*F8-F5))/($E$9*F8+F5)</f>
        <v>3.2959186610397725E-3</v>
      </c>
      <c r="G13">
        <f t="shared" si="3"/>
        <v>2.6682615564540248E-2</v>
      </c>
      <c r="H13">
        <f t="shared" si="3"/>
        <v>5.4659536821670462E-2</v>
      </c>
      <c r="I13">
        <f t="shared" si="3"/>
        <v>6.1507859870212421E-2</v>
      </c>
      <c r="J13">
        <f t="shared" si="3"/>
        <v>5.5850928657019398E-2</v>
      </c>
      <c r="K13">
        <f t="shared" si="3"/>
        <v>4.8005090742236592E-2</v>
      </c>
      <c r="L13">
        <f t="shared" si="3"/>
        <v>3.9784853213727378E-2</v>
      </c>
      <c r="M13">
        <f t="shared" si="3"/>
        <v>0.12865982806513587</v>
      </c>
      <c r="N13" t="s">
        <v>87</v>
      </c>
    </row>
    <row r="14" spans="1:15" ht="15" customHeight="1" x14ac:dyDescent="0.3">
      <c r="C14" s="14" t="s">
        <v>45</v>
      </c>
      <c r="D14" s="14" t="s">
        <v>47</v>
      </c>
      <c r="E14">
        <f>SUM(E13:M13)</f>
        <v>0.41864035422401591</v>
      </c>
      <c r="N14" t="s">
        <v>87</v>
      </c>
    </row>
    <row r="16" spans="1:15" ht="15" customHeight="1" x14ac:dyDescent="0.3">
      <c r="C16" s="9"/>
    </row>
    <row r="17" spans="1:12" ht="15" customHeight="1" x14ac:dyDescent="0.3">
      <c r="D17" t="s">
        <v>125</v>
      </c>
    </row>
    <row r="18" spans="1:12" ht="15" customHeight="1" x14ac:dyDescent="0.3">
      <c r="C18" s="9"/>
      <c r="D18" t="s">
        <v>127</v>
      </c>
    </row>
    <row r="19" spans="1:12" ht="15" customHeight="1" x14ac:dyDescent="0.3">
      <c r="D19" t="s">
        <v>131</v>
      </c>
    </row>
    <row r="20" spans="1:12" ht="15" customHeight="1" x14ac:dyDescent="0.3">
      <c r="B20" s="67">
        <v>4</v>
      </c>
      <c r="D20" t="s">
        <v>132</v>
      </c>
    </row>
    <row r="21" spans="1:12" ht="15" customHeight="1" x14ac:dyDescent="0.3">
      <c r="A21" s="38" t="s">
        <v>50</v>
      </c>
      <c r="B21" s="17">
        <v>40</v>
      </c>
      <c r="C21" t="s">
        <v>51</v>
      </c>
    </row>
    <row r="22" spans="1:12" ht="15" customHeight="1" x14ac:dyDescent="0.3">
      <c r="A22" s="38" t="s">
        <v>52</v>
      </c>
      <c r="B22" s="24">
        <f>VLOOKUP(E30,D30:F280,3,FALSE)</f>
        <v>0.37</v>
      </c>
      <c r="C22" s="9"/>
    </row>
    <row r="23" spans="1:12" ht="15" customHeight="1" x14ac:dyDescent="0.3">
      <c r="C23" s="9"/>
    </row>
    <row r="24" spans="1:12" ht="15" customHeight="1" x14ac:dyDescent="0.3">
      <c r="C24" s="9"/>
    </row>
    <row r="26" spans="1:12" ht="15" customHeight="1" x14ac:dyDescent="0.3">
      <c r="C26" s="10"/>
    </row>
    <row r="27" spans="1:12" s="24" customFormat="1" ht="15" customHeight="1" x14ac:dyDescent="0.3">
      <c r="A27" s="21" t="s">
        <v>124</v>
      </c>
      <c r="B27" s="22"/>
      <c r="C27" s="23"/>
      <c r="D27"/>
      <c r="J27"/>
      <c r="K27"/>
      <c r="L27"/>
    </row>
    <row r="28" spans="1:12" ht="15" customHeight="1" x14ac:dyDescent="0.3">
      <c r="A28" s="34" t="s">
        <v>19</v>
      </c>
      <c r="B28" s="35" t="s">
        <v>25</v>
      </c>
      <c r="C28" s="36" t="s">
        <v>47</v>
      </c>
    </row>
    <row r="29" spans="1:12" s="24" customFormat="1" ht="15" customHeight="1" x14ac:dyDescent="0.3">
      <c r="A29" s="25"/>
      <c r="B29" s="26">
        <f>E12</f>
        <v>0.68533628984063166</v>
      </c>
      <c r="C29" s="27">
        <f>E14</f>
        <v>0.41864035422401591</v>
      </c>
      <c r="D29" s="58" t="s">
        <v>126</v>
      </c>
      <c r="E29" s="68" t="s">
        <v>128</v>
      </c>
      <c r="F29" s="68" t="s">
        <v>19</v>
      </c>
      <c r="J29"/>
      <c r="K29"/>
      <c r="L29"/>
    </row>
    <row r="30" spans="1:12" ht="15" customHeight="1" x14ac:dyDescent="0.3">
      <c r="A30" s="28">
        <v>1E-4</v>
      </c>
      <c r="B30" s="29">
        <f t="dataTable" ref="B30:C280" dt2D="0" dtr="0" r1="B6"/>
        <v>0.99952159084272474</v>
      </c>
      <c r="C30" s="30">
        <v>6.8128969288715636E-4</v>
      </c>
      <c r="D30" s="24">
        <f t="shared" ref="D30:D93" si="4">ABS(B30-$B$21/100)</f>
        <v>0.59952159084272472</v>
      </c>
      <c r="E30" s="24">
        <f>MIN(D29:D280)</f>
        <v>2.1962788064296968E-3</v>
      </c>
      <c r="F30" s="24">
        <f t="shared" ref="F30:F93" si="5">A30</f>
        <v>1E-4</v>
      </c>
      <c r="J30" s="24"/>
      <c r="K30" s="24"/>
    </row>
    <row r="31" spans="1:12" ht="15" customHeight="1" x14ac:dyDescent="0.3">
      <c r="A31" s="28">
        <v>0.01</v>
      </c>
      <c r="B31" s="29">
        <v>0.95448419702497456</v>
      </c>
      <c r="C31" s="30">
        <v>6.43343462730398E-2</v>
      </c>
      <c r="D31" s="24">
        <f t="shared" si="4"/>
        <v>0.55448419702497453</v>
      </c>
      <c r="F31" s="24">
        <f t="shared" si="5"/>
        <v>0.01</v>
      </c>
      <c r="J31" s="24"/>
      <c r="K31" s="24"/>
    </row>
    <row r="32" spans="1:12" ht="15" customHeight="1" x14ac:dyDescent="0.3">
      <c r="A32" s="28">
        <v>0.02</v>
      </c>
      <c r="B32" s="29">
        <v>0.91323765685305125</v>
      </c>
      <c r="C32" s="30">
        <v>0.12173192642859101</v>
      </c>
      <c r="D32" s="24">
        <f t="shared" si="4"/>
        <v>0.51323765685305123</v>
      </c>
      <c r="F32" s="24">
        <f t="shared" si="5"/>
        <v>0.02</v>
      </c>
      <c r="J32" s="24"/>
      <c r="K32" s="24"/>
    </row>
    <row r="33" spans="1:11" ht="15" customHeight="1" x14ac:dyDescent="0.3">
      <c r="A33" s="28">
        <v>0.03</v>
      </c>
      <c r="B33" s="29">
        <v>0.87569913806345145</v>
      </c>
      <c r="C33" s="30">
        <v>0.17314724253319588</v>
      </c>
      <c r="D33" s="24">
        <f t="shared" si="4"/>
        <v>0.47569913806345143</v>
      </c>
      <c r="F33" s="24">
        <f t="shared" si="5"/>
        <v>0.03</v>
      </c>
      <c r="J33" s="24"/>
      <c r="K33" s="24"/>
    </row>
    <row r="34" spans="1:11" ht="15" customHeight="1" x14ac:dyDescent="0.3">
      <c r="A34" s="28">
        <v>0.04</v>
      </c>
      <c r="B34" s="29">
        <v>0.84140098817357856</v>
      </c>
      <c r="C34" s="30">
        <v>0.21937345502736541</v>
      </c>
      <c r="D34" s="24">
        <f t="shared" si="4"/>
        <v>0.44140098817357853</v>
      </c>
      <c r="F34" s="24">
        <f t="shared" si="5"/>
        <v>0.04</v>
      </c>
      <c r="J34" s="24"/>
      <c r="K34" s="24"/>
    </row>
    <row r="35" spans="1:11" ht="15" customHeight="1" x14ac:dyDescent="0.3">
      <c r="A35" s="28">
        <v>0.05</v>
      </c>
      <c r="B35" s="29">
        <v>0.80995044719986264</v>
      </c>
      <c r="C35" s="30">
        <v>0.26107472664256853</v>
      </c>
      <c r="D35" s="24">
        <f t="shared" si="4"/>
        <v>0.40995044719986262</v>
      </c>
      <c r="F35" s="24">
        <f t="shared" si="5"/>
        <v>0.05</v>
      </c>
      <c r="J35" s="24"/>
      <c r="K35" s="24"/>
    </row>
    <row r="36" spans="1:11" ht="15" customHeight="1" x14ac:dyDescent="0.3">
      <c r="A36" s="28">
        <v>0.06</v>
      </c>
      <c r="B36" s="29">
        <v>0.78101525965315455</v>
      </c>
      <c r="C36" s="30">
        <v>0.29881110713728715</v>
      </c>
      <c r="D36" s="24">
        <f t="shared" si="4"/>
        <v>0.38101525965315453</v>
      </c>
      <c r="F36" s="24">
        <f t="shared" si="5"/>
        <v>0.06</v>
      </c>
      <c r="J36" s="24"/>
      <c r="K36" s="24"/>
    </row>
    <row r="37" spans="1:11" ht="15" customHeight="1" x14ac:dyDescent="0.3">
      <c r="A37" s="28">
        <v>7.0000000000000007E-2</v>
      </c>
      <c r="B37" s="29">
        <v>0.75431247955756053</v>
      </c>
      <c r="C37" s="30">
        <v>0.33305789025881521</v>
      </c>
      <c r="D37" s="24">
        <f t="shared" si="4"/>
        <v>0.35431247955756051</v>
      </c>
      <c r="F37" s="24">
        <f t="shared" si="5"/>
        <v>7.0000000000000007E-2</v>
      </c>
      <c r="J37" s="24"/>
      <c r="K37" s="24"/>
    </row>
    <row r="38" spans="1:11" ht="15" customHeight="1" x14ac:dyDescent="0.3">
      <c r="A38" s="28">
        <v>0.08</v>
      </c>
      <c r="B38" s="29">
        <v>0.72959967133015535</v>
      </c>
      <c r="C38" s="30">
        <v>0.36422082325420319</v>
      </c>
      <c r="D38" s="24">
        <f t="shared" si="4"/>
        <v>0.32959967133015533</v>
      </c>
      <c r="F38" s="24">
        <f t="shared" si="5"/>
        <v>0.08</v>
      </c>
      <c r="J38" s="24"/>
      <c r="K38" s="24"/>
    </row>
    <row r="39" spans="1:11" ht="15" customHeight="1" x14ac:dyDescent="0.3">
      <c r="A39" s="28">
        <v>0.09</v>
      </c>
      <c r="B39" s="29">
        <v>0.7066679289726443</v>
      </c>
      <c r="C39" s="30">
        <v>0.39264816896870791</v>
      </c>
      <c r="D39" s="24">
        <f t="shared" si="4"/>
        <v>0.30666792897264428</v>
      </c>
      <c r="F39" s="24">
        <f t="shared" si="5"/>
        <v>0.09</v>
      </c>
      <c r="J39" s="24"/>
      <c r="K39" s="24"/>
    </row>
    <row r="40" spans="1:11" ht="15" customHeight="1" x14ac:dyDescent="0.3">
      <c r="A40" s="28">
        <v>0.1</v>
      </c>
      <c r="B40" s="29">
        <v>0.68533628984063166</v>
      </c>
      <c r="C40" s="30">
        <v>0.41864035422401591</v>
      </c>
      <c r="D40" s="24">
        <f t="shared" si="4"/>
        <v>0.28533628984063164</v>
      </c>
      <c r="F40" s="24">
        <f t="shared" si="5"/>
        <v>0.1</v>
      </c>
      <c r="J40" s="24"/>
      <c r="K40" s="24"/>
    </row>
    <row r="41" spans="1:11" ht="15" customHeight="1" x14ac:dyDescent="0.3">
      <c r="A41" s="28">
        <v>0.11</v>
      </c>
      <c r="B41" s="29">
        <v>0.66544722847070559</v>
      </c>
      <c r="C41" s="30">
        <v>0.44245774905277546</v>
      </c>
      <c r="D41" s="24">
        <f t="shared" si="4"/>
        <v>0.26544722847070557</v>
      </c>
      <c r="F41" s="24">
        <f t="shared" si="5"/>
        <v>0.11</v>
      </c>
      <c r="J41" s="24"/>
      <c r="K41" s="24"/>
    </row>
    <row r="42" spans="1:11" ht="15" customHeight="1" x14ac:dyDescent="0.3">
      <c r="A42" s="28">
        <v>0.12</v>
      </c>
      <c r="B42" s="29">
        <v>0.64686299448063744</v>
      </c>
      <c r="C42" s="30">
        <v>0.46432698537526651</v>
      </c>
      <c r="D42" s="24">
        <f t="shared" si="4"/>
        <v>0.24686299448063742</v>
      </c>
      <c r="F42" s="24">
        <f t="shared" si="5"/>
        <v>0.12</v>
      </c>
      <c r="J42" s="24"/>
      <c r="K42" s="24"/>
    </row>
    <row r="43" spans="1:11" ht="15" customHeight="1" x14ac:dyDescent="0.3">
      <c r="A43" s="28">
        <v>0.13</v>
      </c>
      <c r="B43" s="29">
        <v>0.62946261569958595</v>
      </c>
      <c r="C43" s="30">
        <v>0.48444612475875548</v>
      </c>
      <c r="D43" s="24">
        <f t="shared" si="4"/>
        <v>0.22946261569958593</v>
      </c>
      <c r="F43" s="24">
        <f t="shared" si="5"/>
        <v>0.13</v>
      </c>
      <c r="J43" s="24"/>
      <c r="K43" s="24"/>
    </row>
    <row r="44" spans="1:11" ht="15" customHeight="1" x14ac:dyDescent="0.3">
      <c r="A44" s="28">
        <v>0.14000000000000001</v>
      </c>
      <c r="B44" s="29">
        <v>0.6131394297182754</v>
      </c>
      <c r="C44" s="30">
        <v>0.50298891211688024</v>
      </c>
      <c r="D44" s="24">
        <f t="shared" si="4"/>
        <v>0.21313942971827537</v>
      </c>
      <c r="F44" s="24">
        <f t="shared" si="5"/>
        <v>0.14000000000000001</v>
      </c>
      <c r="J44" s="24"/>
      <c r="K44" s="24"/>
    </row>
    <row r="45" spans="1:11" ht="15" customHeight="1" x14ac:dyDescent="0.3">
      <c r="A45" s="28">
        <v>0.15</v>
      </c>
      <c r="B45" s="29">
        <v>0.59779903828564174</v>
      </c>
      <c r="C45" s="30">
        <v>0.52010829811866577</v>
      </c>
      <c r="D45" s="24">
        <f t="shared" si="4"/>
        <v>0.19779903828564172</v>
      </c>
      <c r="F45" s="24">
        <f t="shared" si="5"/>
        <v>0.15</v>
      </c>
      <c r="J45" s="24"/>
      <c r="K45" s="24"/>
    </row>
    <row r="46" spans="1:11" ht="15" customHeight="1" x14ac:dyDescent="0.3">
      <c r="A46" s="28">
        <v>0.16</v>
      </c>
      <c r="B46" s="29">
        <v>0.58335760241424339</v>
      </c>
      <c r="C46" s="30">
        <v>0.53593937249685797</v>
      </c>
      <c r="D46" s="24">
        <f t="shared" si="4"/>
        <v>0.18335760241424337</v>
      </c>
      <c r="F46" s="24">
        <f t="shared" si="5"/>
        <v>0.16</v>
      </c>
      <c r="J46" s="24"/>
      <c r="K46" s="24"/>
    </row>
    <row r="47" spans="1:11" ht="15" customHeight="1" x14ac:dyDescent="0.3">
      <c r="A47" s="28">
        <v>0.17</v>
      </c>
      <c r="B47" s="29">
        <v>0.56974041379787388</v>
      </c>
      <c r="C47" s="30">
        <v>0.55060181972622135</v>
      </c>
      <c r="D47" s="24">
        <f t="shared" si="4"/>
        <v>0.16974041379787386</v>
      </c>
      <c r="F47" s="24">
        <f t="shared" si="5"/>
        <v>0.17</v>
      </c>
      <c r="J47" s="24"/>
      <c r="K47" s="24"/>
    </row>
    <row r="48" spans="1:11" ht="15" customHeight="1" x14ac:dyDescent="0.3">
      <c r="A48" s="28">
        <v>0.18</v>
      </c>
      <c r="B48" s="29">
        <v>0.55688069168838961</v>
      </c>
      <c r="C48" s="30">
        <v>0.56420198509193298</v>
      </c>
      <c r="D48" s="24">
        <f t="shared" si="4"/>
        <v>0.15688069168838958</v>
      </c>
      <c r="F48" s="24">
        <f t="shared" si="5"/>
        <v>0.18</v>
      </c>
      <c r="J48" s="24"/>
      <c r="K48" s="24"/>
    </row>
    <row r="49" spans="1:11" ht="15" customHeight="1" x14ac:dyDescent="0.3">
      <c r="A49" s="28">
        <v>0.19</v>
      </c>
      <c r="B49" s="29">
        <v>0.54471856479999958</v>
      </c>
      <c r="C49" s="30">
        <v>0.57683462112432093</v>
      </c>
      <c r="D49" s="24">
        <f t="shared" si="4"/>
        <v>0.14471856479999956</v>
      </c>
      <c r="F49" s="24">
        <f t="shared" si="5"/>
        <v>0.19</v>
      </c>
      <c r="J49" s="24"/>
      <c r="K49" s="24"/>
    </row>
    <row r="50" spans="1:11" ht="15" customHeight="1" x14ac:dyDescent="0.3">
      <c r="A50" s="28">
        <v>0.2</v>
      </c>
      <c r="B50" s="29">
        <v>0.53320020588797934</v>
      </c>
      <c r="C50" s="30">
        <v>0.5885843703885929</v>
      </c>
      <c r="D50" s="24">
        <f t="shared" si="4"/>
        <v>0.13320020588797932</v>
      </c>
      <c r="F50" s="24">
        <f t="shared" si="5"/>
        <v>0.2</v>
      </c>
      <c r="J50" s="24"/>
      <c r="K50" s="24"/>
    </row>
    <row r="51" spans="1:11" ht="15" customHeight="1" x14ac:dyDescent="0.3">
      <c r="A51" s="28">
        <v>0.21</v>
      </c>
      <c r="B51" s="29">
        <v>0.52227709295577129</v>
      </c>
      <c r="C51" s="30">
        <v>0.59952702969842908</v>
      </c>
      <c r="D51" s="24">
        <f t="shared" si="4"/>
        <v>0.12227709295577127</v>
      </c>
      <c r="F51" s="24">
        <f t="shared" si="5"/>
        <v>0.21</v>
      </c>
      <c r="J51" s="24"/>
      <c r="K51" s="24"/>
    </row>
    <row r="52" spans="1:11" ht="15" customHeight="1" x14ac:dyDescent="0.3">
      <c r="A52" s="28">
        <v>0.22</v>
      </c>
      <c r="B52" s="29">
        <v>0.51190537600119057</v>
      </c>
      <c r="C52" s="30">
        <v>0.60973063224063184</v>
      </c>
      <c r="D52" s="24">
        <f t="shared" si="4"/>
        <v>0.11190537600119055</v>
      </c>
      <c r="F52" s="24">
        <f t="shared" si="5"/>
        <v>0.22</v>
      </c>
      <c r="J52" s="24"/>
      <c r="K52" s="24"/>
    </row>
    <row r="53" spans="1:11" ht="15" customHeight="1" x14ac:dyDescent="0.3">
      <c r="A53" s="28">
        <v>0.23</v>
      </c>
      <c r="B53" s="29">
        <v>0.50204533213265934</v>
      </c>
      <c r="C53" s="30">
        <v>0.6192563773111408</v>
      </c>
      <c r="D53" s="24">
        <f t="shared" si="4"/>
        <v>0.10204533213265932</v>
      </c>
      <c r="F53" s="24">
        <f t="shared" si="5"/>
        <v>0.23</v>
      </c>
      <c r="J53" s="24"/>
      <c r="K53" s="24"/>
    </row>
    <row r="54" spans="1:11" ht="15" customHeight="1" x14ac:dyDescent="0.3">
      <c r="A54" s="28">
        <v>0.24</v>
      </c>
      <c r="B54" s="29">
        <v>0.4926608950054514</v>
      </c>
      <c r="C54" s="30">
        <v>0.62815943196308066</v>
      </c>
      <c r="D54" s="24">
        <f t="shared" si="4"/>
        <v>9.2660895005451382E-2</v>
      </c>
      <c r="F54" s="24">
        <f t="shared" si="5"/>
        <v>0.24</v>
      </c>
      <c r="J54" s="24"/>
      <c r="K54" s="24"/>
    </row>
    <row r="55" spans="1:11" ht="15" customHeight="1" x14ac:dyDescent="0.3">
      <c r="A55" s="28">
        <v>0.25</v>
      </c>
      <c r="B55" s="29">
        <v>0.48371924702369723</v>
      </c>
      <c r="C55" s="30">
        <v>0.63648962454709368</v>
      </c>
      <c r="D55" s="24">
        <f t="shared" si="4"/>
        <v>8.3719247023697207E-2</v>
      </c>
      <c r="F55" s="24">
        <f t="shared" si="5"/>
        <v>0.25</v>
      </c>
      <c r="J55" s="24"/>
      <c r="K55" s="24"/>
    </row>
    <row r="56" spans="1:11" ht="15" customHeight="1" x14ac:dyDescent="0.3">
      <c r="A56" s="28">
        <v>0.26</v>
      </c>
      <c r="B56" s="29">
        <v>0.47519046476178278</v>
      </c>
      <c r="C56" s="30">
        <v>0.64429204664858242</v>
      </c>
      <c r="D56" s="24">
        <f t="shared" si="4"/>
        <v>7.519046476178276E-2</v>
      </c>
      <c r="F56" s="24">
        <f t="shared" si="5"/>
        <v>0.26</v>
      </c>
      <c r="J56" s="24"/>
      <c r="K56" s="24"/>
    </row>
    <row r="57" spans="1:11" ht="15" customHeight="1" x14ac:dyDescent="0.3">
      <c r="A57" s="28">
        <v>0.27</v>
      </c>
      <c r="B57" s="29">
        <v>0.46704720968245955</v>
      </c>
      <c r="C57" s="30">
        <v>0.65160757711605088</v>
      </c>
      <c r="D57" s="24">
        <f t="shared" si="4"/>
        <v>6.704720968245953E-2</v>
      </c>
      <c r="F57" s="24">
        <f t="shared" si="5"/>
        <v>0.27</v>
      </c>
      <c r="J57" s="24"/>
      <c r="K57" s="24"/>
    </row>
    <row r="58" spans="1:11" ht="15" customHeight="1" x14ac:dyDescent="0.3">
      <c r="A58" s="28">
        <v>0.28000000000000003</v>
      </c>
      <c r="B58" s="29">
        <v>0.45926445754849993</v>
      </c>
      <c r="C58" s="30">
        <v>0.65847333959100185</v>
      </c>
      <c r="D58" s="24">
        <f t="shared" si="4"/>
        <v>5.9264457548499905E-2</v>
      </c>
      <c r="F58" s="24">
        <f t="shared" si="5"/>
        <v>0.28000000000000003</v>
      </c>
      <c r="J58" s="24"/>
      <c r="K58" s="24"/>
    </row>
    <row r="59" spans="1:11" ht="15" customHeight="1" x14ac:dyDescent="0.3">
      <c r="A59" s="28">
        <v>0.28999999999999998</v>
      </c>
      <c r="B59" s="29">
        <v>0.45181926100204461</v>
      </c>
      <c r="C59" s="30">
        <v>0.66492310308541891</v>
      </c>
      <c r="D59" s="24">
        <f t="shared" si="4"/>
        <v>5.1819261002044592E-2</v>
      </c>
      <c r="F59" s="24">
        <f t="shared" si="5"/>
        <v>0.28999999999999998</v>
      </c>
      <c r="J59" s="24"/>
      <c r="K59" s="24"/>
    </row>
    <row r="60" spans="1:11" ht="15" customHeight="1" x14ac:dyDescent="0.3">
      <c r="A60" s="28">
        <v>0.3</v>
      </c>
      <c r="B60" s="29">
        <v>0.44469054066934505</v>
      </c>
      <c r="C60" s="30">
        <v>0.67098763362390867</v>
      </c>
      <c r="D60" s="24">
        <f t="shared" si="4"/>
        <v>4.4690540669345025E-2</v>
      </c>
      <c r="F60" s="24">
        <f t="shared" si="5"/>
        <v>0.3</v>
      </c>
      <c r="J60" s="24"/>
      <c r="K60" s="24"/>
    </row>
    <row r="61" spans="1:11" ht="15" customHeight="1" x14ac:dyDescent="0.3">
      <c r="A61" s="28">
        <v>0.31</v>
      </c>
      <c r="B61" s="29">
        <v>0.43785890087636159</v>
      </c>
      <c r="C61" s="30">
        <v>0.67669500370839575</v>
      </c>
      <c r="D61" s="24">
        <f t="shared" si="4"/>
        <v>3.7858900876361568E-2</v>
      </c>
      <c r="F61" s="24">
        <f t="shared" si="5"/>
        <v>0.31</v>
      </c>
      <c r="J61" s="24"/>
      <c r="K61" s="24"/>
    </row>
    <row r="62" spans="1:11" ht="15" customHeight="1" x14ac:dyDescent="0.3">
      <c r="A62" s="28">
        <v>0.32</v>
      </c>
      <c r="B62" s="29">
        <v>0.43130646666254246</v>
      </c>
      <c r="C62" s="30">
        <v>0.68207086532196659</v>
      </c>
      <c r="D62" s="24">
        <f t="shared" si="4"/>
        <v>3.1306466662542443E-2</v>
      </c>
      <c r="F62" s="24">
        <f t="shared" si="5"/>
        <v>0.32</v>
      </c>
      <c r="J62" s="24"/>
      <c r="K62" s="24"/>
    </row>
    <row r="63" spans="1:11" ht="15" customHeight="1" x14ac:dyDescent="0.3">
      <c r="A63" s="28">
        <v>0.33</v>
      </c>
      <c r="B63" s="29">
        <v>0.42501673927986727</v>
      </c>
      <c r="C63" s="30">
        <v>0.68713869132399574</v>
      </c>
      <c r="D63" s="24">
        <f t="shared" si="4"/>
        <v>2.5016739279867251E-2</v>
      </c>
      <c r="F63" s="24">
        <f t="shared" si="5"/>
        <v>0.33</v>
      </c>
      <c r="J63" s="24"/>
      <c r="K63" s="24"/>
    </row>
    <row r="64" spans="1:11" ht="15" customHeight="1" x14ac:dyDescent="0.3">
      <c r="A64" s="28">
        <v>0.34</v>
      </c>
      <c r="B64" s="29">
        <v>0.41897446778074526</v>
      </c>
      <c r="C64" s="30">
        <v>0.69191998936830301</v>
      </c>
      <c r="D64" s="24">
        <f t="shared" si="4"/>
        <v>1.8974467780745241E-2</v>
      </c>
      <c r="F64" s="24">
        <f t="shared" si="5"/>
        <v>0.34</v>
      </c>
      <c r="J64" s="24"/>
      <c r="K64" s="24"/>
    </row>
    <row r="65" spans="1:11" ht="15" customHeight="1" x14ac:dyDescent="0.3">
      <c r="A65" s="28">
        <v>0.35</v>
      </c>
      <c r="B65" s="29">
        <v>0.41316553464675532</v>
      </c>
      <c r="C65" s="30">
        <v>0.69643449187361295</v>
      </c>
      <c r="D65" s="24">
        <f t="shared" si="4"/>
        <v>1.3165534646755295E-2</v>
      </c>
      <c r="F65" s="24">
        <f t="shared" si="5"/>
        <v>0.35</v>
      </c>
      <c r="J65" s="24"/>
      <c r="K65" s="24"/>
    </row>
    <row r="66" spans="1:11" ht="15" customHeight="1" x14ac:dyDescent="0.3">
      <c r="A66" s="28">
        <v>0.36</v>
      </c>
      <c r="B66" s="29">
        <v>0.40757685370266106</v>
      </c>
      <c r="C66" s="30">
        <v>0.70070032506996671</v>
      </c>
      <c r="D66" s="24">
        <f t="shared" si="4"/>
        <v>7.576853702661035E-3</v>
      </c>
      <c r="F66" s="24">
        <f t="shared" si="5"/>
        <v>0.36</v>
      </c>
      <c r="J66" s="24"/>
      <c r="K66" s="24"/>
    </row>
    <row r="67" spans="1:11" ht="15" customHeight="1" x14ac:dyDescent="0.3">
      <c r="A67" s="28">
        <v>0.37</v>
      </c>
      <c r="B67" s="29">
        <v>0.40219627880642972</v>
      </c>
      <c r="C67" s="30">
        <v>0.70473415971899789</v>
      </c>
      <c r="D67" s="24">
        <f t="shared" si="4"/>
        <v>2.1962788064296968E-3</v>
      </c>
      <c r="F67" s="24">
        <f t="shared" si="5"/>
        <v>0.37</v>
      </c>
      <c r="J67" s="24"/>
      <c r="K67" s="24"/>
    </row>
    <row r="68" spans="1:11" ht="15" customHeight="1" x14ac:dyDescent="0.3">
      <c r="A68" s="28">
        <v>0.38</v>
      </c>
      <c r="B68" s="29">
        <v>0.39701252201407877</v>
      </c>
      <c r="C68" s="30">
        <v>0.70855134574633194</v>
      </c>
      <c r="D68" s="24">
        <f t="shared" si="4"/>
        <v>2.9874779859212497E-3</v>
      </c>
      <c r="F68" s="24">
        <f t="shared" si="5"/>
        <v>0.38</v>
      </c>
      <c r="J68" s="24"/>
      <c r="K68" s="24"/>
    </row>
    <row r="69" spans="1:11" ht="15" customHeight="1" x14ac:dyDescent="0.3">
      <c r="A69" s="28">
        <v>0.39</v>
      </c>
      <c r="B69" s="29">
        <v>0.3920150800945556</v>
      </c>
      <c r="C69" s="30">
        <v>0.71216603271964074</v>
      </c>
      <c r="D69" s="24">
        <f t="shared" si="4"/>
        <v>7.9849199054444209E-3</v>
      </c>
      <c r="F69" s="24">
        <f t="shared" si="5"/>
        <v>0.39</v>
      </c>
      <c r="J69" s="24"/>
      <c r="K69" s="24"/>
    </row>
    <row r="70" spans="1:11" ht="15" customHeight="1" x14ac:dyDescent="0.3">
      <c r="A70" s="28">
        <v>0.4</v>
      </c>
      <c r="B70" s="29">
        <v>0.38719416841978377</v>
      </c>
      <c r="C70" s="30">
        <v>0.71559127784690002</v>
      </c>
      <c r="D70" s="24">
        <f t="shared" si="4"/>
        <v>1.2805831580216254E-2</v>
      </c>
      <c r="F70" s="24">
        <f t="shared" si="5"/>
        <v>0.4</v>
      </c>
      <c r="J70" s="24"/>
      <c r="K70" s="24"/>
    </row>
    <row r="71" spans="1:11" ht="15" customHeight="1" x14ac:dyDescent="0.3">
      <c r="A71" s="28">
        <v>0.41</v>
      </c>
      <c r="B71" s="29">
        <v>0.3825406613828321</v>
      </c>
      <c r="C71" s="30">
        <v>0.71883914294866724</v>
      </c>
      <c r="D71" s="24">
        <f t="shared" si="4"/>
        <v>1.7459338617167919E-2</v>
      </c>
      <c r="F71" s="24">
        <f t="shared" si="5"/>
        <v>0.41</v>
      </c>
      <c r="J71" s="24"/>
      <c r="K71" s="24"/>
    </row>
    <row r="72" spans="1:11" ht="15" customHeight="1" x14ac:dyDescent="0.3">
      <c r="A72" s="28">
        <v>0.42</v>
      </c>
      <c r="B72" s="29">
        <v>0.37804603860644587</v>
      </c>
      <c r="C72" s="30">
        <v>0.72192078166957041</v>
      </c>
      <c r="D72" s="24">
        <f t="shared" si="4"/>
        <v>2.1953961393554156E-2</v>
      </c>
      <c r="F72" s="24">
        <f t="shared" si="5"/>
        <v>0.42</v>
      </c>
      <c r="J72" s="24"/>
      <c r="K72" s="24"/>
    </row>
    <row r="73" spans="1:11" ht="15" customHeight="1" x14ac:dyDescent="0.3">
      <c r="A73" s="28">
        <v>0.43</v>
      </c>
      <c r="B73" s="29">
        <v>0.37370233629784722</v>
      </c>
      <c r="C73" s="30">
        <v>0.72484651803252975</v>
      </c>
      <c r="D73" s="24">
        <f t="shared" si="4"/>
        <v>2.6297663702152807E-2</v>
      </c>
      <c r="F73" s="24">
        <f t="shared" si="5"/>
        <v>0.43</v>
      </c>
      <c r="J73" s="24"/>
      <c r="K73" s="24"/>
    </row>
    <row r="74" spans="1:11" ht="15" customHeight="1" x14ac:dyDescent="0.3">
      <c r="A74" s="28">
        <v>0.44</v>
      </c>
      <c r="B74" s="29">
        <v>0.36950210318622317</v>
      </c>
      <c r="C74" s="30">
        <v>0.72762591730038206</v>
      </c>
      <c r="D74" s="24">
        <f t="shared" si="4"/>
        <v>3.0497896813776848E-2</v>
      </c>
      <c r="F74" s="24">
        <f t="shared" si="5"/>
        <v>0.44</v>
      </c>
      <c r="J74" s="24"/>
      <c r="K74" s="24"/>
    </row>
    <row r="75" spans="1:11" ht="15" customHeight="1" x14ac:dyDescent="0.3">
      <c r="A75" s="28">
        <v>0.45</v>
      </c>
      <c r="B75" s="29">
        <v>0.36543836054868317</v>
      </c>
      <c r="C75" s="30">
        <v>0.73026784998995797</v>
      </c>
      <c r="D75" s="24">
        <f t="shared" si="4"/>
        <v>3.456163945131685E-2</v>
      </c>
      <c r="F75" s="24">
        <f t="shared" si="5"/>
        <v>0.45</v>
      </c>
      <c r="J75" s="24"/>
      <c r="K75" s="24"/>
    </row>
    <row r="76" spans="1:11" ht="15" customHeight="1" x14ac:dyDescent="0.3">
      <c r="A76" s="28">
        <v>0.46</v>
      </c>
      <c r="B76" s="29">
        <v>0.36150456589037933</v>
      </c>
      <c r="C76" s="30">
        <v>0.73278054978041451</v>
      </c>
      <c r="D76" s="24">
        <f t="shared" si="4"/>
        <v>3.8495434109620696E-2</v>
      </c>
      <c r="F76" s="24">
        <f t="shared" si="5"/>
        <v>0.46</v>
      </c>
      <c r="J76" s="24"/>
      <c r="K76" s="24"/>
    </row>
    <row r="77" spans="1:11" ht="15" customHeight="1" x14ac:dyDescent="0.3">
      <c r="A77" s="28">
        <v>0.47</v>
      </c>
      <c r="B77" s="29">
        <v>0.35769457989634645</v>
      </c>
      <c r="C77" s="30">
        <v>0.73517166596827765</v>
      </c>
      <c r="D77" s="24">
        <f t="shared" si="4"/>
        <v>4.2305420103653568E-2</v>
      </c>
      <c r="F77" s="24">
        <f t="shared" si="5"/>
        <v>0.47</v>
      </c>
      <c r="J77" s="24"/>
      <c r="K77" s="24"/>
    </row>
    <row r="78" spans="1:11" ht="15" customHeight="1" x14ac:dyDescent="0.3">
      <c r="A78" s="28">
        <v>0.48</v>
      </c>
      <c r="B78" s="29">
        <v>0.35400263631762141</v>
      </c>
      <c r="C78" s="30">
        <v>0.73744831104416164</v>
      </c>
      <c r="D78" s="24">
        <f t="shared" si="4"/>
        <v>4.5997363682378611E-2</v>
      </c>
      <c r="F78" s="24">
        <f t="shared" si="5"/>
        <v>0.48</v>
      </c>
      <c r="J78" s="24"/>
      <c r="K78" s="24"/>
    </row>
    <row r="79" spans="1:11" ht="15" customHeight="1" x14ac:dyDescent="0.3">
      <c r="A79" s="28">
        <v>0.49</v>
      </c>
      <c r="B79" s="29">
        <v>0.35042331449334041</v>
      </c>
      <c r="C79" s="30">
        <v>0.73961710389878788</v>
      </c>
      <c r="D79" s="24">
        <f t="shared" si="4"/>
        <v>4.9576685506659612E-2</v>
      </c>
      <c r="F79" s="24">
        <f t="shared" si="5"/>
        <v>0.49</v>
      </c>
      <c r="J79" s="24"/>
      <c r="K79" s="24"/>
    </row>
    <row r="80" spans="1:11" ht="15" customHeight="1" x14ac:dyDescent="0.3">
      <c r="A80" s="28">
        <v>0.5</v>
      </c>
      <c r="B80" s="29">
        <v>0.34695151424461262</v>
      </c>
      <c r="C80" s="30">
        <v>0.7416842091072724</v>
      </c>
      <c r="D80" s="24">
        <f t="shared" si="4"/>
        <v>5.3048485755387398E-2</v>
      </c>
      <c r="F80" s="24">
        <f t="shared" si="5"/>
        <v>0.5</v>
      </c>
      <c r="J80" s="24"/>
      <c r="K80" s="24"/>
    </row>
    <row r="81" spans="1:11" ht="15" customHeight="1" x14ac:dyDescent="0.3">
      <c r="A81" s="28">
        <v>0.51</v>
      </c>
      <c r="B81" s="29">
        <v>0.34358243290575535</v>
      </c>
      <c r="C81" s="30">
        <v>0.74365537268946535</v>
      </c>
      <c r="D81" s="24">
        <f t="shared" si="4"/>
        <v>5.6417567094244669E-2</v>
      </c>
      <c r="F81" s="24">
        <f t="shared" si="5"/>
        <v>0.51</v>
      </c>
      <c r="J81" s="24"/>
      <c r="K81" s="24"/>
    </row>
    <row r="82" spans="1:11" ht="15" customHeight="1" x14ac:dyDescent="0.3">
      <c r="A82" s="28">
        <v>0.52</v>
      </c>
      <c r="B82" s="29">
        <v>0.34031154428453309</v>
      </c>
      <c r="C82" s="30">
        <v>0.74553595469935863</v>
      </c>
      <c r="D82" s="24">
        <f t="shared" si="4"/>
        <v>5.9688455715466937E-2</v>
      </c>
      <c r="F82" s="24">
        <f t="shared" si="5"/>
        <v>0.52</v>
      </c>
      <c r="J82" s="24"/>
      <c r="K82" s="24"/>
    </row>
    <row r="83" spans="1:11" ht="15" customHeight="1" x14ac:dyDescent="0.3">
      <c r="A83" s="28">
        <v>0.53</v>
      </c>
      <c r="B83" s="29">
        <v>0.33713457936589597</v>
      </c>
      <c r="C83" s="30">
        <v>0.74733095895737112</v>
      </c>
      <c r="D83" s="24">
        <f t="shared" si="4"/>
        <v>6.2865420634104052E-2</v>
      </c>
      <c r="F83" s="24">
        <f t="shared" si="5"/>
        <v>0.53</v>
      </c>
      <c r="J83" s="24"/>
      <c r="K83" s="24"/>
    </row>
    <row r="84" spans="1:11" ht="15" customHeight="1" x14ac:dyDescent="0.3">
      <c r="A84" s="28">
        <v>0.54</v>
      </c>
      <c r="B84" s="29">
        <v>0.3340475085937758</v>
      </c>
      <c r="C84" s="30">
        <v>0.74904506020489758</v>
      </c>
      <c r="D84" s="24">
        <f t="shared" si="4"/>
        <v>6.5952491406224223E-2</v>
      </c>
      <c r="F84" s="24">
        <f t="shared" si="5"/>
        <v>0.54</v>
      </c>
      <c r="J84" s="24"/>
      <c r="K84" s="24"/>
    </row>
    <row r="85" spans="1:11" ht="15" customHeight="1" x14ac:dyDescent="0.3">
      <c r="A85" s="28">
        <v>0.55000000000000004</v>
      </c>
      <c r="B85" s="29">
        <v>0.33104652558316783</v>
      </c>
      <c r="C85" s="30">
        <v>0.75068262893023951</v>
      </c>
      <c r="D85" s="24">
        <f t="shared" si="4"/>
        <v>6.8953474416832194E-2</v>
      </c>
      <c r="F85" s="24">
        <f t="shared" si="5"/>
        <v>0.55000000000000004</v>
      </c>
      <c r="J85" s="24"/>
      <c r="K85" s="24"/>
    </row>
    <row r="86" spans="1:11" ht="15" customHeight="1" x14ac:dyDescent="0.3">
      <c r="A86" s="28">
        <v>0.56000000000000005</v>
      </c>
      <c r="B86" s="29">
        <v>0.32812803213029046</v>
      </c>
      <c r="C86" s="30">
        <v>0.75224775408838829</v>
      </c>
      <c r="D86" s="24">
        <f t="shared" si="4"/>
        <v>7.1871967869709563E-2</v>
      </c>
      <c r="F86" s="24">
        <f t="shared" si="5"/>
        <v>0.56000000000000005</v>
      </c>
      <c r="J86" s="24"/>
      <c r="K86" s="24"/>
    </row>
    <row r="87" spans="1:11" ht="15" customHeight="1" x14ac:dyDescent="0.3">
      <c r="A87" s="28">
        <v>0.56999999999999995</v>
      </c>
      <c r="B87" s="29">
        <v>0.32528862440236567</v>
      </c>
      <c r="C87" s="30">
        <v>0.75374426391359517</v>
      </c>
      <c r="D87" s="24">
        <f t="shared" si="4"/>
        <v>7.4711375597634355E-2</v>
      </c>
      <c r="F87" s="24">
        <f t="shared" si="5"/>
        <v>0.56999999999999995</v>
      </c>
      <c r="J87" s="24"/>
      <c r="K87" s="24"/>
    </row>
    <row r="88" spans="1:11" ht="15" customHeight="1" x14ac:dyDescent="0.3">
      <c r="A88" s="28">
        <v>0.57999999999999996</v>
      </c>
      <c r="B88" s="29">
        <v>0.32252508020073262</v>
      </c>
      <c r="C88" s="30">
        <v>0.75517574500289719</v>
      </c>
      <c r="D88" s="24">
        <f t="shared" si="4"/>
        <v>7.7474919799267405E-2</v>
      </c>
      <c r="F88" s="24">
        <f t="shared" si="5"/>
        <v>0.57999999999999996</v>
      </c>
      <c r="J88" s="24"/>
      <c r="K88" s="24"/>
    </row>
    <row r="89" spans="1:11" ht="15" customHeight="1" x14ac:dyDescent="0.3">
      <c r="A89" s="28">
        <v>0.59</v>
      </c>
      <c r="B89" s="29">
        <v>0.31983434720177595</v>
      </c>
      <c r="C89" s="30">
        <v>0.75654555983034633</v>
      </c>
      <c r="D89" s="24">
        <f t="shared" si="4"/>
        <v>8.0165652798224074E-2</v>
      </c>
      <c r="F89" s="24">
        <f t="shared" si="5"/>
        <v>0.59</v>
      </c>
      <c r="J89" s="24"/>
      <c r="K89" s="24"/>
    </row>
    <row r="90" spans="1:11" ht="15" customHeight="1" x14ac:dyDescent="0.3">
      <c r="A90" s="28">
        <v>0.6</v>
      </c>
      <c r="B90" s="29">
        <v>0.31721353208972275</v>
      </c>
      <c r="C90" s="30">
        <v>0.75785686283539866</v>
      </c>
      <c r="D90" s="24">
        <f t="shared" si="4"/>
        <v>8.2786467910277273E-2</v>
      </c>
      <c r="F90" s="24">
        <f t="shared" si="5"/>
        <v>0.6</v>
      </c>
      <c r="J90" s="24"/>
      <c r="K90" s="24"/>
    </row>
    <row r="91" spans="1:11" ht="15" customHeight="1" x14ac:dyDescent="0.3">
      <c r="A91" s="28">
        <v>0.61</v>
      </c>
      <c r="B91" s="29">
        <v>0.31465989050385901</v>
      </c>
      <c r="C91" s="30">
        <v>0.75911261521442286</v>
      </c>
      <c r="D91" s="24">
        <f t="shared" si="4"/>
        <v>8.5340109496141014E-2</v>
      </c>
      <c r="F91" s="24">
        <f t="shared" si="5"/>
        <v>0.61</v>
      </c>
      <c r="J91" s="24"/>
      <c r="K91" s="24"/>
    </row>
    <row r="92" spans="1:11" ht="15" customHeight="1" x14ac:dyDescent="0.3">
      <c r="A92" s="28">
        <v>0.62</v>
      </c>
      <c r="B92" s="29">
        <v>0.31217081773028965</v>
      </c>
      <c r="C92" s="30">
        <v>0.76031559853142527</v>
      </c>
      <c r="D92" s="24">
        <f t="shared" si="4"/>
        <v>8.7829182269710371E-2</v>
      </c>
      <c r="F92" s="24">
        <f t="shared" si="5"/>
        <v>0.62</v>
      </c>
      <c r="J92" s="24"/>
      <c r="K92" s="24"/>
    </row>
    <row r="93" spans="1:11" ht="15" customHeight="1" x14ac:dyDescent="0.3">
      <c r="A93" s="28">
        <v>0.63</v>
      </c>
      <c r="B93" s="29">
        <v>0.30974384007510952</v>
      </c>
      <c r="C93" s="30">
        <v>0.76146842725260622</v>
      </c>
      <c r="D93" s="24">
        <f t="shared" si="4"/>
        <v>9.02561599248905E-2</v>
      </c>
      <c r="F93" s="24">
        <f t="shared" si="5"/>
        <v>0.63</v>
      </c>
      <c r="J93" s="24"/>
      <c r="K93" s="24"/>
    </row>
    <row r="94" spans="1:11" ht="15" customHeight="1" x14ac:dyDescent="0.3">
      <c r="A94" s="28">
        <v>0.64</v>
      </c>
      <c r="B94" s="29">
        <v>0.30737660686187879</v>
      </c>
      <c r="C94" s="30">
        <v>0.76257356029915857</v>
      </c>
      <c r="D94" s="24">
        <f t="shared" ref="D94:D157" si="6">ABS(B94-$B$21/100)</f>
        <v>9.2623393138121235E-2</v>
      </c>
      <c r="F94" s="24">
        <f t="shared" ref="F94:F157" si="7">A94</f>
        <v>0.64</v>
      </c>
      <c r="J94" s="24"/>
      <c r="K94" s="24"/>
    </row>
    <row r="95" spans="1:11" ht="15" customHeight="1" x14ac:dyDescent="0.3">
      <c r="A95" s="28">
        <v>0.65</v>
      </c>
      <c r="B95" s="29">
        <v>0.30506688300168544</v>
      </c>
      <c r="C95" s="30">
        <v>0.76363331170357773</v>
      </c>
      <c r="D95" s="24">
        <f t="shared" si="6"/>
        <v>9.4933116998314582E-2</v>
      </c>
      <c r="F95" s="24">
        <f t="shared" si="7"/>
        <v>0.65</v>
      </c>
      <c r="J95" s="24"/>
      <c r="K95" s="24"/>
    </row>
    <row r="96" spans="1:11" ht="15" customHeight="1" x14ac:dyDescent="0.3">
      <c r="A96" s="28">
        <v>0.66</v>
      </c>
      <c r="B96" s="29">
        <v>0.3028125420888938</v>
      </c>
      <c r="C96" s="30">
        <v>0.76464986044659855</v>
      </c>
      <c r="D96" s="24">
        <f t="shared" si="6"/>
        <v>9.7187457911106223E-2</v>
      </c>
      <c r="F96" s="24">
        <f t="shared" si="7"/>
        <v>0.66</v>
      </c>
      <c r="J96" s="24"/>
      <c r="K96" s="24"/>
    </row>
    <row r="97" spans="1:11" ht="15" customHeight="1" x14ac:dyDescent="0.3">
      <c r="A97" s="28">
        <v>0.67</v>
      </c>
      <c r="B97" s="29">
        <v>0.30061155998000555</v>
      </c>
      <c r="C97" s="30">
        <v>0.76562525954456917</v>
      </c>
      <c r="D97" s="24">
        <f t="shared" si="6"/>
        <v>9.9388440019994473E-2</v>
      </c>
      <c r="F97" s="24">
        <f t="shared" si="7"/>
        <v>0.67</v>
      </c>
      <c r="J97" s="24"/>
      <c r="K97" s="24"/>
    </row>
    <row r="98" spans="1:11" ht="15" customHeight="1" x14ac:dyDescent="0.3">
      <c r="A98" s="28">
        <v>0.68</v>
      </c>
      <c r="B98" s="29">
        <v>0.29846200881694074</v>
      </c>
      <c r="C98" s="30">
        <v>0.76656144445053254</v>
      </c>
      <c r="D98" s="24">
        <f t="shared" si="6"/>
        <v>0.10153799118305928</v>
      </c>
      <c r="F98" s="24">
        <f t="shared" si="7"/>
        <v>0.68</v>
      </c>
      <c r="J98" s="24"/>
      <c r="K98" s="24"/>
    </row>
    <row r="99" spans="1:11" ht="15" customHeight="1" x14ac:dyDescent="0.3">
      <c r="A99" s="28">
        <v>0.69</v>
      </c>
      <c r="B99" s="29">
        <v>0.29636205145952904</v>
      </c>
      <c r="C99" s="30">
        <v>0.76746024082639364</v>
      </c>
      <c r="D99" s="24">
        <f t="shared" si="6"/>
        <v>0.10363794854047098</v>
      </c>
      <c r="F99" s="24">
        <f t="shared" si="7"/>
        <v>0.69</v>
      </c>
      <c r="J99" s="24"/>
      <c r="K99" s="24"/>
    </row>
    <row r="100" spans="1:11" ht="15" customHeight="1" x14ac:dyDescent="0.3">
      <c r="A100" s="28">
        <v>0.7</v>
      </c>
      <c r="B100" s="29">
        <v>0.29430993629514718</v>
      </c>
      <c r="C100" s="30">
        <v>0.76832337173830079</v>
      </c>
      <c r="D100" s="24">
        <f t="shared" si="6"/>
        <v>0.10569006370485284</v>
      </c>
      <c r="F100" s="24">
        <f t="shared" si="7"/>
        <v>0.7</v>
      </c>
      <c r="J100" s="24"/>
      <c r="K100" s="24"/>
    </row>
    <row r="101" spans="1:11" ht="15" customHeight="1" x14ac:dyDescent="0.3">
      <c r="A101" s="28">
        <v>0.71</v>
      </c>
      <c r="B101" s="29">
        <v>0.29230399239626115</v>
      </c>
      <c r="C101" s="30">
        <v>0.76915246432259821</v>
      </c>
      <c r="D101" s="24">
        <f t="shared" si="6"/>
        <v>0.10769600760373887</v>
      </c>
      <c r="F101" s="24">
        <f t="shared" si="7"/>
        <v>0.71</v>
      </c>
      <c r="J101" s="24"/>
      <c r="K101" s="24"/>
    </row>
    <row r="102" spans="1:11" ht="15" customHeight="1" x14ac:dyDescent="0.3">
      <c r="A102" s="28">
        <v>0.72</v>
      </c>
      <c r="B102" s="29">
        <v>0.29034262499918539</v>
      </c>
      <c r="C102" s="30">
        <v>0.76994905596544971</v>
      </c>
      <c r="D102" s="24">
        <f t="shared" si="6"/>
        <v>0.10965737500081463</v>
      </c>
      <c r="F102" s="24">
        <f t="shared" si="7"/>
        <v>0.72</v>
      </c>
      <c r="J102" s="24"/>
      <c r="K102" s="24"/>
    </row>
    <row r="103" spans="1:11" ht="15" customHeight="1" x14ac:dyDescent="0.3">
      <c r="A103" s="28">
        <v>0.73</v>
      </c>
      <c r="B103" s="29">
        <v>0.28842431127967433</v>
      </c>
      <c r="C103" s="30">
        <v>0.77071460003537207</v>
      </c>
      <c r="D103" s="24">
        <f t="shared" si="6"/>
        <v>0.11157568872032569</v>
      </c>
      <c r="F103" s="24">
        <f t="shared" si="7"/>
        <v>0.73</v>
      </c>
      <c r="J103" s="24"/>
      <c r="K103" s="24"/>
    </row>
    <row r="104" spans="1:11" ht="15" customHeight="1" x14ac:dyDescent="0.3">
      <c r="A104" s="28">
        <v>0.74</v>
      </c>
      <c r="B104" s="29">
        <v>0.28654759640304611</v>
      </c>
      <c r="C104" s="30">
        <v>0.77145047120445109</v>
      </c>
      <c r="D104" s="24">
        <f t="shared" si="6"/>
        <v>0.11345240359695391</v>
      </c>
      <c r="F104" s="24">
        <f t="shared" si="7"/>
        <v>0.74</v>
      </c>
      <c r="J104" s="24"/>
      <c r="K104" s="24"/>
    </row>
    <row r="105" spans="1:11" ht="15" customHeight="1" x14ac:dyDescent="0.3">
      <c r="A105" s="28">
        <v>0.75</v>
      </c>
      <c r="B105" s="29">
        <v>0.28471108982842003</v>
      </c>
      <c r="C105" s="30">
        <v>0.77215797039086076</v>
      </c>
      <c r="D105" s="24">
        <f t="shared" si="6"/>
        <v>0.11528891017157999</v>
      </c>
      <c r="F105" s="24">
        <f t="shared" si="7"/>
        <v>0.75</v>
      </c>
      <c r="J105" s="24"/>
      <c r="K105" s="24"/>
    </row>
    <row r="106" spans="1:11" ht="15" customHeight="1" x14ac:dyDescent="0.3">
      <c r="A106" s="28">
        <v>0.76</v>
      </c>
      <c r="B106" s="29">
        <v>0.28291346184836469</v>
      </c>
      <c r="C106" s="30">
        <v>0.77283832935248276</v>
      </c>
      <c r="D106" s="24">
        <f t="shared" si="6"/>
        <v>0.11708653815163533</v>
      </c>
      <c r="F106" s="24">
        <f t="shared" si="7"/>
        <v>0.76</v>
      </c>
      <c r="J106" s="24"/>
      <c r="K106" s="24"/>
    </row>
    <row r="107" spans="1:11" ht="15" customHeight="1" x14ac:dyDescent="0.3">
      <c r="A107" s="28">
        <v>0.77</v>
      </c>
      <c r="B107" s="29">
        <v>0.28115344034679329</v>
      </c>
      <c r="C107" s="30">
        <v>0.7734927149588372</v>
      </c>
      <c r="D107" s="24">
        <f t="shared" si="6"/>
        <v>0.11884655965320673</v>
      </c>
      <c r="F107" s="24">
        <f t="shared" si="7"/>
        <v>0.77</v>
      </c>
      <c r="J107" s="24"/>
      <c r="K107" s="24"/>
    </row>
    <row r="108" spans="1:11" ht="15" customHeight="1" x14ac:dyDescent="0.3">
      <c r="A108" s="28">
        <v>0.78</v>
      </c>
      <c r="B108" s="29">
        <v>0.27942980775936105</v>
      </c>
      <c r="C108" s="30">
        <v>0.77412223316622819</v>
      </c>
      <c r="D108" s="24">
        <f t="shared" si="6"/>
        <v>0.12057019224063897</v>
      </c>
      <c r="F108" s="24">
        <f t="shared" si="7"/>
        <v>0.78</v>
      </c>
      <c r="J108" s="24"/>
      <c r="K108" s="24"/>
    </row>
    <row r="109" spans="1:11" ht="15" customHeight="1" x14ac:dyDescent="0.3">
      <c r="A109" s="28">
        <v>0.79</v>
      </c>
      <c r="B109" s="29">
        <v>0.27774139822188915</v>
      </c>
      <c r="C109" s="30">
        <v>0.77472793271887741</v>
      </c>
      <c r="D109" s="24">
        <f t="shared" si="6"/>
        <v>0.12225860177811088</v>
      </c>
      <c r="F109" s="24">
        <f t="shared" si="7"/>
        <v>0.79</v>
      </c>
      <c r="J109" s="24"/>
      <c r="K109" s="24"/>
    </row>
    <row r="110" spans="1:11" ht="15" customHeight="1" x14ac:dyDescent="0.3">
      <c r="A110" s="28">
        <v>0.8</v>
      </c>
      <c r="B110" s="29">
        <v>0.27608709489350897</v>
      </c>
      <c r="C110" s="30">
        <v>0.77531080859692181</v>
      </c>
      <c r="D110" s="24">
        <f t="shared" si="6"/>
        <v>0.12391290510649106</v>
      </c>
      <c r="F110" s="24">
        <f t="shared" si="7"/>
        <v>0.8</v>
      </c>
      <c r="J110" s="24"/>
      <c r="K110" s="24"/>
    </row>
    <row r="111" spans="1:11" ht="15" customHeight="1" x14ac:dyDescent="0.3">
      <c r="A111" s="28">
        <v>0.81</v>
      </c>
      <c r="B111" s="29">
        <v>0.27446582744227782</v>
      </c>
      <c r="C111" s="30">
        <v>0.77587180523039656</v>
      </c>
      <c r="D111" s="24">
        <f t="shared" si="6"/>
        <v>0.1255341725577222</v>
      </c>
      <c r="F111" s="24">
        <f t="shared" si="7"/>
        <v>0.81</v>
      </c>
      <c r="J111" s="24"/>
      <c r="K111" s="24"/>
    </row>
    <row r="112" spans="1:11" ht="15" customHeight="1" x14ac:dyDescent="0.3">
      <c r="A112" s="28">
        <v>0.82</v>
      </c>
      <c r="B112" s="29">
        <v>0.2728765696819842</v>
      </c>
      <c r="C112" s="30">
        <v>0.77641181949675209</v>
      </c>
      <c r="D112" s="24">
        <f t="shared" si="6"/>
        <v>0.12712343031801582</v>
      </c>
      <c r="F112" s="24">
        <f t="shared" si="7"/>
        <v>0.82</v>
      </c>
      <c r="J112" s="24"/>
      <c r="K112" s="24"/>
    </row>
    <row r="113" spans="1:11" ht="15" customHeight="1" x14ac:dyDescent="0.3">
      <c r="A113" s="28">
        <v>0.83</v>
      </c>
      <c r="B113" s="29">
        <v>0.27131833734974026</v>
      </c>
      <c r="C113" s="30">
        <v>0.77693170351801288</v>
      </c>
      <c r="D113" s="24">
        <f t="shared" si="6"/>
        <v>0.12868166265025976</v>
      </c>
      <c r="F113" s="24">
        <f t="shared" si="7"/>
        <v>0.83</v>
      </c>
      <c r="J113" s="24"/>
      <c r="K113" s="24"/>
    </row>
    <row r="114" spans="1:11" ht="15" customHeight="1" x14ac:dyDescent="0.3">
      <c r="A114" s="28">
        <v>0.84</v>
      </c>
      <c r="B114" s="29">
        <v>0.26979018601476712</v>
      </c>
      <c r="C114" s="30">
        <v>0.7774322672723738</v>
      </c>
      <c r="D114" s="24">
        <f t="shared" si="6"/>
        <v>0.1302098139852329</v>
      </c>
      <c r="F114" s="24">
        <f t="shared" si="7"/>
        <v>0.84</v>
      </c>
      <c r="J114" s="24"/>
      <c r="K114" s="24"/>
    </row>
    <row r="115" spans="1:11" ht="15" customHeight="1" x14ac:dyDescent="0.3">
      <c r="A115" s="28">
        <v>0.85</v>
      </c>
      <c r="B115" s="29">
        <v>0.26829120910951293</v>
      </c>
      <c r="C115" s="30">
        <v>0.77791428103382987</v>
      </c>
      <c r="D115" s="24">
        <f t="shared" si="6"/>
        <v>0.13170879089048709</v>
      </c>
      <c r="F115" s="24">
        <f t="shared" si="7"/>
        <v>0.85</v>
      </c>
      <c r="J115" s="24"/>
      <c r="K115" s="24"/>
    </row>
    <row r="116" spans="1:11" ht="15" customHeight="1" x14ac:dyDescent="0.3">
      <c r="A116" s="28">
        <v>0.86</v>
      </c>
      <c r="B116" s="29">
        <v>0.26682053607491374</v>
      </c>
      <c r="C116" s="30">
        <v>0.77837847765236123</v>
      </c>
      <c r="D116" s="24">
        <f t="shared" si="6"/>
        <v>0.13317946392508628</v>
      </c>
      <c r="F116" s="24">
        <f t="shared" si="7"/>
        <v>0.86</v>
      </c>
      <c r="J116" s="24"/>
      <c r="K116" s="24"/>
    </row>
    <row r="117" spans="1:11" ht="15" customHeight="1" x14ac:dyDescent="0.3">
      <c r="A117" s="28">
        <v>0.87</v>
      </c>
      <c r="B117" s="29">
        <v>0.26537733061222968</v>
      </c>
      <c r="C117" s="30">
        <v>0.77882555468617642</v>
      </c>
      <c r="D117" s="24">
        <f t="shared" si="6"/>
        <v>0.13462266938777034</v>
      </c>
      <c r="F117" s="24">
        <f t="shared" si="7"/>
        <v>0.87</v>
      </c>
      <c r="J117" s="24"/>
      <c r="K117" s="24"/>
    </row>
    <row r="118" spans="1:11" ht="15" customHeight="1" x14ac:dyDescent="0.3">
      <c r="A118" s="28">
        <v>0.88</v>
      </c>
      <c r="B118" s="29">
        <v>0.26396078903444975</v>
      </c>
      <c r="C118" s="30">
        <v>0.77925617639663602</v>
      </c>
      <c r="D118" s="24">
        <f t="shared" si="6"/>
        <v>0.13603921096555027</v>
      </c>
      <c r="F118" s="24">
        <f t="shared" si="7"/>
        <v>0.88</v>
      </c>
      <c r="J118" s="24"/>
      <c r="K118" s="24"/>
    </row>
    <row r="119" spans="1:11" ht="15" customHeight="1" x14ac:dyDescent="0.3">
      <c r="A119" s="28">
        <v>0.89</v>
      </c>
      <c r="B119" s="29">
        <v>0.2625701387107745</v>
      </c>
      <c r="C119" s="30">
        <v>0.77967097561561727</v>
      </c>
      <c r="D119" s="24">
        <f t="shared" si="6"/>
        <v>0.13742986128922552</v>
      </c>
      <c r="F119" s="24">
        <f t="shared" si="7"/>
        <v>0.89</v>
      </c>
      <c r="J119" s="24"/>
      <c r="K119" s="24"/>
    </row>
    <row r="120" spans="1:11" ht="15" customHeight="1" x14ac:dyDescent="0.3">
      <c r="A120" s="28">
        <v>0.9</v>
      </c>
      <c r="B120" s="29">
        <v>0.26120463659816789</v>
      </c>
      <c r="C120" s="30">
        <v>0.78007055549435156</v>
      </c>
      <c r="D120" s="24">
        <f t="shared" si="6"/>
        <v>0.13879536340183213</v>
      </c>
      <c r="F120" s="24">
        <f t="shared" si="7"/>
        <v>0.9</v>
      </c>
      <c r="J120" s="24"/>
      <c r="K120" s="24"/>
    </row>
    <row r="121" spans="1:11" ht="15" customHeight="1" x14ac:dyDescent="0.3">
      <c r="A121" s="28">
        <v>0.91</v>
      </c>
      <c r="B121" s="29">
        <v>0.25986356785439996</v>
      </c>
      <c r="C121" s="30">
        <v>0.78045549114204249</v>
      </c>
      <c r="D121" s="24">
        <f t="shared" si="6"/>
        <v>0.14013643214560007</v>
      </c>
      <c r="F121" s="24">
        <f t="shared" si="7"/>
        <v>0.91</v>
      </c>
      <c r="J121" s="24"/>
      <c r="K121" s="24"/>
    </row>
    <row r="122" spans="1:11" ht="15" customHeight="1" x14ac:dyDescent="0.3">
      <c r="A122" s="28">
        <v>0.92</v>
      </c>
      <c r="B122" s="29">
        <v>0.25854624452740771</v>
      </c>
      <c r="C122" s="30">
        <v>0.7808263311619531</v>
      </c>
      <c r="D122" s="24">
        <f t="shared" si="6"/>
        <v>0.14145375547259231</v>
      </c>
      <c r="F122" s="24">
        <f t="shared" si="7"/>
        <v>0.92</v>
      </c>
      <c r="J122" s="24"/>
      <c r="K122" s="24"/>
    </row>
    <row r="123" spans="1:11" ht="15" customHeight="1" x14ac:dyDescent="0.3">
      <c r="A123" s="28">
        <v>0.93</v>
      </c>
      <c r="B123" s="29">
        <v>0.25725200431616851</v>
      </c>
      <c r="C123" s="30">
        <v>0.78118359909206103</v>
      </c>
      <c r="D123" s="24">
        <f t="shared" si="6"/>
        <v>0.14274799568383151</v>
      </c>
      <c r="F123" s="24">
        <f t="shared" si="7"/>
        <v>0.93</v>
      </c>
      <c r="J123" s="24"/>
      <c r="K123" s="24"/>
    </row>
    <row r="124" spans="1:11" ht="15" customHeight="1" x14ac:dyDescent="0.3">
      <c r="A124" s="28">
        <v>0.94</v>
      </c>
      <c r="B124" s="29">
        <v>0.25598020939862121</v>
      </c>
      <c r="C124" s="30">
        <v>0.78152779475683642</v>
      </c>
      <c r="D124" s="24">
        <f t="shared" si="6"/>
        <v>0.14401979060137882</v>
      </c>
      <c r="F124" s="24">
        <f t="shared" si="7"/>
        <v>0.94</v>
      </c>
      <c r="J124" s="24"/>
      <c r="K124" s="24"/>
    </row>
    <row r="125" spans="1:11" ht="15" customHeight="1" x14ac:dyDescent="0.3">
      <c r="A125" s="28">
        <v>0.95</v>
      </c>
      <c r="B125" s="29">
        <v>0.25473024532248623</v>
      </c>
      <c r="C125" s="30">
        <v>0.78185939553621842</v>
      </c>
      <c r="D125" s="24">
        <f t="shared" si="6"/>
        <v>0.1452697546775138</v>
      </c>
      <c r="F125" s="24">
        <f t="shared" si="7"/>
        <v>0.95</v>
      </c>
      <c r="J125" s="24"/>
      <c r="K125" s="24"/>
    </row>
    <row r="126" spans="1:11" ht="15" customHeight="1" x14ac:dyDescent="0.3">
      <c r="A126" s="28">
        <v>0.96</v>
      </c>
      <c r="B126" s="29">
        <v>0.25350151995511894</v>
      </c>
      <c r="C126" s="30">
        <v>0.7821788575574028</v>
      </c>
      <c r="D126" s="24">
        <f t="shared" si="6"/>
        <v>0.14649848004488109</v>
      </c>
      <c r="F126" s="24">
        <f t="shared" si="7"/>
        <v>0.96</v>
      </c>
      <c r="J126" s="24"/>
      <c r="K126" s="24"/>
    </row>
    <row r="127" spans="1:11" ht="15" customHeight="1" x14ac:dyDescent="0.3">
      <c r="A127" s="28">
        <v>0.97</v>
      </c>
      <c r="B127" s="29">
        <v>0.2522934624888033</v>
      </c>
      <c r="C127" s="30">
        <v>0.78248661681464127</v>
      </c>
      <c r="D127" s="24">
        <f t="shared" si="6"/>
        <v>0.14770653751119672</v>
      </c>
      <c r="F127" s="24">
        <f t="shared" si="7"/>
        <v>0.97</v>
      </c>
      <c r="J127" s="24"/>
      <c r="K127" s="24"/>
    </row>
    <row r="128" spans="1:11" ht="15" customHeight="1" x14ac:dyDescent="0.3">
      <c r="A128" s="28">
        <v>0.98</v>
      </c>
      <c r="B128" s="29">
        <v>0.25110552249813722</v>
      </c>
      <c r="C128" s="30">
        <v>0.78278309022187265</v>
      </c>
      <c r="D128" s="24">
        <f t="shared" si="6"/>
        <v>0.1488944775018628</v>
      </c>
      <c r="F128" s="24">
        <f t="shared" si="7"/>
        <v>0.98</v>
      </c>
      <c r="J128" s="24"/>
      <c r="K128" s="24"/>
    </row>
    <row r="129" spans="1:11" ht="15" customHeight="1" x14ac:dyDescent="0.3">
      <c r="A129" s="28">
        <v>0.99</v>
      </c>
      <c r="B129" s="29">
        <v>0.24993716904638399</v>
      </c>
      <c r="C129" s="30">
        <v>0.78306867660264945</v>
      </c>
      <c r="D129" s="24">
        <f t="shared" si="6"/>
        <v>0.15006283095361603</v>
      </c>
      <c r="F129" s="24">
        <f t="shared" si="7"/>
        <v>0.99</v>
      </c>
      <c r="J129" s="24"/>
      <c r="K129" s="24"/>
    </row>
    <row r="130" spans="1:11" ht="15" customHeight="1" x14ac:dyDescent="0.3">
      <c r="A130" s="28">
        <v>1</v>
      </c>
      <c r="B130" s="29">
        <v>0.24878788983788414</v>
      </c>
      <c r="C130" s="30">
        <v>0.78334375762150366</v>
      </c>
      <c r="D130" s="24">
        <f t="shared" si="6"/>
        <v>0.15121211016211589</v>
      </c>
      <c r="F130" s="24">
        <f t="shared" si="7"/>
        <v>1</v>
      </c>
      <c r="J130" s="24"/>
      <c r="K130" s="24"/>
    </row>
    <row r="131" spans="1:11" ht="15" customHeight="1" x14ac:dyDescent="0.3">
      <c r="A131" s="28">
        <v>1.01</v>
      </c>
      <c r="B131" s="29">
        <v>0.24765719041380529</v>
      </c>
      <c r="C131" s="30">
        <v>0.78360869866059335</v>
      </c>
      <c r="D131" s="24">
        <f t="shared" si="6"/>
        <v>0.15234280958619473</v>
      </c>
      <c r="F131" s="24">
        <f t="shared" si="7"/>
        <v>1.01</v>
      </c>
      <c r="J131" s="24"/>
      <c r="K131" s="24"/>
    </row>
    <row r="132" spans="1:11" ht="15" customHeight="1" x14ac:dyDescent="0.3">
      <c r="A132" s="28">
        <v>1.02</v>
      </c>
      <c r="B132" s="29">
        <v>0.24654459338869789</v>
      </c>
      <c r="C132" s="30">
        <v>0.78386384964519984</v>
      </c>
      <c r="D132" s="24">
        <f t="shared" si="6"/>
        <v>0.15345540661130214</v>
      </c>
      <c r="F132" s="24">
        <f t="shared" si="7"/>
        <v>1.02</v>
      </c>
      <c r="J132" s="24"/>
      <c r="K132" s="24"/>
    </row>
    <row r="133" spans="1:11" ht="15" customHeight="1" x14ac:dyDescent="0.3">
      <c r="A133" s="28">
        <v>1.03</v>
      </c>
      <c r="B133" s="29">
        <v>0.24544963772548459</v>
      </c>
      <c r="C133" s="30">
        <v>0.78410954582138837</v>
      </c>
      <c r="D133" s="24">
        <f t="shared" si="6"/>
        <v>0.15455036227451543</v>
      </c>
      <c r="F133" s="24">
        <f t="shared" si="7"/>
        <v>1.03</v>
      </c>
      <c r="J133" s="24"/>
      <c r="K133" s="24"/>
    </row>
    <row r="134" spans="1:11" ht="15" customHeight="1" x14ac:dyDescent="0.3">
      <c r="A134" s="28">
        <v>1.04</v>
      </c>
      <c r="B134" s="29">
        <v>0.24437187804666854</v>
      </c>
      <c r="C134" s="30">
        <v>0.7843461084889104</v>
      </c>
      <c r="D134" s="24">
        <f t="shared" si="6"/>
        <v>0.15562812195333148</v>
      </c>
      <c r="F134" s="24">
        <f t="shared" si="7"/>
        <v>1.04</v>
      </c>
      <c r="J134" s="24"/>
      <c r="K134" s="24"/>
    </row>
    <row r="135" spans="1:11" ht="15" customHeight="1" x14ac:dyDescent="0.3">
      <c r="A135" s="28">
        <v>1.05</v>
      </c>
      <c r="B135" s="29">
        <v>0.243310883979691</v>
      </c>
      <c r="C135" s="30">
        <v>0.78457384569221311</v>
      </c>
      <c r="D135" s="24">
        <f t="shared" si="6"/>
        <v>0.15668911602030902</v>
      </c>
      <c r="F135" s="24">
        <f t="shared" si="7"/>
        <v>1.05</v>
      </c>
      <c r="J135" s="24"/>
      <c r="K135" s="24"/>
    </row>
    <row r="136" spans="1:11" ht="15" customHeight="1" x14ac:dyDescent="0.3">
      <c r="A136" s="28">
        <v>1.06</v>
      </c>
      <c r="B136" s="29">
        <v>0.24226623953449766</v>
      </c>
      <c r="C136" s="30">
        <v>0.78479305287221657</v>
      </c>
      <c r="D136" s="24">
        <f t="shared" si="6"/>
        <v>0.15773376046550236</v>
      </c>
      <c r="F136" s="24">
        <f t="shared" si="7"/>
        <v>1.06</v>
      </c>
      <c r="J136" s="24"/>
      <c r="K136" s="24"/>
    </row>
    <row r="137" spans="1:11" ht="15" customHeight="1" x14ac:dyDescent="0.3">
      <c r="A137" s="28">
        <v>1.07</v>
      </c>
      <c r="B137" s="29">
        <v>0.24123754251150048</v>
      </c>
      <c r="C137" s="30">
        <v>0.78500401348133952</v>
      </c>
      <c r="D137" s="24">
        <f t="shared" si="6"/>
        <v>0.15876245748849954</v>
      </c>
      <c r="F137" s="24">
        <f t="shared" si="7"/>
        <v>1.07</v>
      </c>
      <c r="J137" s="24"/>
      <c r="K137" s="24"/>
    </row>
    <row r="138" spans="1:11" ht="15" customHeight="1" x14ac:dyDescent="0.3">
      <c r="A138" s="28">
        <v>1.08</v>
      </c>
      <c r="B138" s="29">
        <v>0.24022440393823571</v>
      </c>
      <c r="C138" s="30">
        <v>0.78520699956407713</v>
      </c>
      <c r="D138" s="24">
        <f t="shared" si="6"/>
        <v>0.15977559606176431</v>
      </c>
      <c r="F138" s="24">
        <f t="shared" si="7"/>
        <v>1.08</v>
      </c>
      <c r="J138" s="24"/>
      <c r="K138" s="24"/>
    </row>
    <row r="139" spans="1:11" ht="15" customHeight="1" x14ac:dyDescent="0.3">
      <c r="A139" s="28">
        <v>1.0900000000000001</v>
      </c>
      <c r="B139" s="29">
        <v>0.23922644753312411</v>
      </c>
      <c r="C139" s="30">
        <v>0.78540227230528181</v>
      </c>
      <c r="D139" s="24">
        <f t="shared" si="6"/>
        <v>0.16077355246687591</v>
      </c>
      <c r="F139" s="24">
        <f t="shared" si="7"/>
        <v>1.0900000000000001</v>
      </c>
      <c r="J139" s="24"/>
      <c r="K139" s="24"/>
    </row>
    <row r="140" spans="1:11" ht="15" customHeight="1" x14ac:dyDescent="0.3">
      <c r="A140" s="28">
        <v>1.1000000000000001</v>
      </c>
      <c r="B140" s="29">
        <v>0.2382433091948403</v>
      </c>
      <c r="C140" s="30">
        <v>0.78559008254815044</v>
      </c>
      <c r="D140" s="24">
        <f t="shared" si="6"/>
        <v>0.16175669080515973</v>
      </c>
      <c r="F140" s="24">
        <f t="shared" si="7"/>
        <v>1.1000000000000001</v>
      </c>
      <c r="J140" s="24"/>
      <c r="K140" s="24"/>
    </row>
    <row r="141" spans="1:11" ht="15" customHeight="1" x14ac:dyDescent="0.3">
      <c r="A141" s="28">
        <v>1.1100000000000001</v>
      </c>
      <c r="B141" s="29">
        <v>0.23727463651589242</v>
      </c>
      <c r="C141" s="30">
        <v>0.78577067128378231</v>
      </c>
      <c r="D141" s="24">
        <f t="shared" si="6"/>
        <v>0.1627253634841076</v>
      </c>
      <c r="F141" s="24">
        <f t="shared" si="7"/>
        <v>1.1100000000000001</v>
      </c>
      <c r="J141" s="24"/>
      <c r="K141" s="24"/>
    </row>
    <row r="142" spans="1:11" ht="15" customHeight="1" x14ac:dyDescent="0.3">
      <c r="A142" s="28">
        <v>1.1200000000000001</v>
      </c>
      <c r="B142" s="29">
        <v>0.23632008831909385</v>
      </c>
      <c r="C142" s="30">
        <v>0.78594427011404733</v>
      </c>
      <c r="D142" s="24">
        <f t="shared" si="6"/>
        <v>0.16367991168090618</v>
      </c>
      <c r="F142" s="24">
        <f t="shared" si="7"/>
        <v>1.1200000000000001</v>
      </c>
      <c r="J142" s="24"/>
      <c r="K142" s="24"/>
    </row>
    <row r="143" spans="1:11" ht="15" customHeight="1" x14ac:dyDescent="0.3">
      <c r="A143" s="28">
        <v>1.1299999999999999</v>
      </c>
      <c r="B143" s="29">
        <v>0.23537933421569526</v>
      </c>
      <c r="C143" s="30">
        <v>0.78611110168939635</v>
      </c>
      <c r="D143" s="24">
        <f t="shared" si="6"/>
        <v>0.16462066578430476</v>
      </c>
      <c r="F143" s="24">
        <f t="shared" si="7"/>
        <v>1.1299999999999999</v>
      </c>
      <c r="J143" s="24"/>
      <c r="K143" s="24"/>
    </row>
    <row r="144" spans="1:11" ht="15" customHeight="1" x14ac:dyDescent="0.3">
      <c r="A144" s="28">
        <v>1.1399999999999999</v>
      </c>
      <c r="B144" s="29">
        <v>0.23445205418401688</v>
      </c>
      <c r="C144" s="30">
        <v>0.78627138012311693</v>
      </c>
      <c r="D144" s="24">
        <f t="shared" si="6"/>
        <v>0.16554794581598314</v>
      </c>
      <c r="F144" s="24">
        <f t="shared" si="7"/>
        <v>1.1399999999999999</v>
      </c>
      <c r="J144" s="24"/>
      <c r="K144" s="24"/>
    </row>
    <row r="145" spans="1:11" ht="15" customHeight="1" x14ac:dyDescent="0.3">
      <c r="A145" s="28">
        <v>1.1499999999999999</v>
      </c>
      <c r="B145" s="29">
        <v>0.23353793816749024</v>
      </c>
      <c r="C145" s="30">
        <v>0.78642531138346472</v>
      </c>
      <c r="D145" s="24">
        <f t="shared" si="6"/>
        <v>0.16646206183250978</v>
      </c>
      <c r="F145" s="24">
        <f t="shared" si="7"/>
        <v>1.1499999999999999</v>
      </c>
      <c r="J145" s="24"/>
      <c r="K145" s="24"/>
    </row>
    <row r="146" spans="1:11" ht="15" customHeight="1" x14ac:dyDescent="0.3">
      <c r="A146" s="28">
        <v>1.1599999999999999</v>
      </c>
      <c r="B146" s="29">
        <v>0.23263668569108592</v>
      </c>
      <c r="C146" s="30">
        <v>0.78657309366497985</v>
      </c>
      <c r="D146" s="24">
        <f t="shared" si="6"/>
        <v>0.1673633143089141</v>
      </c>
      <c r="F146" s="24">
        <f t="shared" si="7"/>
        <v>1.1599999999999999</v>
      </c>
      <c r="J146" s="24"/>
      <c r="K146" s="24"/>
    </row>
    <row r="147" spans="1:11" ht="15" customHeight="1" x14ac:dyDescent="0.3">
      <c r="A147" s="28">
        <v>1.17</v>
      </c>
      <c r="B147" s="29">
        <v>0.23174800549516245</v>
      </c>
      <c r="C147" s="30">
        <v>0.78671491774023528</v>
      </c>
      <c r="D147" s="24">
        <f t="shared" si="6"/>
        <v>0.16825199450483758</v>
      </c>
      <c r="F147" s="24">
        <f t="shared" si="7"/>
        <v>1.17</v>
      </c>
      <c r="J147" s="24"/>
      <c r="K147" s="24"/>
    </row>
    <row r="148" spans="1:11" ht="15" customHeight="1" x14ac:dyDescent="0.3">
      <c r="A148" s="28">
        <v>1.18</v>
      </c>
      <c r="B148" s="29">
        <v>0.23087161518582994</v>
      </c>
      <c r="C148" s="30">
        <v>0.78685096729316295</v>
      </c>
      <c r="D148" s="24">
        <f t="shared" si="6"/>
        <v>0.16912838481417009</v>
      </c>
      <c r="F148" s="24">
        <f t="shared" si="7"/>
        <v>1.18</v>
      </c>
      <c r="J148" s="24"/>
      <c r="K148" s="24"/>
    </row>
    <row r="149" spans="1:11" ht="15" customHeight="1" x14ac:dyDescent="0.3">
      <c r="A149" s="28">
        <v>1.19</v>
      </c>
      <c r="B149" s="29">
        <v>0.23000724090097513</v>
      </c>
      <c r="C149" s="30">
        <v>0.7869814192350475</v>
      </c>
      <c r="D149" s="24">
        <f t="shared" si="6"/>
        <v>0.16999275909902489</v>
      </c>
      <c r="F149" s="24">
        <f t="shared" si="7"/>
        <v>1.19</v>
      </c>
      <c r="J149" s="24"/>
      <c r="K149" s="24"/>
    </row>
    <row r="150" spans="1:11" ht="15" customHeight="1" x14ac:dyDescent="0.3">
      <c r="A150" s="28">
        <v>1.2</v>
      </c>
      <c r="B150" s="29">
        <v>0.22915461699114162</v>
      </c>
      <c r="C150" s="30">
        <v>0.78710644400419216</v>
      </c>
      <c r="D150" s="24">
        <f t="shared" si="6"/>
        <v>0.1708453830088584</v>
      </c>
      <c r="F150" s="24">
        <f t="shared" si="7"/>
        <v>1.2</v>
      </c>
      <c r="J150" s="24"/>
      <c r="K150" s="24"/>
    </row>
    <row r="151" spans="1:11" ht="15" customHeight="1" x14ac:dyDescent="0.3">
      <c r="A151" s="28">
        <v>1.21</v>
      </c>
      <c r="B151" s="29">
        <v>0.22831348571450999</v>
      </c>
      <c r="C151" s="30">
        <v>0.78722620585020631</v>
      </c>
      <c r="D151" s="24">
        <f t="shared" si="6"/>
        <v>0.17168651428549003</v>
      </c>
      <c r="F151" s="24">
        <f t="shared" si="7"/>
        <v>1.21</v>
      </c>
      <c r="J151" s="24"/>
      <c r="K151" s="24"/>
    </row>
    <row r="152" spans="1:11" ht="15" customHeight="1" x14ac:dyDescent="0.3">
      <c r="A152" s="28">
        <v>1.22</v>
      </c>
      <c r="B152" s="29">
        <v>0.22748359694526149</v>
      </c>
      <c r="C152" s="30">
        <v>0.78734086310380158</v>
      </c>
      <c r="D152" s="24">
        <f t="shared" si="6"/>
        <v>0.17251640305473853</v>
      </c>
      <c r="F152" s="24">
        <f t="shared" si="7"/>
        <v>1.22</v>
      </c>
      <c r="J152" s="24"/>
      <c r="K152" s="24"/>
    </row>
    <row r="153" spans="1:11" ht="15" customHeight="1" x14ac:dyDescent="0.3">
      <c r="A153" s="28">
        <v>1.23</v>
      </c>
      <c r="B153" s="29">
        <v>0.2266647078946521</v>
      </c>
      <c r="C153" s="30">
        <v>0.7874505684329236</v>
      </c>
      <c r="D153" s="24">
        <f t="shared" si="6"/>
        <v>0.17333529210534793</v>
      </c>
      <c r="F153" s="24">
        <f t="shared" si="7"/>
        <v>1.23</v>
      </c>
      <c r="J153" s="24"/>
      <c r="K153" s="24"/>
    </row>
    <row r="154" spans="1:11" ht="15" customHeight="1" x14ac:dyDescent="0.3">
      <c r="A154" s="28">
        <v>1.24</v>
      </c>
      <c r="B154" s="29">
        <v>0.22585658284416293</v>
      </c>
      <c r="C154" s="30">
        <v>0.78755546908600349</v>
      </c>
      <c r="D154" s="24">
        <f t="shared" si="6"/>
        <v>0.17414341715583709</v>
      </c>
      <c r="F154" s="24">
        <f t="shared" si="7"/>
        <v>1.24</v>
      </c>
      <c r="J154" s="24"/>
      <c r="K154" s="24"/>
    </row>
    <row r="155" spans="1:11" ht="15" customHeight="1" x14ac:dyDescent="0.3">
      <c r="A155" s="28">
        <v>1.25</v>
      </c>
      <c r="B155" s="29">
        <v>0.22505899289012465</v>
      </c>
      <c r="C155" s="30">
        <v>0.78765570712304978</v>
      </c>
      <c r="D155" s="24">
        <f t="shared" si="6"/>
        <v>0.17494100710987537</v>
      </c>
      <c r="F155" s="24">
        <f t="shared" si="7"/>
        <v>1.25</v>
      </c>
      <c r="J155" s="24"/>
      <c r="K155" s="24"/>
    </row>
    <row r="156" spans="1:11" ht="15" customHeight="1" x14ac:dyDescent="0.3">
      <c r="A156" s="28">
        <v>1.26</v>
      </c>
      <c r="B156" s="29">
        <v>0.22427171569925192</v>
      </c>
      <c r="C156" s="30">
        <v>0.78775141963527506</v>
      </c>
      <c r="D156" s="24">
        <f t="shared" si="6"/>
        <v>0.17572828430074811</v>
      </c>
      <c r="F156" s="24">
        <f t="shared" si="7"/>
        <v>1.26</v>
      </c>
      <c r="J156" s="24"/>
      <c r="K156" s="24"/>
    </row>
    <row r="157" spans="1:11" ht="15" customHeight="1" x14ac:dyDescent="0.3">
      <c r="A157" s="28">
        <v>1.27</v>
      </c>
      <c r="B157" s="29">
        <v>0.22349453527455171</v>
      </c>
      <c r="C157" s="30">
        <v>0.7878427389538889</v>
      </c>
      <c r="D157" s="24">
        <f t="shared" si="6"/>
        <v>0.17650546472544831</v>
      </c>
      <c r="F157" s="24">
        <f t="shared" si="7"/>
        <v>1.27</v>
      </c>
      <c r="J157" s="24"/>
      <c r="K157" s="24"/>
    </row>
    <row r="158" spans="1:11" ht="15" customHeight="1" x14ac:dyDescent="0.3">
      <c r="A158" s="28">
        <v>1.28</v>
      </c>
      <c r="B158" s="29">
        <v>0.2227272417311007</v>
      </c>
      <c r="C158" s="30">
        <v>0.7879297928486676</v>
      </c>
      <c r="D158" s="24">
        <f t="shared" ref="D158:D221" si="8">ABS(B158-$B$21/100)</f>
        <v>0.17727275826889932</v>
      </c>
      <c r="F158" s="24">
        <f t="shared" ref="F158:F221" si="9">A158</f>
        <v>1.28</v>
      </c>
      <c r="J158" s="24"/>
      <c r="K158" s="24"/>
    </row>
    <row r="159" spans="1:11" ht="15" customHeight="1" x14ac:dyDescent="0.3">
      <c r="A159" s="28">
        <v>1.29</v>
      </c>
      <c r="B159" s="29">
        <v>0.22196963108121426</v>
      </c>
      <c r="C159" s="30">
        <v>0.78801270471685891</v>
      </c>
      <c r="D159" s="24">
        <f t="shared" si="8"/>
        <v>0.17803036891878576</v>
      </c>
      <c r="F159" s="24">
        <f t="shared" si="9"/>
        <v>1.29</v>
      </c>
      <c r="J159" s="24"/>
      <c r="K159" s="24"/>
    </row>
    <row r="160" spans="1:11" ht="15" customHeight="1" x14ac:dyDescent="0.3">
      <c r="A160" s="28">
        <v>1.3</v>
      </c>
      <c r="B160" s="29">
        <v>0.22122150502855434</v>
      </c>
      <c r="C160" s="30">
        <v>0.78809159376296167</v>
      </c>
      <c r="D160" s="24">
        <f t="shared" si="8"/>
        <v>0.17877849497144568</v>
      </c>
      <c r="F160" s="24">
        <f t="shared" si="9"/>
        <v>1.3</v>
      </c>
      <c r="J160" s="24"/>
      <c r="K160" s="24"/>
    </row>
    <row r="161" spans="1:11" ht="15" customHeight="1" x14ac:dyDescent="0.3">
      <c r="A161" s="28">
        <v>1.31</v>
      </c>
      <c r="B161" s="29">
        <v>0.22048267077075084</v>
      </c>
      <c r="C161" s="30">
        <v>0.78816657516986643</v>
      </c>
      <c r="D161" s="24">
        <f t="shared" si="8"/>
        <v>0.17951732922924918</v>
      </c>
      <c r="F161" s="24">
        <f t="shared" si="9"/>
        <v>1.31</v>
      </c>
      <c r="J161" s="24"/>
      <c r="K161" s="24"/>
    </row>
    <row r="162" spans="1:11" ht="15" customHeight="1" x14ac:dyDescent="0.3">
      <c r="A162" s="28">
        <v>1.32</v>
      </c>
      <c r="B162" s="29">
        <v>0.21975294081013066</v>
      </c>
      <c r="C162" s="30">
        <v>0.78823776026184045</v>
      </c>
      <c r="D162" s="24">
        <f t="shared" si="8"/>
        <v>0.18024705918986936</v>
      </c>
      <c r="F162" s="24">
        <f t="shared" si="9"/>
        <v>1.32</v>
      </c>
      <c r="J162" s="24"/>
      <c r="K162" s="24"/>
    </row>
    <row r="163" spans="1:11" ht="15" customHeight="1" x14ac:dyDescent="0.3">
      <c r="A163" s="28">
        <v>1.33</v>
      </c>
      <c r="B163" s="29">
        <v>0.2190321327721724</v>
      </c>
      <c r="C163" s="30">
        <v>0.78830525665978612</v>
      </c>
      <c r="D163" s="24">
        <f t="shared" si="8"/>
        <v>0.18096786722782762</v>
      </c>
      <c r="F163" s="24">
        <f t="shared" si="9"/>
        <v>1.33</v>
      </c>
      <c r="J163" s="24"/>
      <c r="K163" s="24"/>
    </row>
    <row r="164" spans="1:11" ht="15" customHeight="1" x14ac:dyDescent="0.3">
      <c r="A164" s="28">
        <v>1.34</v>
      </c>
      <c r="B164" s="29">
        <v>0.21832006923132488</v>
      </c>
      <c r="C164" s="30">
        <v>0.78836916842919158</v>
      </c>
      <c r="D164" s="24">
        <f t="shared" si="8"/>
        <v>0.18167993076867514</v>
      </c>
      <c r="F164" s="24">
        <f t="shared" si="9"/>
        <v>1.34</v>
      </c>
      <c r="J164" s="24"/>
      <c r="K164" s="24"/>
    </row>
    <row r="165" spans="1:11" ht="15" customHeight="1" x14ac:dyDescent="0.3">
      <c r="A165" s="28">
        <v>1.35</v>
      </c>
      <c r="B165" s="29">
        <v>0.21761657754384495</v>
      </c>
      <c r="C165" s="30">
        <v>0.78842959622116482</v>
      </c>
      <c r="D165" s="24">
        <f t="shared" si="8"/>
        <v>0.18238342245615508</v>
      </c>
      <c r="F165" s="24">
        <f t="shared" si="9"/>
        <v>1.35</v>
      </c>
      <c r="J165" s="24"/>
      <c r="K165" s="24"/>
    </row>
    <row r="166" spans="1:11" ht="15" customHeight="1" x14ac:dyDescent="0.3">
      <c r="A166" s="28">
        <v>1.36</v>
      </c>
      <c r="B166" s="29">
        <v>0.21692148968733141</v>
      </c>
      <c r="C166" s="30">
        <v>0.78848663740691616</v>
      </c>
      <c r="D166" s="24">
        <f t="shared" si="8"/>
        <v>0.18307851031266861</v>
      </c>
      <c r="F166" s="24">
        <f t="shared" si="9"/>
        <v>1.36</v>
      </c>
      <c r="J166" s="24"/>
      <c r="K166" s="24"/>
    </row>
    <row r="167" spans="1:11" ht="15" customHeight="1" x14ac:dyDescent="0.3">
      <c r="A167" s="28">
        <v>1.37</v>
      </c>
      <c r="B167" s="29">
        <v>0.2162346421066447</v>
      </c>
      <c r="C167" s="30">
        <v>0.78854038620603628</v>
      </c>
      <c r="D167" s="24">
        <f t="shared" si="8"/>
        <v>0.18376535789335532</v>
      </c>
      <c r="F167" s="24">
        <f t="shared" si="9"/>
        <v>1.37</v>
      </c>
      <c r="J167" s="24"/>
      <c r="K167" s="24"/>
    </row>
    <row r="168" spans="1:11" ht="15" customHeight="1" x14ac:dyDescent="0.3">
      <c r="A168" s="28">
        <v>1.38</v>
      </c>
      <c r="B168" s="29">
        <v>0.21555587556592173</v>
      </c>
      <c r="C168" s="30">
        <v>0.78859093380888945</v>
      </c>
      <c r="D168" s="24">
        <f t="shared" si="8"/>
        <v>0.18444412443407829</v>
      </c>
      <c r="F168" s="24">
        <f t="shared" si="9"/>
        <v>1.38</v>
      </c>
      <c r="J168" s="24"/>
      <c r="K168" s="24"/>
    </row>
    <row r="169" spans="1:11" ht="15" customHeight="1" x14ac:dyDescent="0.3">
      <c r="A169" s="28">
        <v>1.39</v>
      </c>
      <c r="B169" s="29">
        <v>0.21488503500640771</v>
      </c>
      <c r="C169" s="30">
        <v>0.78863836849343905</v>
      </c>
      <c r="D169" s="24">
        <f t="shared" si="8"/>
        <v>0.18511496499359231</v>
      </c>
      <c r="F169" s="24">
        <f t="shared" si="9"/>
        <v>1.39</v>
      </c>
      <c r="J169" s="24"/>
      <c r="K169" s="24"/>
    </row>
    <row r="170" spans="1:11" ht="15" customHeight="1" x14ac:dyDescent="0.3">
      <c r="A170" s="28">
        <v>1.4</v>
      </c>
      <c r="B170" s="29">
        <v>0.21422196940984226</v>
      </c>
      <c r="C170" s="30">
        <v>0.78868277573678158</v>
      </c>
      <c r="D170" s="24">
        <f t="shared" si="8"/>
        <v>0.18577803059015777</v>
      </c>
      <c r="F170" s="24">
        <f t="shared" si="9"/>
        <v>1.4</v>
      </c>
      <c r="J170" s="24"/>
      <c r="K170" s="24"/>
    </row>
    <row r="171" spans="1:11" ht="15" customHeight="1" x14ac:dyDescent="0.3">
      <c r="A171" s="28">
        <v>1.41</v>
      </c>
      <c r="B171" s="29">
        <v>0.21356653166715087</v>
      </c>
      <c r="C171" s="30">
        <v>0.78872423832167271</v>
      </c>
      <c r="D171" s="24">
        <f t="shared" si="8"/>
        <v>0.18643346833284916</v>
      </c>
      <c r="F171" s="24">
        <f t="shared" si="9"/>
        <v>1.41</v>
      </c>
      <c r="J171" s="24"/>
      <c r="K171" s="24"/>
    </row>
    <row r="172" spans="1:11" ht="15" customHeight="1" x14ac:dyDescent="0.3">
      <c r="A172" s="28">
        <v>1.42</v>
      </c>
      <c r="B172" s="29">
        <v>0.21291857845220305</v>
      </c>
      <c r="C172" s="30">
        <v>0.78876283643829193</v>
      </c>
      <c r="D172" s="24">
        <f t="shared" si="8"/>
        <v>0.18708142154779697</v>
      </c>
      <c r="F172" s="24">
        <f t="shared" si="9"/>
        <v>1.42</v>
      </c>
      <c r="J172" s="24"/>
      <c r="K172" s="24"/>
    </row>
    <row r="173" spans="1:11" ht="15" customHeight="1" x14ac:dyDescent="0.3">
      <c r="A173" s="28">
        <v>1.43</v>
      </c>
      <c r="B173" s="29">
        <v>0.21227797010041399</v>
      </c>
      <c r="C173" s="30">
        <v>0.788798647781497</v>
      </c>
      <c r="D173" s="24">
        <f t="shared" si="8"/>
        <v>0.18772202989958603</v>
      </c>
      <c r="F173" s="24">
        <f t="shared" si="9"/>
        <v>1.43</v>
      </c>
      <c r="J173" s="24"/>
      <c r="K173" s="24"/>
    </row>
    <row r="174" spans="1:11" ht="15" customHeight="1" x14ac:dyDescent="0.3">
      <c r="A174" s="28">
        <v>1.44</v>
      </c>
      <c r="B174" s="29">
        <v>0.21164457049197488</v>
      </c>
      <c r="C174" s="30">
        <v>0.78883174764378861</v>
      </c>
      <c r="D174" s="24">
        <f t="shared" si="8"/>
        <v>0.18835542950802514</v>
      </c>
      <c r="F174" s="24">
        <f t="shared" si="9"/>
        <v>1.44</v>
      </c>
      <c r="J174" s="24"/>
      <c r="K174" s="24"/>
    </row>
    <row r="175" spans="1:11" ht="15" customHeight="1" x14ac:dyDescent="0.3">
      <c r="A175" s="28">
        <v>1.45</v>
      </c>
      <c r="B175" s="29">
        <v>0.21101824693950885</v>
      </c>
      <c r="C175" s="30">
        <v>0.78886220900420689</v>
      </c>
      <c r="D175" s="24">
        <f t="shared" si="8"/>
        <v>0.18898175306049117</v>
      </c>
      <c r="F175" s="24">
        <f t="shared" si="9"/>
        <v>1.45</v>
      </c>
      <c r="J175" s="24"/>
      <c r="K175" s="24"/>
    </row>
    <row r="176" spans="1:11" ht="15" customHeight="1" x14ac:dyDescent="0.3">
      <c r="A176" s="28">
        <v>1.46</v>
      </c>
      <c r="B176" s="29">
        <v>0.21039887007995942</v>
      </c>
      <c r="C176" s="30">
        <v>0.78889010261335923</v>
      </c>
      <c r="D176" s="24">
        <f t="shared" si="8"/>
        <v>0.18960112992004061</v>
      </c>
      <c r="F176" s="24">
        <f t="shared" si="9"/>
        <v>1.46</v>
      </c>
      <c r="J176" s="24"/>
      <c r="K176" s="24"/>
    </row>
    <row r="177" spans="1:11" ht="15" customHeight="1" x14ac:dyDescent="0.3">
      <c r="A177" s="28">
        <v>1.47</v>
      </c>
      <c r="B177" s="29">
        <v>0.20978631377052842</v>
      </c>
      <c r="C177" s="30">
        <v>0.78891549707477393</v>
      </c>
      <c r="D177" s="24">
        <f t="shared" si="8"/>
        <v>0.1902136862294716</v>
      </c>
      <c r="F177" s="24">
        <f t="shared" si="9"/>
        <v>1.47</v>
      </c>
      <c r="J177" s="24"/>
      <c r="K177" s="24"/>
    </row>
    <row r="178" spans="1:11" ht="15" customHeight="1" x14ac:dyDescent="0.3">
      <c r="A178" s="28">
        <v>1.48</v>
      </c>
      <c r="B178" s="29">
        <v>0.20918045498848767</v>
      </c>
      <c r="C178" s="30">
        <v>0.78893845892276049</v>
      </c>
      <c r="D178" s="24">
        <f t="shared" si="8"/>
        <v>0.19081954501151235</v>
      </c>
      <c r="F178" s="24">
        <f t="shared" si="9"/>
        <v>1.48</v>
      </c>
      <c r="J178" s="24"/>
      <c r="K178" s="24"/>
    </row>
    <row r="179" spans="1:11" ht="15" customHeight="1" x14ac:dyDescent="0.3">
      <c r="A179" s="28">
        <v>1.49</v>
      </c>
      <c r="B179" s="29">
        <v>0.20858117373469906</v>
      </c>
      <c r="C179" s="30">
        <v>0.78895905269694677</v>
      </c>
      <c r="D179" s="24">
        <f t="shared" si="8"/>
        <v>0.19141882626530096</v>
      </c>
      <c r="F179" s="24">
        <f t="shared" si="9"/>
        <v>1.49</v>
      </c>
      <c r="J179" s="24"/>
      <c r="K179" s="24"/>
    </row>
    <row r="180" spans="1:11" ht="15" customHeight="1" x14ac:dyDescent="0.3">
      <c r="A180" s="28">
        <v>1.5</v>
      </c>
      <c r="B180" s="29">
        <v>0.20798835294068493</v>
      </c>
      <c r="C180" s="30">
        <v>0.78897734101365913</v>
      </c>
      <c r="D180" s="24">
        <f t="shared" si="8"/>
        <v>0.19201164705931509</v>
      </c>
      <c r="F180" s="24">
        <f t="shared" si="9"/>
        <v>1.5</v>
      </c>
      <c r="J180" s="24"/>
      <c r="K180" s="24"/>
    </row>
    <row r="181" spans="1:11" ht="15" customHeight="1" x14ac:dyDescent="0.3">
      <c r="A181" s="28">
        <v>1.51</v>
      </c>
      <c r="B181" s="29">
        <v>0.20740187837909746</v>
      </c>
      <c r="C181" s="30">
        <v>0.78899338463429225</v>
      </c>
      <c r="D181" s="24">
        <f t="shared" si="8"/>
        <v>0.19259812162090256</v>
      </c>
      <c r="F181" s="24">
        <f t="shared" si="9"/>
        <v>1.51</v>
      </c>
      <c r="J181" s="24"/>
      <c r="K181" s="24"/>
    </row>
    <row r="182" spans="1:11" ht="15" customHeight="1" x14ac:dyDescent="0.3">
      <c r="A182" s="28">
        <v>1.52</v>
      </c>
      <c r="B182" s="29">
        <v>0.20682163857744484</v>
      </c>
      <c r="C182" s="30">
        <v>0.78900724253082388</v>
      </c>
      <c r="D182" s="24">
        <f t="shared" si="8"/>
        <v>0.19317836142255518</v>
      </c>
      <c r="F182" s="24">
        <f t="shared" si="9"/>
        <v>1.52</v>
      </c>
      <c r="J182" s="24"/>
      <c r="K182" s="24"/>
    </row>
    <row r="183" spans="1:11" ht="15" customHeight="1" x14ac:dyDescent="0.3">
      <c r="A183" s="28">
        <v>1.53</v>
      </c>
      <c r="B183" s="29">
        <v>0.20624752473493652</v>
      </c>
      <c r="C183" s="30">
        <v>0.78901897194859683</v>
      </c>
      <c r="D183" s="24">
        <f t="shared" si="8"/>
        <v>0.19375247526506351</v>
      </c>
      <c r="F183" s="24">
        <f t="shared" si="9"/>
        <v>1.53</v>
      </c>
      <c r="J183" s="24"/>
      <c r="K183" s="24"/>
    </row>
    <row r="184" spans="1:11" ht="15" customHeight="1" x14ac:dyDescent="0.3">
      <c r="A184" s="28">
        <v>1.54</v>
      </c>
      <c r="B184" s="29">
        <v>0.20567943064231864</v>
      </c>
      <c r="C184" s="30">
        <v>0.78902862846651822</v>
      </c>
      <c r="D184" s="24">
        <f t="shared" si="8"/>
        <v>0.19432056935768138</v>
      </c>
      <c r="F184" s="24">
        <f t="shared" si="9"/>
        <v>1.54</v>
      </c>
      <c r="J184" s="24"/>
      <c r="K184" s="24"/>
    </row>
    <row r="185" spans="1:11" ht="15" customHeight="1" x14ac:dyDescent="0.3">
      <c r="A185" s="28">
        <v>1.55</v>
      </c>
      <c r="B185" s="29">
        <v>0.20511725260457475</v>
      </c>
      <c r="C185" s="30">
        <v>0.78903626605477506</v>
      </c>
      <c r="D185" s="24">
        <f t="shared" si="8"/>
        <v>0.19488274739542527</v>
      </c>
      <c r="F185" s="24">
        <f t="shared" si="9"/>
        <v>1.55</v>
      </c>
      <c r="J185" s="24"/>
      <c r="K185" s="24"/>
    </row>
    <row r="186" spans="1:11" ht="15" customHeight="1" x14ac:dyDescent="0.3">
      <c r="A186" s="28">
        <v>1.56</v>
      </c>
      <c r="B186" s="29">
        <v>0.20456088936637412</v>
      </c>
      <c r="C186" s="30">
        <v>0.78904193713020665</v>
      </c>
      <c r="D186" s="24">
        <f t="shared" si="8"/>
        <v>0.1954391106336259</v>
      </c>
      <c r="F186" s="24">
        <f t="shared" si="9"/>
        <v>1.56</v>
      </c>
      <c r="J186" s="24"/>
      <c r="K186" s="24"/>
    </row>
    <row r="187" spans="1:11" ht="15" customHeight="1" x14ac:dyDescent="0.3">
      <c r="A187" s="28">
        <v>1.57</v>
      </c>
      <c r="B187" s="29">
        <v>0.20401024204015508</v>
      </c>
      <c r="C187" s="30">
        <v>0.78904569260942403</v>
      </c>
      <c r="D187" s="24">
        <f t="shared" si="8"/>
        <v>0.19598975795984494</v>
      </c>
      <c r="F187" s="24">
        <f t="shared" si="9"/>
        <v>1.57</v>
      </c>
      <c r="J187" s="24"/>
      <c r="K187" s="24"/>
    </row>
    <row r="188" spans="1:11" ht="15" customHeight="1" x14ac:dyDescent="0.3">
      <c r="A188" s="28">
        <v>1.58</v>
      </c>
      <c r="B188" s="29">
        <v>0.20346521403673554</v>
      </c>
      <c r="C188" s="30">
        <v>0.7890475819597963</v>
      </c>
      <c r="D188" s="24">
        <f t="shared" si="8"/>
        <v>0.19653478596326449</v>
      </c>
      <c r="F188" s="24">
        <f t="shared" si="9"/>
        <v>1.58</v>
      </c>
      <c r="J188" s="24"/>
      <c r="K188" s="24"/>
    </row>
    <row r="189" spans="1:11" ht="15" customHeight="1" x14ac:dyDescent="0.3">
      <c r="A189" s="28">
        <v>1.59</v>
      </c>
      <c r="B189" s="29">
        <v>0.20292571099834836</v>
      </c>
      <c r="C189" s="30">
        <v>0.78904765324838999</v>
      </c>
      <c r="D189" s="24">
        <f t="shared" si="8"/>
        <v>0.19707428900165166</v>
      </c>
      <c r="F189" s="24">
        <f t="shared" si="9"/>
        <v>1.59</v>
      </c>
      <c r="J189" s="24"/>
      <c r="K189" s="24"/>
    </row>
    <row r="190" spans="1:11" ht="15" customHeight="1" x14ac:dyDescent="0.3">
      <c r="A190" s="28">
        <v>1.6</v>
      </c>
      <c r="B190" s="29">
        <v>0.20239164073400459</v>
      </c>
      <c r="C190" s="30">
        <v>0.78904595318896831</v>
      </c>
      <c r="D190" s="24">
        <f t="shared" si="8"/>
        <v>0.19760835926599543</v>
      </c>
      <c r="F190" s="24">
        <f t="shared" si="9"/>
        <v>1.6</v>
      </c>
      <c r="J190" s="24"/>
      <c r="K190" s="24"/>
    </row>
    <row r="191" spans="1:11" ht="15" customHeight="1" x14ac:dyDescent="0.3">
      <c r="A191" s="28">
        <v>1.61</v>
      </c>
      <c r="B191" s="29">
        <v>0.20186291315708896</v>
      </c>
      <c r="C191" s="30">
        <v>0.78904252718712631</v>
      </c>
      <c r="D191" s="24">
        <f t="shared" si="8"/>
        <v>0.19813708684291106</v>
      </c>
      <c r="F191" s="24">
        <f t="shared" si="9"/>
        <v>1.61</v>
      </c>
      <c r="J191" s="24"/>
      <c r="K191" s="24"/>
    </row>
    <row r="192" spans="1:11" ht="15" customHeight="1" x14ac:dyDescent="0.3">
      <c r="A192" s="28">
        <v>1.62</v>
      </c>
      <c r="B192" s="29">
        <v>0.20133944022510139</v>
      </c>
      <c r="C192" s="30">
        <v>0.78903741938365779</v>
      </c>
      <c r="D192" s="24">
        <f t="shared" si="8"/>
        <v>0.19866055977489863</v>
      </c>
      <c r="F192" s="24">
        <f t="shared" si="9"/>
        <v>1.62</v>
      </c>
      <c r="J192" s="24"/>
      <c r="K192" s="24"/>
    </row>
    <row r="193" spans="1:11" ht="15" customHeight="1" x14ac:dyDescent="0.3">
      <c r="A193" s="28">
        <v>1.63</v>
      </c>
      <c r="B193" s="29">
        <v>0.20082113588145756</v>
      </c>
      <c r="C193" s="30">
        <v>0.78903067269622773</v>
      </c>
      <c r="D193" s="24">
        <f t="shared" si="8"/>
        <v>0.19917886411854246</v>
      </c>
      <c r="F193" s="24">
        <f t="shared" si="9"/>
        <v>1.63</v>
      </c>
      <c r="J193" s="24"/>
      <c r="K193" s="24"/>
    </row>
    <row r="194" spans="1:11" ht="15" customHeight="1" x14ac:dyDescent="0.3">
      <c r="A194" s="28">
        <v>1.64</v>
      </c>
      <c r="B194" s="29">
        <v>0.20030791599926717</v>
      </c>
      <c r="C194" s="30">
        <v>0.78902232885942603</v>
      </c>
      <c r="D194" s="24">
        <f t="shared" si="8"/>
        <v>0.19969208400073285</v>
      </c>
      <c r="F194" s="24">
        <f t="shared" si="9"/>
        <v>1.64</v>
      </c>
      <c r="J194" s="24"/>
      <c r="K194" s="24"/>
    </row>
    <row r="195" spans="1:11" ht="15" customHeight="1" x14ac:dyDescent="0.3">
      <c r="A195" s="28">
        <v>1.65</v>
      </c>
      <c r="B195" s="29">
        <v>0.19979969832701328</v>
      </c>
      <c r="C195" s="30">
        <v>0.78901242846328024</v>
      </c>
      <c r="D195" s="24">
        <f t="shared" si="8"/>
        <v>0.20020030167298675</v>
      </c>
      <c r="F195" s="24">
        <f t="shared" si="9"/>
        <v>1.65</v>
      </c>
      <c r="J195" s="24"/>
      <c r="K195" s="24"/>
    </row>
    <row r="196" spans="1:11" ht="15" customHeight="1" x14ac:dyDescent="0.3">
      <c r="A196" s="28">
        <v>1.66</v>
      </c>
      <c r="B196" s="29">
        <v>0.1992964024360577</v>
      </c>
      <c r="C196" s="30">
        <v>0.78900101099028941</v>
      </c>
      <c r="D196" s="24">
        <f t="shared" si="8"/>
        <v>0.20070359756394232</v>
      </c>
      <c r="F196" s="24">
        <f t="shared" si="9"/>
        <v>1.66</v>
      </c>
      <c r="J196" s="24"/>
      <c r="K196" s="24"/>
    </row>
    <row r="197" spans="1:11" ht="15" customHeight="1" x14ac:dyDescent="0.3">
      <c r="A197" s="28">
        <v>1.67</v>
      </c>
      <c r="B197" s="29">
        <v>0.1987979496699018</v>
      </c>
      <c r="C197" s="30">
        <v>0.78898811485104847</v>
      </c>
      <c r="D197" s="24">
        <f t="shared" si="8"/>
        <v>0.20120205033009822</v>
      </c>
      <c r="F197" s="24">
        <f t="shared" si="9"/>
        <v>1.67</v>
      </c>
      <c r="J197" s="24"/>
      <c r="K197" s="24"/>
    </row>
    <row r="198" spans="1:11" ht="15" customHeight="1" x14ac:dyDescent="0.3">
      <c r="A198" s="28">
        <v>1.68</v>
      </c>
      <c r="B198" s="29">
        <v>0.19830426309513469</v>
      </c>
      <c r="C198" s="30">
        <v>0.7889737774185257</v>
      </c>
      <c r="D198" s="24">
        <f t="shared" si="8"/>
        <v>0.20169573690486534</v>
      </c>
      <c r="F198" s="24">
        <f t="shared" si="9"/>
        <v>1.68</v>
      </c>
      <c r="J198" s="24"/>
      <c r="K198" s="24"/>
    </row>
    <row r="199" spans="1:11" ht="15" customHeight="1" x14ac:dyDescent="0.3">
      <c r="A199" s="28">
        <v>1.69</v>
      </c>
      <c r="B199" s="29">
        <v>0.19781526745400385</v>
      </c>
      <c r="C199" s="30">
        <v>0.78895803506104578</v>
      </c>
      <c r="D199" s="24">
        <f t="shared" si="8"/>
        <v>0.20218473254599617</v>
      </c>
      <c r="F199" s="24">
        <f t="shared" si="9"/>
        <v>1.69</v>
      </c>
      <c r="J199" s="24"/>
      <c r="K199" s="24"/>
    </row>
    <row r="200" spans="1:11" ht="15" customHeight="1" x14ac:dyDescent="0.3">
      <c r="A200" s="28">
        <v>1.7</v>
      </c>
      <c r="B200" s="29">
        <v>0.1973308891185466</v>
      </c>
      <c r="C200" s="30">
        <v>0.78894092317404563</v>
      </c>
      <c r="D200" s="24">
        <f t="shared" si="8"/>
        <v>0.20266911088145342</v>
      </c>
      <c r="F200" s="24">
        <f t="shared" si="9"/>
        <v>1.7</v>
      </c>
      <c r="J200" s="24"/>
      <c r="K200" s="24"/>
    </row>
    <row r="201" spans="1:11" ht="15" customHeight="1" x14ac:dyDescent="0.3">
      <c r="A201" s="28">
        <v>1.71</v>
      </c>
      <c r="B201" s="29">
        <v>0.19685105604622252</v>
      </c>
      <c r="C201" s="30">
        <v>0.78892247621064227</v>
      </c>
      <c r="D201" s="24">
        <f t="shared" si="8"/>
        <v>0.2031489439537775</v>
      </c>
      <c r="F201" s="24">
        <f t="shared" si="9"/>
        <v>1.71</v>
      </c>
      <c r="J201" s="24"/>
      <c r="K201" s="24"/>
    </row>
    <row r="202" spans="1:11" ht="15" customHeight="1" x14ac:dyDescent="0.3">
      <c r="A202" s="28">
        <v>1.72</v>
      </c>
      <c r="B202" s="29">
        <v>0.19637569773699026</v>
      </c>
      <c r="C202" s="30">
        <v>0.78890272771107861</v>
      </c>
      <c r="D202" s="24">
        <f t="shared" si="8"/>
        <v>0.20362430226300976</v>
      </c>
      <c r="F202" s="24">
        <f t="shared" si="9"/>
        <v>1.72</v>
      </c>
      <c r="J202" s="24"/>
      <c r="K202" s="24"/>
    </row>
    <row r="203" spans="1:11" ht="15" customHeight="1" x14ac:dyDescent="0.3">
      <c r="A203" s="28">
        <v>1.73</v>
      </c>
      <c r="B203" s="29">
        <v>0.19590474519177409</v>
      </c>
      <c r="C203" s="30">
        <v>0.7888817103310809</v>
      </c>
      <c r="D203" s="24">
        <f t="shared" si="8"/>
        <v>0.20409525480822593</v>
      </c>
      <c r="F203" s="24">
        <f t="shared" si="9"/>
        <v>1.73</v>
      </c>
      <c r="J203" s="24"/>
      <c r="K203" s="24"/>
    </row>
    <row r="204" spans="1:11" ht="15" customHeight="1" x14ac:dyDescent="0.3">
      <c r="A204" s="28">
        <v>1.74</v>
      </c>
      <c r="B204" s="29">
        <v>0.19543813087226836</v>
      </c>
      <c r="C204" s="30">
        <v>0.78885945586918504</v>
      </c>
      <c r="D204" s="24">
        <f t="shared" si="8"/>
        <v>0.20456186912773167</v>
      </c>
      <c r="F204" s="24">
        <f t="shared" si="9"/>
        <v>1.74</v>
      </c>
      <c r="J204" s="24"/>
      <c r="K204" s="24"/>
    </row>
    <row r="205" spans="1:11" ht="15" customHeight="1" x14ac:dyDescent="0.3">
      <c r="A205" s="28">
        <v>1.75</v>
      </c>
      <c r="B205" s="29">
        <v>0.19497578866203025</v>
      </c>
      <c r="C205" s="30">
        <v>0.78883599529306825</v>
      </c>
      <c r="D205" s="24">
        <f t="shared" si="8"/>
        <v>0.20502421133796978</v>
      </c>
      <c r="F205" s="24">
        <f t="shared" si="9"/>
        <v>1.75</v>
      </c>
      <c r="J205" s="24"/>
      <c r="K205" s="24"/>
    </row>
    <row r="206" spans="1:11" ht="15" customHeight="1" x14ac:dyDescent="0.3">
      <c r="A206" s="28">
        <v>1.76</v>
      </c>
      <c r="B206" s="29">
        <v>0.19451765382881223</v>
      </c>
      <c r="C206" s="30">
        <v>0.78881135876493236</v>
      </c>
      <c r="D206" s="24">
        <f t="shared" si="8"/>
        <v>0.2054823461711878</v>
      </c>
      <c r="F206" s="24">
        <f t="shared" si="9"/>
        <v>1.76</v>
      </c>
      <c r="J206" s="24"/>
      <c r="K206" s="24"/>
    </row>
    <row r="207" spans="1:11" ht="15" customHeight="1" x14ac:dyDescent="0.3">
      <c r="A207" s="28">
        <v>1.77</v>
      </c>
      <c r="B207" s="29">
        <v>0.19406366298808897</v>
      </c>
      <c r="C207" s="30">
        <v>0.78878557566597496</v>
      </c>
      <c r="D207" s="24">
        <f t="shared" si="8"/>
        <v>0.20593633701191105</v>
      </c>
      <c r="F207" s="24">
        <f t="shared" si="9"/>
        <v>1.77</v>
      </c>
      <c r="J207" s="24"/>
      <c r="K207" s="24"/>
    </row>
    <row r="208" spans="1:11" ht="15" customHeight="1" x14ac:dyDescent="0.3">
      <c r="A208" s="28">
        <v>1.78</v>
      </c>
      <c r="B208" s="29">
        <v>0.19361375406773551</v>
      </c>
      <c r="C208" s="30">
        <v>0.78875867461998772</v>
      </c>
      <c r="D208" s="24">
        <f t="shared" si="8"/>
        <v>0.20638624593226451</v>
      </c>
      <c r="F208" s="24">
        <f t="shared" si="9"/>
        <v>1.78</v>
      </c>
      <c r="J208" s="24"/>
      <c r="K208" s="24"/>
    </row>
    <row r="209" spans="1:11" ht="15" customHeight="1" x14ac:dyDescent="0.3">
      <c r="A209" s="28">
        <v>1.79</v>
      </c>
      <c r="B209" s="29">
        <v>0.19316786627381274</v>
      </c>
      <c r="C209" s="30">
        <v>0.78873068351611819</v>
      </c>
      <c r="D209" s="24">
        <f t="shared" si="8"/>
        <v>0.20683213372618728</v>
      </c>
      <c r="F209" s="24">
        <f t="shared" si="9"/>
        <v>1.79</v>
      </c>
      <c r="J209" s="24"/>
      <c r="K209" s="24"/>
    </row>
    <row r="210" spans="1:11" ht="15" customHeight="1" x14ac:dyDescent="0.3">
      <c r="A210" s="28">
        <v>1.8</v>
      </c>
      <c r="B210" s="29">
        <v>0.1927259400574225</v>
      </c>
      <c r="C210" s="30">
        <v>0.78870162953082934</v>
      </c>
      <c r="D210" s="24">
        <f t="shared" si="8"/>
        <v>0.20727405994257753</v>
      </c>
      <c r="F210" s="24">
        <f t="shared" si="9"/>
        <v>1.8</v>
      </c>
      <c r="J210" s="24"/>
      <c r="K210" s="24"/>
    </row>
    <row r="211" spans="1:11" ht="15" customHeight="1" x14ac:dyDescent="0.3">
      <c r="A211" s="28">
        <v>1.81</v>
      </c>
      <c r="B211" s="29">
        <v>0.19228791708259099</v>
      </c>
      <c r="C211" s="30">
        <v>0.78867153914908716</v>
      </c>
      <c r="D211" s="24">
        <f t="shared" si="8"/>
        <v>0.20771208291740903</v>
      </c>
      <c r="F211" s="24">
        <f t="shared" si="9"/>
        <v>1.81</v>
      </c>
      <c r="J211" s="24"/>
      <c r="K211" s="24"/>
    </row>
    <row r="212" spans="1:11" ht="15" customHeight="1" x14ac:dyDescent="0.3">
      <c r="A212" s="28">
        <v>1.82</v>
      </c>
      <c r="B212" s="29">
        <v>0.19185374019514573</v>
      </c>
      <c r="C212" s="30">
        <v>0.78864043818481255</v>
      </c>
      <c r="D212" s="24">
        <f t="shared" si="8"/>
        <v>0.20814625980485429</v>
      </c>
      <c r="F212" s="24">
        <f t="shared" si="9"/>
        <v>1.82</v>
      </c>
      <c r="J212" s="24"/>
      <c r="K212" s="24"/>
    </row>
    <row r="213" spans="1:11" ht="15" customHeight="1" x14ac:dyDescent="0.3">
      <c r="A213" s="28">
        <v>1.83</v>
      </c>
      <c r="B213" s="29">
        <v>0.19142335339254885</v>
      </c>
      <c r="C213" s="30">
        <v>0.78860835180062205</v>
      </c>
      <c r="D213" s="24">
        <f t="shared" si="8"/>
        <v>0.20857664660745118</v>
      </c>
      <c r="F213" s="24">
        <f t="shared" si="9"/>
        <v>1.83</v>
      </c>
      <c r="J213" s="24"/>
      <c r="K213" s="24"/>
    </row>
    <row r="214" spans="1:11" ht="15" customHeight="1" x14ac:dyDescent="0.3">
      <c r="A214" s="28">
        <v>1.84</v>
      </c>
      <c r="B214" s="29">
        <v>0.19099670179465358</v>
      </c>
      <c r="C214" s="30">
        <v>0.78857530452688818</v>
      </c>
      <c r="D214" s="24">
        <f t="shared" si="8"/>
        <v>0.20900329820534644</v>
      </c>
      <c r="F214" s="24">
        <f t="shared" si="9"/>
        <v>1.84</v>
      </c>
      <c r="J214" s="24"/>
      <c r="K214" s="24"/>
    </row>
    <row r="215" spans="1:11" ht="15" customHeight="1" x14ac:dyDescent="0.3">
      <c r="A215" s="28">
        <v>1.85</v>
      </c>
      <c r="B215" s="29">
        <v>0.19057373161535066</v>
      </c>
      <c r="C215" s="30">
        <v>0.78854132028014834</v>
      </c>
      <c r="D215" s="24">
        <f t="shared" si="8"/>
        <v>0.20942626838464937</v>
      </c>
      <c r="F215" s="24">
        <f t="shared" si="9"/>
        <v>1.85</v>
      </c>
      <c r="J215" s="24"/>
      <c r="K215" s="24"/>
    </row>
    <row r="216" spans="1:11" ht="15" customHeight="1" x14ac:dyDescent="0.3">
      <c r="A216" s="28">
        <v>1.86</v>
      </c>
      <c r="B216" s="29">
        <v>0.19015439013507379</v>
      </c>
      <c r="C216" s="30">
        <v>0.78850642238088287</v>
      </c>
      <c r="D216" s="24">
        <f t="shared" si="8"/>
        <v>0.20984560986492623</v>
      </c>
      <c r="F216" s="24">
        <f t="shared" si="9"/>
        <v>1.86</v>
      </c>
      <c r="J216" s="24"/>
      <c r="K216" s="24"/>
    </row>
    <row r="217" spans="1:11" ht="15" customHeight="1" x14ac:dyDescent="0.3">
      <c r="A217" s="28">
        <v>1.87</v>
      </c>
      <c r="B217" s="29">
        <v>0.18973862567413327</v>
      </c>
      <c r="C217" s="30">
        <v>0.78847063357069458</v>
      </c>
      <c r="D217" s="24">
        <f t="shared" si="8"/>
        <v>0.21026137432586675</v>
      </c>
      <c r="F217" s="24">
        <f t="shared" si="9"/>
        <v>1.87</v>
      </c>
      <c r="J217" s="24"/>
      <c r="K217" s="24"/>
    </row>
    <row r="218" spans="1:11" ht="15" customHeight="1" x14ac:dyDescent="0.3">
      <c r="A218" s="28">
        <v>1.88</v>
      </c>
      <c r="B218" s="29">
        <v>0.18932638756684964</v>
      </c>
      <c r="C218" s="30">
        <v>0.78843397602890408</v>
      </c>
      <c r="D218" s="24">
        <f t="shared" si="8"/>
        <v>0.21067361243315039</v>
      </c>
      <c r="F218" s="24">
        <f t="shared" si="9"/>
        <v>1.88</v>
      </c>
      <c r="J218" s="24"/>
      <c r="K218" s="24"/>
    </row>
    <row r="219" spans="1:11" ht="15" customHeight="1" x14ac:dyDescent="0.3">
      <c r="A219" s="28">
        <v>1.89</v>
      </c>
      <c r="B219" s="29">
        <v>0.18891762613645882</v>
      </c>
      <c r="C219" s="30">
        <v>0.78839647138859448</v>
      </c>
      <c r="D219" s="24">
        <f t="shared" si="8"/>
        <v>0.2110823738635412</v>
      </c>
      <c r="F219" s="24">
        <f t="shared" si="9"/>
        <v>1.89</v>
      </c>
      <c r="J219" s="24"/>
      <c r="K219" s="24"/>
    </row>
    <row r="220" spans="1:11" ht="15" customHeight="1" x14ac:dyDescent="0.3">
      <c r="A220" s="28">
        <v>1.9</v>
      </c>
      <c r="B220" s="29">
        <v>0.18851229267076222</v>
      </c>
      <c r="C220" s="30">
        <v>0.78835814075211508</v>
      </c>
      <c r="D220" s="24">
        <f t="shared" si="8"/>
        <v>0.2114877073292378</v>
      </c>
      <c r="F220" s="24">
        <f t="shared" si="9"/>
        <v>1.9</v>
      </c>
      <c r="J220" s="24"/>
      <c r="K220" s="24"/>
    </row>
    <row r="221" spans="1:11" ht="15" customHeight="1" x14ac:dyDescent="0.3">
      <c r="A221" s="28">
        <v>1.91</v>
      </c>
      <c r="B221" s="29">
        <v>0.18811033939849681</v>
      </c>
      <c r="C221" s="30">
        <v>0.78831900470607597</v>
      </c>
      <c r="D221" s="24">
        <f t="shared" si="8"/>
        <v>0.21188966060150322</v>
      </c>
      <c r="F221" s="24">
        <f t="shared" si="9"/>
        <v>1.91</v>
      </c>
      <c r="J221" s="24"/>
      <c r="K221" s="24"/>
    </row>
    <row r="222" spans="1:11" ht="15" customHeight="1" x14ac:dyDescent="0.3">
      <c r="A222" s="28">
        <v>1.92</v>
      </c>
      <c r="B222" s="29">
        <v>0.18771171946639917</v>
      </c>
      <c r="C222" s="30">
        <v>0.78827908333584451</v>
      </c>
      <c r="D222" s="24">
        <f t="shared" ref="D222:D280" si="10">ABS(B222-$B$21/100)</f>
        <v>0.21228828053360085</v>
      </c>
      <c r="F222" s="24">
        <f t="shared" ref="F222:F280" si="11">A222</f>
        <v>1.92</v>
      </c>
      <c r="J222" s="24"/>
      <c r="K222" s="24"/>
    </row>
    <row r="223" spans="1:11" ht="15" customHeight="1" x14ac:dyDescent="0.3">
      <c r="A223" s="28">
        <v>1.93</v>
      </c>
      <c r="B223" s="29">
        <v>0.18731638691694127</v>
      </c>
      <c r="C223" s="30">
        <v>0.78823839623956682</v>
      </c>
      <c r="D223" s="24">
        <f t="shared" si="10"/>
        <v>0.21268361308305875</v>
      </c>
      <c r="F223" s="24">
        <f t="shared" si="11"/>
        <v>1.93</v>
      </c>
      <c r="J223" s="24"/>
      <c r="K223" s="24"/>
    </row>
    <row r="224" spans="1:11" ht="15" customHeight="1" x14ac:dyDescent="0.3">
      <c r="A224" s="28">
        <v>1.94</v>
      </c>
      <c r="B224" s="29">
        <v>0.18692429666671428</v>
      </c>
      <c r="C224" s="30">
        <v>0.78819696254173366</v>
      </c>
      <c r="D224" s="24">
        <f t="shared" si="10"/>
        <v>0.21307570333328574</v>
      </c>
      <c r="F224" s="24">
        <f t="shared" si="11"/>
        <v>1.94</v>
      </c>
      <c r="J224" s="24"/>
      <c r="K224" s="24"/>
    </row>
    <row r="225" spans="1:11" ht="15" customHeight="1" x14ac:dyDescent="0.3">
      <c r="A225" s="28">
        <v>1.95</v>
      </c>
      <c r="B225" s="29">
        <v>0.18653540448543784</v>
      </c>
      <c r="C225" s="30">
        <v>0.78815480090630219</v>
      </c>
      <c r="D225" s="24">
        <f t="shared" si="10"/>
        <v>0.21346459551456218</v>
      </c>
      <c r="F225" s="24">
        <f t="shared" si="11"/>
        <v>1.95</v>
      </c>
      <c r="J225" s="24"/>
      <c r="K225" s="24"/>
    </row>
    <row r="226" spans="1:11" ht="15" customHeight="1" x14ac:dyDescent="0.3">
      <c r="A226" s="28">
        <v>1.96</v>
      </c>
      <c r="B226" s="29">
        <v>0.18614966697557628</v>
      </c>
      <c r="C226" s="30">
        <v>0.78811192954939779</v>
      </c>
      <c r="D226" s="24">
        <f t="shared" si="10"/>
        <v>0.21385033302442374</v>
      </c>
      <c r="F226" s="24">
        <f t="shared" si="11"/>
        <v>1.96</v>
      </c>
      <c r="J226" s="24"/>
      <c r="K226" s="24"/>
    </row>
    <row r="227" spans="1:11" ht="15" customHeight="1" x14ac:dyDescent="0.3">
      <c r="A227" s="28">
        <v>1.97</v>
      </c>
      <c r="B227" s="29">
        <v>0.18576704155253804</v>
      </c>
      <c r="C227" s="30">
        <v>0.78806836625160415</v>
      </c>
      <c r="D227" s="24">
        <f t="shared" si="10"/>
        <v>0.21423295844746199</v>
      </c>
      <c r="F227" s="24">
        <f t="shared" si="11"/>
        <v>1.97</v>
      </c>
      <c r="J227" s="24"/>
      <c r="K227" s="24"/>
    </row>
    <row r="228" spans="1:11" ht="15" customHeight="1" x14ac:dyDescent="0.3">
      <c r="A228" s="28">
        <v>1.98</v>
      </c>
      <c r="B228" s="29">
        <v>0.18538748642544212</v>
      </c>
      <c r="C228" s="30">
        <v>0.78802412836986357</v>
      </c>
      <c r="D228" s="24">
        <f t="shared" si="10"/>
        <v>0.21461251357455791</v>
      </c>
      <c r="F228" s="24">
        <f t="shared" si="11"/>
        <v>1.98</v>
      </c>
      <c r="J228" s="24"/>
      <c r="K228" s="24"/>
    </row>
    <row r="229" spans="1:11" ht="15" customHeight="1" x14ac:dyDescent="0.3">
      <c r="A229" s="28">
        <v>1.99</v>
      </c>
      <c r="B229" s="29">
        <v>0.18501096057842967</v>
      </c>
      <c r="C229" s="30">
        <v>0.78797923284899629</v>
      </c>
      <c r="D229" s="24">
        <f t="shared" si="10"/>
        <v>0.21498903942157035</v>
      </c>
      <c r="F229" s="24">
        <f t="shared" si="11"/>
        <v>1.99</v>
      </c>
      <c r="J229" s="24"/>
      <c r="K229" s="24"/>
    </row>
    <row r="230" spans="1:11" ht="15" customHeight="1" x14ac:dyDescent="0.3">
      <c r="A230" s="28">
        <v>2</v>
      </c>
      <c r="B230" s="29">
        <v>0.18463742375250583</v>
      </c>
      <c r="C230" s="30">
        <v>0.7879336962328567</v>
      </c>
      <c r="D230" s="24">
        <f t="shared" si="10"/>
        <v>0.21536257624749419</v>
      </c>
      <c r="F230" s="24">
        <f t="shared" si="11"/>
        <v>2</v>
      </c>
      <c r="J230" s="24"/>
      <c r="K230" s="24"/>
    </row>
    <row r="231" spans="1:11" ht="15" customHeight="1" x14ac:dyDescent="0.3">
      <c r="A231" s="28">
        <v>2.0099999999999998</v>
      </c>
      <c r="B231" s="29">
        <v>0.18426683642789146</v>
      </c>
      <c r="C231" s="30">
        <v>0.78788753467513917</v>
      </c>
      <c r="D231" s="24">
        <f t="shared" si="10"/>
        <v>0.21573316357210856</v>
      </c>
      <c r="F231" s="24">
        <f t="shared" si="11"/>
        <v>2.0099999999999998</v>
      </c>
      <c r="J231" s="24"/>
      <c r="K231" s="24"/>
    </row>
    <row r="232" spans="1:11" ht="15" customHeight="1" x14ac:dyDescent="0.3">
      <c r="A232" s="28">
        <v>2.02</v>
      </c>
      <c r="B232" s="29">
        <v>0.18389915980687038</v>
      </c>
      <c r="C232" s="30">
        <v>0.7878407639498427</v>
      </c>
      <c r="D232" s="24">
        <f t="shared" si="10"/>
        <v>0.21610084019312964</v>
      </c>
      <c r="F232" s="24">
        <f t="shared" si="11"/>
        <v>2.02</v>
      </c>
      <c r="J232" s="24"/>
      <c r="K232" s="24"/>
    </row>
    <row r="233" spans="1:11" ht="15" customHeight="1" x14ac:dyDescent="0.3">
      <c r="A233" s="28">
        <v>2.0299999999999998</v>
      </c>
      <c r="B233" s="29">
        <v>0.18353435579711447</v>
      </c>
      <c r="C233" s="30">
        <v>0.78779339946141114</v>
      </c>
      <c r="D233" s="24">
        <f t="shared" si="10"/>
        <v>0.21646564420288555</v>
      </c>
      <c r="F233" s="24">
        <f t="shared" si="11"/>
        <v>2.0299999999999998</v>
      </c>
      <c r="J233" s="24"/>
      <c r="K233" s="24"/>
    </row>
    <row r="234" spans="1:11" ht="15" customHeight="1" x14ac:dyDescent="0.3">
      <c r="A234" s="28">
        <v>2.04</v>
      </c>
      <c r="B234" s="29">
        <v>0.18317238699547211</v>
      </c>
      <c r="C234" s="30">
        <v>0.78774545625456127</v>
      </c>
      <c r="D234" s="24">
        <f t="shared" si="10"/>
        <v>0.21682761300452791</v>
      </c>
      <c r="F234" s="24">
        <f t="shared" si="11"/>
        <v>2.04</v>
      </c>
      <c r="J234" s="24"/>
      <c r="K234" s="24"/>
    </row>
    <row r="235" spans="1:11" ht="15" customHeight="1" x14ac:dyDescent="0.3">
      <c r="A235" s="28">
        <v>2.0499999999999998</v>
      </c>
      <c r="B235" s="29">
        <v>0.18281321667220407</v>
      </c>
      <c r="C235" s="30">
        <v>0.78769694902380227</v>
      </c>
      <c r="D235" s="24">
        <f t="shared" si="10"/>
        <v>0.21718678332779595</v>
      </c>
      <c r="F235" s="24">
        <f t="shared" si="11"/>
        <v>2.0499999999999998</v>
      </c>
      <c r="J235" s="24"/>
      <c r="K235" s="24"/>
    </row>
    <row r="236" spans="1:11" ht="15" customHeight="1" x14ac:dyDescent="0.3">
      <c r="A236" s="28">
        <v>2.06</v>
      </c>
      <c r="B236" s="29">
        <v>0.18245680875565323</v>
      </c>
      <c r="C236" s="30">
        <v>0.78764789212266639</v>
      </c>
      <c r="D236" s="24">
        <f t="shared" si="10"/>
        <v>0.21754319124434679</v>
      </c>
      <c r="F236" s="24">
        <f t="shared" si="11"/>
        <v>2.06</v>
      </c>
      <c r="J236" s="24"/>
      <c r="K236" s="24"/>
    </row>
    <row r="237" spans="1:11" ht="15" customHeight="1" x14ac:dyDescent="0.3">
      <c r="A237" s="28">
        <v>2.0699999999999998</v>
      </c>
      <c r="B237" s="29">
        <v>0.18210312781733473</v>
      </c>
      <c r="C237" s="30">
        <v>0.78759829957265814</v>
      </c>
      <c r="D237" s="24">
        <f t="shared" si="10"/>
        <v>0.21789687218266529</v>
      </c>
      <c r="F237" s="24">
        <f t="shared" si="11"/>
        <v>2.0699999999999998</v>
      </c>
      <c r="J237" s="24"/>
      <c r="K237" s="24"/>
    </row>
    <row r="238" spans="1:11" ht="15" customHeight="1" x14ac:dyDescent="0.3">
      <c r="A238" s="28">
        <v>2.08</v>
      </c>
      <c r="B238" s="29">
        <v>0.18175213905743073</v>
      </c>
      <c r="C238" s="30">
        <v>0.78754818507192936</v>
      </c>
      <c r="D238" s="24">
        <f t="shared" si="10"/>
        <v>0.21824786094256929</v>
      </c>
      <c r="F238" s="24">
        <f t="shared" si="11"/>
        <v>2.08</v>
      </c>
      <c r="J238" s="24"/>
      <c r="K238" s="24"/>
    </row>
    <row r="239" spans="1:11" ht="15" customHeight="1" x14ac:dyDescent="0.3">
      <c r="A239" s="28">
        <v>2.09</v>
      </c>
      <c r="B239" s="29">
        <v>0.18140380829068042</v>
      </c>
      <c r="C239" s="30">
        <v>0.78749756200369181</v>
      </c>
      <c r="D239" s="24">
        <f t="shared" si="10"/>
        <v>0.2185961917093196</v>
      </c>
      <c r="F239" s="24">
        <f t="shared" si="11"/>
        <v>2.09</v>
      </c>
      <c r="J239" s="24"/>
      <c r="K239" s="24"/>
    </row>
    <row r="240" spans="1:11" ht="15" customHeight="1" x14ac:dyDescent="0.3">
      <c r="A240" s="28">
        <v>2.1</v>
      </c>
      <c r="B240" s="29">
        <v>0.1810581019326501</v>
      </c>
      <c r="C240" s="30">
        <v>0.78744644344437909</v>
      </c>
      <c r="D240" s="24">
        <f t="shared" si="10"/>
        <v>0.21894189806734993</v>
      </c>
      <c r="F240" s="24">
        <f t="shared" si="11"/>
        <v>2.1</v>
      </c>
      <c r="J240" s="24"/>
      <c r="K240" s="24"/>
    </row>
    <row r="241" spans="1:11" ht="15" customHeight="1" x14ac:dyDescent="0.3">
      <c r="A241" s="28">
        <v>2.11</v>
      </c>
      <c r="B241" s="29">
        <v>0.18071498698637242</v>
      </c>
      <c r="C241" s="30">
        <v>0.78739484217155842</v>
      </c>
      <c r="D241" s="24">
        <f t="shared" si="10"/>
        <v>0.2192850130136276</v>
      </c>
      <c r="F241" s="24">
        <f t="shared" si="11"/>
        <v>2.11</v>
      </c>
      <c r="J241" s="24"/>
      <c r="K241" s="24"/>
    </row>
    <row r="242" spans="1:11" ht="15" customHeight="1" x14ac:dyDescent="0.3">
      <c r="A242" s="28">
        <v>2.12</v>
      </c>
      <c r="B242" s="29">
        <v>0.18037443102934322</v>
      </c>
      <c r="C242" s="30">
        <v>0.78734277067161385</v>
      </c>
      <c r="D242" s="24">
        <f t="shared" si="10"/>
        <v>0.2196255689706568</v>
      </c>
      <c r="F242" s="24">
        <f t="shared" si="11"/>
        <v>2.12</v>
      </c>
      <c r="J242" s="24"/>
      <c r="K242" s="24"/>
    </row>
    <row r="243" spans="1:11" ht="15" customHeight="1" x14ac:dyDescent="0.3">
      <c r="A243" s="28">
        <v>2.13</v>
      </c>
      <c r="B243" s="29">
        <v>0.180036402200865</v>
      </c>
      <c r="C243" s="30">
        <v>0.78729024114719393</v>
      </c>
      <c r="D243" s="24">
        <f t="shared" si="10"/>
        <v>0.21996359779913502</v>
      </c>
      <c r="F243" s="24">
        <f t="shared" si="11"/>
        <v>2.13</v>
      </c>
      <c r="J243" s="24"/>
      <c r="K243" s="24"/>
    </row>
    <row r="244" spans="1:11" ht="15" customHeight="1" x14ac:dyDescent="0.3">
      <c r="A244" s="28">
        <v>2.14</v>
      </c>
      <c r="B244" s="29">
        <v>0.17970086918972533</v>
      </c>
      <c r="C244" s="30">
        <v>0.78723726552444329</v>
      </c>
      <c r="D244" s="24">
        <f t="shared" si="10"/>
        <v>0.22029913081027469</v>
      </c>
      <c r="F244" s="24">
        <f t="shared" si="11"/>
        <v>2.14</v>
      </c>
      <c r="J244" s="24"/>
      <c r="K244" s="24"/>
    </row>
    <row r="245" spans="1:11" ht="15" customHeight="1" x14ac:dyDescent="0.3">
      <c r="A245" s="28">
        <v>2.15</v>
      </c>
      <c r="B245" s="29">
        <v>0.17936780122220169</v>
      </c>
      <c r="C245" s="30">
        <v>0.78718385546002245</v>
      </c>
      <c r="D245" s="24">
        <f t="shared" si="10"/>
        <v>0.22063219877779833</v>
      </c>
      <c r="F245" s="24">
        <f t="shared" si="11"/>
        <v>2.15</v>
      </c>
      <c r="J245" s="24"/>
      <c r="K245" s="24"/>
    </row>
    <row r="246" spans="1:11" ht="15" customHeight="1" x14ac:dyDescent="0.3">
      <c r="A246" s="28">
        <v>2.16</v>
      </c>
      <c r="B246" s="29">
        <v>0.17903716805038003</v>
      </c>
      <c r="C246" s="30">
        <v>0.78713002234791696</v>
      </c>
      <c r="D246" s="24">
        <f t="shared" si="10"/>
        <v>0.22096283194961999</v>
      </c>
      <c r="F246" s="24">
        <f t="shared" si="11"/>
        <v>2.16</v>
      </c>
      <c r="J246" s="24"/>
      <c r="K246" s="24"/>
    </row>
    <row r="247" spans="1:11" ht="15" customHeight="1" x14ac:dyDescent="0.3">
      <c r="A247" s="28">
        <v>2.17</v>
      </c>
      <c r="B247" s="29">
        <v>0.17870893994078052</v>
      </c>
      <c r="C247" s="30">
        <v>0.78707577732605394</v>
      </c>
      <c r="D247" s="24">
        <f t="shared" si="10"/>
        <v>0.2212910600592195</v>
      </c>
      <c r="F247" s="24">
        <f t="shared" si="11"/>
        <v>2.17</v>
      </c>
      <c r="J247" s="24"/>
      <c r="K247" s="24"/>
    </row>
    <row r="248" spans="1:11" ht="15" customHeight="1" x14ac:dyDescent="0.3">
      <c r="A248" s="28">
        <v>2.1800000000000002</v>
      </c>
      <c r="B248" s="29">
        <v>0.17838308766327837</v>
      </c>
      <c r="C248" s="30">
        <v>0.78702113128272311</v>
      </c>
      <c r="D248" s="24">
        <f t="shared" si="10"/>
        <v>0.22161691233672165</v>
      </c>
      <c r="F248" s="24">
        <f t="shared" si="11"/>
        <v>2.1800000000000002</v>
      </c>
      <c r="J248" s="24"/>
      <c r="K248" s="24"/>
    </row>
    <row r="249" spans="1:11" ht="15" customHeight="1" x14ac:dyDescent="0.3">
      <c r="A249" s="28">
        <v>2.19</v>
      </c>
      <c r="B249" s="29">
        <v>0.17805958248031289</v>
      </c>
      <c r="C249" s="30">
        <v>0.78696609486281166</v>
      </c>
      <c r="D249" s="24">
        <f t="shared" si="10"/>
        <v>0.22194041751968713</v>
      </c>
      <c r="F249" s="24">
        <f t="shared" si="11"/>
        <v>2.19</v>
      </c>
      <c r="J249" s="24"/>
      <c r="K249" s="24"/>
    </row>
    <row r="250" spans="1:11" ht="15" customHeight="1" x14ac:dyDescent="0.3">
      <c r="A250" s="28">
        <v>2.2000000000000002</v>
      </c>
      <c r="B250" s="29">
        <v>0.1777383961363744</v>
      </c>
      <c r="C250" s="30">
        <v>0.78691067847386331</v>
      </c>
      <c r="D250" s="24">
        <f t="shared" si="10"/>
        <v>0.22226160386362562</v>
      </c>
      <c r="F250" s="24">
        <f t="shared" si="11"/>
        <v>2.2000000000000002</v>
      </c>
      <c r="J250" s="24"/>
      <c r="K250" s="24"/>
    </row>
    <row r="251" spans="1:11" ht="15" customHeight="1" x14ac:dyDescent="0.3">
      <c r="A251" s="28">
        <v>2.21</v>
      </c>
      <c r="B251" s="29">
        <v>0.17741950084776195</v>
      </c>
      <c r="C251" s="30">
        <v>0.78685489229195915</v>
      </c>
      <c r="D251" s="24">
        <f t="shared" si="10"/>
        <v>0.22258049915223807</v>
      </c>
      <c r="F251" s="24">
        <f t="shared" si="11"/>
        <v>2.21</v>
      </c>
      <c r="J251" s="24"/>
      <c r="K251" s="24"/>
    </row>
    <row r="252" spans="1:11" ht="15" customHeight="1" x14ac:dyDescent="0.3">
      <c r="A252" s="28">
        <v>2.2200000000000002</v>
      </c>
      <c r="B252" s="29">
        <v>0.17710286929260316</v>
      </c>
      <c r="C252" s="30">
        <v>0.78679874626743673</v>
      </c>
      <c r="D252" s="24">
        <f t="shared" si="10"/>
        <v>0.22289713070739686</v>
      </c>
      <c r="F252" s="24">
        <f t="shared" si="11"/>
        <v>2.2200000000000002</v>
      </c>
      <c r="J252" s="24"/>
      <c r="K252" s="24"/>
    </row>
    <row r="253" spans="1:11" ht="15" customHeight="1" x14ac:dyDescent="0.3">
      <c r="A253" s="28">
        <v>2.23</v>
      </c>
      <c r="B253" s="29">
        <v>0.17678847460112776</v>
      </c>
      <c r="C253" s="30">
        <v>0.78674225013043819</v>
      </c>
      <c r="D253" s="24">
        <f t="shared" si="10"/>
        <v>0.22321152539887226</v>
      </c>
      <c r="F253" s="24">
        <f t="shared" si="11"/>
        <v>2.23</v>
      </c>
      <c r="J253" s="24"/>
      <c r="K253" s="24"/>
    </row>
    <row r="254" spans="1:11" ht="15" customHeight="1" x14ac:dyDescent="0.3">
      <c r="A254" s="28">
        <v>2.2400000000000002</v>
      </c>
      <c r="B254" s="29">
        <v>0.17647629034618892</v>
      </c>
      <c r="C254" s="30">
        <v>0.78668541339631171</v>
      </c>
      <c r="D254" s="24">
        <f t="shared" si="10"/>
        <v>0.2235237096538111</v>
      </c>
      <c r="F254" s="24">
        <f t="shared" si="11"/>
        <v>2.2400000000000002</v>
      </c>
      <c r="J254" s="24"/>
      <c r="K254" s="24"/>
    </row>
    <row r="255" spans="1:11" ht="15" customHeight="1" x14ac:dyDescent="0.3">
      <c r="A255" s="28">
        <v>2.25</v>
      </c>
      <c r="B255" s="29">
        <v>0.17616629053402327</v>
      </c>
      <c r="C255" s="30">
        <v>0.78662824537085341</v>
      </c>
      <c r="D255" s="24">
        <f t="shared" si="10"/>
        <v>0.22383370946597675</v>
      </c>
      <c r="F255" s="24">
        <f t="shared" si="11"/>
        <v>2.25</v>
      </c>
      <c r="J255" s="24"/>
      <c r="K255" s="24"/>
    </row>
    <row r="256" spans="1:11" ht="15" customHeight="1" x14ac:dyDescent="0.3">
      <c r="A256" s="28">
        <v>2.2599999999999998</v>
      </c>
      <c r="B256" s="29">
        <v>0.17585844959524363</v>
      </c>
      <c r="C256" s="30">
        <v>0.78657075515540464</v>
      </c>
      <c r="D256" s="24">
        <f t="shared" si="10"/>
        <v>0.22414155040475639</v>
      </c>
      <c r="F256" s="24">
        <f t="shared" si="11"/>
        <v>2.2599999999999998</v>
      </c>
      <c r="J256" s="24"/>
      <c r="K256" s="24"/>
    </row>
    <row r="257" spans="1:11" ht="15" customHeight="1" x14ac:dyDescent="0.3">
      <c r="A257" s="28">
        <v>2.27</v>
      </c>
      <c r="B257" s="29">
        <v>0.1755527423760572</v>
      </c>
      <c r="C257" s="30">
        <v>0.78651295165180735</v>
      </c>
      <c r="D257" s="24">
        <f t="shared" si="10"/>
        <v>0.22444725762394283</v>
      </c>
      <c r="F257" s="24">
        <f t="shared" si="11"/>
        <v>2.27</v>
      </c>
      <c r="J257" s="24"/>
      <c r="K257" s="24"/>
    </row>
    <row r="258" spans="1:11" ht="15" customHeight="1" x14ac:dyDescent="0.3">
      <c r="A258" s="28">
        <v>2.2799999999999998</v>
      </c>
      <c r="B258" s="29">
        <v>0.17524914412970322</v>
      </c>
      <c r="C258" s="30">
        <v>0.78645484356722251</v>
      </c>
      <c r="D258" s="24">
        <f t="shared" si="10"/>
        <v>0.22475085587029681</v>
      </c>
      <c r="F258" s="24">
        <f t="shared" si="11"/>
        <v>2.2799999999999998</v>
      </c>
      <c r="J258" s="24"/>
      <c r="K258" s="24"/>
    </row>
    <row r="259" spans="1:11" ht="15" customHeight="1" x14ac:dyDescent="0.3">
      <c r="A259" s="28">
        <v>2.29</v>
      </c>
      <c r="B259" s="29">
        <v>0.17494763050810253</v>
      </c>
      <c r="C259" s="30">
        <v>0.7863964394188121</v>
      </c>
      <c r="D259" s="24">
        <f t="shared" si="10"/>
        <v>0.2250523694918975</v>
      </c>
      <c r="F259" s="24">
        <f t="shared" si="11"/>
        <v>2.29</v>
      </c>
      <c r="J259" s="24"/>
      <c r="K259" s="24"/>
    </row>
    <row r="260" spans="1:11" ht="15" customHeight="1" x14ac:dyDescent="0.3">
      <c r="A260" s="28">
        <v>2.2999999999999998</v>
      </c>
      <c r="B260" s="29">
        <v>0.17464817755371459</v>
      </c>
      <c r="C260" s="30">
        <v>0.78633774753829766</v>
      </c>
      <c r="D260" s="24">
        <f t="shared" si="10"/>
        <v>0.22535182244628543</v>
      </c>
      <c r="F260" s="24">
        <f t="shared" si="11"/>
        <v>2.2999999999999998</v>
      </c>
      <c r="J260" s="24"/>
      <c r="K260" s="24"/>
    </row>
    <row r="261" spans="1:11" ht="15" customHeight="1" x14ac:dyDescent="0.3">
      <c r="A261" s="28">
        <v>2.31</v>
      </c>
      <c r="B261" s="29">
        <v>0.17435076169159369</v>
      </c>
      <c r="C261" s="30">
        <v>0.78627877607638619</v>
      </c>
      <c r="D261" s="24">
        <f t="shared" si="10"/>
        <v>0.22564923830840633</v>
      </c>
      <c r="F261" s="24">
        <f t="shared" si="11"/>
        <v>2.31</v>
      </c>
      <c r="J261" s="24"/>
      <c r="K261" s="24"/>
    </row>
    <row r="262" spans="1:11" ht="15" customHeight="1" x14ac:dyDescent="0.3">
      <c r="A262" s="28">
        <v>2.3199999999999998</v>
      </c>
      <c r="B262" s="29">
        <v>0.17405535972164157</v>
      </c>
      <c r="C262" s="30">
        <v>0.78621953300708092</v>
      </c>
      <c r="D262" s="24">
        <f t="shared" si="10"/>
        <v>0.22594464027835845</v>
      </c>
      <c r="F262" s="24">
        <f t="shared" si="11"/>
        <v>2.3199999999999998</v>
      </c>
      <c r="J262" s="24"/>
      <c r="K262" s="24"/>
    </row>
    <row r="263" spans="1:11" ht="15" customHeight="1" x14ac:dyDescent="0.3">
      <c r="A263" s="28">
        <v>2.33</v>
      </c>
      <c r="B263" s="29">
        <v>0.17376194881104792</v>
      </c>
      <c r="C263" s="30">
        <v>0.78616002613187375</v>
      </c>
      <c r="D263" s="24">
        <f t="shared" si="10"/>
        <v>0.2262380511889521</v>
      </c>
      <c r="F263" s="24">
        <f t="shared" si="11"/>
        <v>2.33</v>
      </c>
      <c r="J263" s="24"/>
      <c r="K263" s="24"/>
    </row>
    <row r="264" spans="1:11" ht="15" customHeight="1" x14ac:dyDescent="0.3">
      <c r="A264" s="28">
        <v>2.34</v>
      </c>
      <c r="B264" s="29">
        <v>0.173470506486915</v>
      </c>
      <c r="C264" s="30">
        <v>0.78610026308382142</v>
      </c>
      <c r="D264" s="24">
        <f t="shared" si="10"/>
        <v>0.22652949351308502</v>
      </c>
      <c r="F264" s="24">
        <f t="shared" si="11"/>
        <v>2.34</v>
      </c>
      <c r="J264" s="24"/>
      <c r="K264" s="24"/>
    </row>
    <row r="265" spans="1:11" ht="15" customHeight="1" x14ac:dyDescent="0.3">
      <c r="A265" s="28">
        <v>2.35</v>
      </c>
      <c r="B265" s="29">
        <v>0.17318101062906152</v>
      </c>
      <c r="C265" s="30">
        <v>0.78604025133151478</v>
      </c>
      <c r="D265" s="24">
        <f t="shared" si="10"/>
        <v>0.2268189893709385</v>
      </c>
      <c r="F265" s="24">
        <f t="shared" si="11"/>
        <v>2.35</v>
      </c>
      <c r="J265" s="24"/>
      <c r="K265" s="24"/>
    </row>
    <row r="266" spans="1:11" ht="15" customHeight="1" x14ac:dyDescent="0.3">
      <c r="A266" s="28">
        <v>2.36</v>
      </c>
      <c r="B266" s="29">
        <v>0.17289343946299918</v>
      </c>
      <c r="C266" s="30">
        <v>0.78597999818293751</v>
      </c>
      <c r="D266" s="24">
        <f t="shared" si="10"/>
        <v>0.22710656053700085</v>
      </c>
      <c r="F266" s="24">
        <f t="shared" si="11"/>
        <v>2.36</v>
      </c>
      <c r="J266" s="24"/>
      <c r="K266" s="24"/>
    </row>
    <row r="267" spans="1:11" ht="15" customHeight="1" x14ac:dyDescent="0.3">
      <c r="A267" s="28">
        <v>2.37</v>
      </c>
      <c r="B267" s="29">
        <v>0.17260777155307835</v>
      </c>
      <c r="C267" s="30">
        <v>0.7859195107892275</v>
      </c>
      <c r="D267" s="24">
        <f t="shared" si="10"/>
        <v>0.22739222844692167</v>
      </c>
      <c r="F267" s="24">
        <f t="shared" si="11"/>
        <v>2.37</v>
      </c>
      <c r="J267" s="24"/>
      <c r="K267" s="24"/>
    </row>
    <row r="268" spans="1:11" ht="15" customHeight="1" x14ac:dyDescent="0.3">
      <c r="A268" s="28">
        <v>2.38</v>
      </c>
      <c r="B268" s="29">
        <v>0.17232398579579764</v>
      </c>
      <c r="C268" s="30">
        <v>0.78585879614832999</v>
      </c>
      <c r="D268" s="24">
        <f t="shared" si="10"/>
        <v>0.22767601420420239</v>
      </c>
      <c r="F268" s="24">
        <f t="shared" si="11"/>
        <v>2.38</v>
      </c>
      <c r="J268" s="24"/>
      <c r="K268" s="24"/>
    </row>
    <row r="269" spans="1:11" ht="15" customHeight="1" x14ac:dyDescent="0.3">
      <c r="A269" s="28">
        <v>2.39</v>
      </c>
      <c r="B269" s="29">
        <v>0.17204206141327241</v>
      </c>
      <c r="C269" s="30">
        <v>0.78579786110856054</v>
      </c>
      <c r="D269" s="24">
        <f t="shared" si="10"/>
        <v>0.22795793858672761</v>
      </c>
      <c r="F269" s="24">
        <f t="shared" si="11"/>
        <v>2.39</v>
      </c>
      <c r="J269" s="24"/>
      <c r="K269" s="24"/>
    </row>
    <row r="270" spans="1:11" ht="15" customHeight="1" x14ac:dyDescent="0.3">
      <c r="A270" s="28">
        <v>2.4</v>
      </c>
      <c r="B270" s="29">
        <v>0.1717619779468591</v>
      </c>
      <c r="C270" s="30">
        <v>0.78573671237206877</v>
      </c>
      <c r="D270" s="24">
        <f t="shared" si="10"/>
        <v>0.22823802205314092</v>
      </c>
      <c r="F270" s="24">
        <f t="shared" si="11"/>
        <v>2.4</v>
      </c>
      <c r="J270" s="24"/>
      <c r="K270" s="24"/>
    </row>
    <row r="271" spans="1:11" ht="15" customHeight="1" x14ac:dyDescent="0.3">
      <c r="A271" s="28">
        <v>2.41</v>
      </c>
      <c r="B271" s="29">
        <v>0.17148371525092945</v>
      </c>
      <c r="C271" s="30">
        <v>0.78567535649821485</v>
      </c>
      <c r="D271" s="24">
        <f t="shared" si="10"/>
        <v>0.22851628474907057</v>
      </c>
      <c r="F271" s="24">
        <f t="shared" si="11"/>
        <v>2.41</v>
      </c>
      <c r="J271" s="24"/>
      <c r="K271" s="24"/>
    </row>
    <row r="272" spans="1:11" ht="15" customHeight="1" x14ac:dyDescent="0.3">
      <c r="A272" s="28">
        <v>2.42</v>
      </c>
      <c r="B272" s="29">
        <v>0.17120725348679094</v>
      </c>
      <c r="C272" s="30">
        <v>0.78561379990685309</v>
      </c>
      <c r="D272" s="24">
        <f t="shared" si="10"/>
        <v>0.22879274651320908</v>
      </c>
      <c r="F272" s="24">
        <f t="shared" si="11"/>
        <v>2.42</v>
      </c>
      <c r="J272" s="24"/>
      <c r="K272" s="24"/>
    </row>
    <row r="273" spans="1:11" ht="15" customHeight="1" x14ac:dyDescent="0.3">
      <c r="A273" s="28">
        <v>2.4300000000000002</v>
      </c>
      <c r="B273" s="29">
        <v>0.17093257311675078</v>
      </c>
      <c r="C273" s="30">
        <v>0.78555204888153252</v>
      </c>
      <c r="D273" s="24">
        <f t="shared" si="10"/>
        <v>0.22906742688324924</v>
      </c>
      <c r="F273" s="24">
        <f t="shared" si="11"/>
        <v>2.4300000000000002</v>
      </c>
      <c r="J273" s="24"/>
      <c r="K273" s="24"/>
    </row>
    <row r="274" spans="1:11" ht="15" customHeight="1" x14ac:dyDescent="0.3">
      <c r="A274" s="28">
        <v>2.44</v>
      </c>
      <c r="B274" s="29">
        <v>0.17065965489831747</v>
      </c>
      <c r="C274" s="30">
        <v>0.78549010957261378</v>
      </c>
      <c r="D274" s="24">
        <f t="shared" si="10"/>
        <v>0.22934034510168255</v>
      </c>
      <c r="F274" s="24">
        <f t="shared" si="11"/>
        <v>2.44</v>
      </c>
      <c r="J274" s="24"/>
      <c r="K274" s="24"/>
    </row>
    <row r="275" spans="1:11" ht="15" customHeight="1" x14ac:dyDescent="0.3">
      <c r="A275" s="28">
        <v>2.4500000000000002</v>
      </c>
      <c r="B275" s="29">
        <v>0.17038847987853742</v>
      </c>
      <c r="C275" s="30">
        <v>0.785427988000302</v>
      </c>
      <c r="D275" s="24">
        <f t="shared" si="10"/>
        <v>0.2296115201214626</v>
      </c>
      <c r="F275" s="24">
        <f t="shared" si="11"/>
        <v>2.4500000000000002</v>
      </c>
      <c r="J275" s="24"/>
      <c r="K275" s="24"/>
    </row>
    <row r="276" spans="1:11" ht="15" customHeight="1" x14ac:dyDescent="0.3">
      <c r="A276" s="28">
        <v>2.46</v>
      </c>
      <c r="B276" s="29">
        <v>0.17011902938846288</v>
      </c>
      <c r="C276" s="30">
        <v>0.78536569005760648</v>
      </c>
      <c r="D276" s="24">
        <f t="shared" si="10"/>
        <v>0.22988097061153714</v>
      </c>
      <c r="F276" s="24">
        <f t="shared" si="11"/>
        <v>2.46</v>
      </c>
      <c r="J276" s="24"/>
      <c r="K276" s="24"/>
    </row>
    <row r="277" spans="1:11" ht="15" customHeight="1" x14ac:dyDescent="0.3">
      <c r="A277" s="28">
        <v>2.4700000000000002</v>
      </c>
      <c r="B277" s="29">
        <v>0.16985128503774724</v>
      </c>
      <c r="C277" s="30">
        <v>0.78530322151321796</v>
      </c>
      <c r="D277" s="24">
        <f t="shared" si="10"/>
        <v>0.23014871496225278</v>
      </c>
      <c r="F277" s="24">
        <f t="shared" si="11"/>
        <v>2.4700000000000002</v>
      </c>
      <c r="J277" s="24"/>
      <c r="K277" s="24"/>
    </row>
    <row r="278" spans="1:11" ht="15" customHeight="1" x14ac:dyDescent="0.3">
      <c r="A278" s="28">
        <v>2.48</v>
      </c>
      <c r="B278" s="29">
        <v>0.16958522870936446</v>
      </c>
      <c r="C278" s="30">
        <v>0.78524058801431784</v>
      </c>
      <c r="D278" s="24">
        <f t="shared" si="10"/>
        <v>0.23041477129063556</v>
      </c>
      <c r="F278" s="24">
        <f t="shared" si="11"/>
        <v>2.48</v>
      </c>
      <c r="J278" s="24"/>
      <c r="K278" s="24"/>
    </row>
    <row r="279" spans="1:11" ht="15" customHeight="1" x14ac:dyDescent="0.3">
      <c r="A279" s="28">
        <v>2.4900000000000002</v>
      </c>
      <c r="B279" s="29">
        <v>0.16932084255444962</v>
      </c>
      <c r="C279" s="30">
        <v>0.78517779508931074</v>
      </c>
      <c r="D279" s="24">
        <f t="shared" si="10"/>
        <v>0.2306791574455504</v>
      </c>
      <c r="F279" s="24">
        <f t="shared" si="11"/>
        <v>2.4900000000000002</v>
      </c>
      <c r="J279" s="24"/>
      <c r="K279" s="24"/>
    </row>
    <row r="280" spans="1:11" ht="15" customHeight="1" x14ac:dyDescent="0.3">
      <c r="A280" s="31">
        <v>2.5</v>
      </c>
      <c r="B280" s="32">
        <v>0.16905810898725607</v>
      </c>
      <c r="C280" s="33">
        <v>0.78511484815048893</v>
      </c>
      <c r="D280" s="24">
        <f t="shared" si="10"/>
        <v>0.23094189101274396</v>
      </c>
      <c r="F280" s="24">
        <f t="shared" si="11"/>
        <v>2.5</v>
      </c>
      <c r="J280" s="24"/>
      <c r="K280" s="24"/>
    </row>
  </sheetData>
  <mergeCells count="1">
    <mergeCell ref="A1:A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0"/>
  <sheetViews>
    <sheetView workbookViewId="0">
      <selection activeCell="C45" sqref="C45"/>
    </sheetView>
  </sheetViews>
  <sheetFormatPr defaultRowHeight="15" customHeight="1" x14ac:dyDescent="0.3"/>
  <cols>
    <col min="1" max="1" width="32.33203125" customWidth="1"/>
    <col min="3" max="3" width="30.109375" bestFit="1" customWidth="1"/>
    <col min="4" max="4" width="11.33203125" customWidth="1"/>
    <col min="5" max="5" width="9.109375" customWidth="1"/>
    <col min="14" max="14" width="12.109375" customWidth="1"/>
  </cols>
  <sheetData>
    <row r="1" spans="1:15" ht="15" customHeight="1" x14ac:dyDescent="0.3">
      <c r="A1" s="94" t="s">
        <v>168</v>
      </c>
    </row>
    <row r="2" spans="1:15" ht="15" customHeight="1" x14ac:dyDescent="0.3">
      <c r="A2" s="94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86</v>
      </c>
      <c r="N2" t="s">
        <v>2</v>
      </c>
      <c r="O2" t="s">
        <v>15</v>
      </c>
    </row>
    <row r="3" spans="1:15" ht="15" customHeight="1" x14ac:dyDescent="0.3">
      <c r="A3" s="94"/>
      <c r="C3" t="s">
        <v>26</v>
      </c>
      <c r="D3" s="1" t="s">
        <v>11</v>
      </c>
      <c r="E3" s="2">
        <f>phi0!E3</f>
        <v>0.52868749999999987</v>
      </c>
      <c r="F3" s="2">
        <f>phi0!F3</f>
        <v>0.91743750000000002</v>
      </c>
      <c r="G3" s="2">
        <f>phi0!G3</f>
        <v>1.2655000000000001</v>
      </c>
      <c r="H3" s="2">
        <f>phi0!H3</f>
        <v>1.6353958333333327</v>
      </c>
      <c r="I3" s="2">
        <f>phi0!I3</f>
        <v>1.9437291666666665</v>
      </c>
      <c r="J3" s="2">
        <f>phi0!J3</f>
        <v>2.2155416666666663</v>
      </c>
      <c r="K3" s="2">
        <f>phi0!K3</f>
        <v>2.5180416666666665</v>
      </c>
      <c r="L3" s="2">
        <f>phi0!L3</f>
        <v>2.7956041666666671</v>
      </c>
      <c r="M3" s="2">
        <f>phi0!M3</f>
        <v>3.1556875000000009</v>
      </c>
      <c r="N3" s="1" t="s">
        <v>87</v>
      </c>
      <c r="O3" t="s">
        <v>37</v>
      </c>
    </row>
    <row r="4" spans="1:15" ht="15" customHeight="1" x14ac:dyDescent="0.3">
      <c r="A4" s="94"/>
      <c r="C4" s="3" t="s">
        <v>5</v>
      </c>
      <c r="D4" s="3" t="s">
        <v>12</v>
      </c>
      <c r="E4" s="2">
        <f>phi0!E4</f>
        <v>0.18988256328527628</v>
      </c>
      <c r="F4" s="2">
        <f>phi0!F4</f>
        <v>0.51525951357153688</v>
      </c>
      <c r="G4" s="2">
        <f>phi0!G4</f>
        <v>0.83071831606934499</v>
      </c>
      <c r="H4" s="2">
        <f>phi0!H4</f>
        <v>0.94003787933985505</v>
      </c>
      <c r="I4" s="2">
        <f>phi0!I4</f>
        <v>0.97565145415800825</v>
      </c>
      <c r="J4" s="2">
        <f>phi0!J4</f>
        <v>0.9890409620488283</v>
      </c>
      <c r="K4" s="2">
        <f>phi0!K4</f>
        <v>0.99470052453844637</v>
      </c>
      <c r="L4" s="2">
        <f>phi0!L4</f>
        <v>0.99730049511242003</v>
      </c>
      <c r="M4" s="2">
        <f>phi0!M4</f>
        <v>0.99856953956468197</v>
      </c>
      <c r="N4" s="5" t="s">
        <v>4</v>
      </c>
      <c r="O4" t="s">
        <v>37</v>
      </c>
    </row>
    <row r="5" spans="1:15" ht="15" customHeight="1" x14ac:dyDescent="0.3">
      <c r="A5" s="94"/>
      <c r="C5" s="1" t="s">
        <v>6</v>
      </c>
      <c r="D5" s="1" t="s">
        <v>8</v>
      </c>
      <c r="E5" s="2">
        <v>0.2</v>
      </c>
      <c r="F5" s="2">
        <f>E5</f>
        <v>0.2</v>
      </c>
      <c r="G5" s="2">
        <f t="shared" ref="G5:M5" si="0">F5</f>
        <v>0.2</v>
      </c>
      <c r="H5" s="2">
        <f t="shared" si="0"/>
        <v>0.2</v>
      </c>
      <c r="I5" s="2">
        <f t="shared" si="0"/>
        <v>0.2</v>
      </c>
      <c r="J5" s="2">
        <f t="shared" si="0"/>
        <v>0.2</v>
      </c>
      <c r="K5" s="2">
        <f t="shared" si="0"/>
        <v>0.2</v>
      </c>
      <c r="L5" s="2">
        <f t="shared" si="0"/>
        <v>0.2</v>
      </c>
      <c r="M5" s="2">
        <f t="shared" si="0"/>
        <v>0.2</v>
      </c>
      <c r="N5" s="4" t="s">
        <v>4</v>
      </c>
      <c r="O5" t="s">
        <v>38</v>
      </c>
    </row>
    <row r="6" spans="1:15" ht="15" customHeight="1" x14ac:dyDescent="0.35">
      <c r="A6" s="37" t="s">
        <v>39</v>
      </c>
      <c r="B6" s="17">
        <v>0.1</v>
      </c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1">F6*EXP(-F5)</f>
        <v>0.67032004603563922</v>
      </c>
      <c r="H6">
        <f t="shared" si="1"/>
        <v>0.54881163609402639</v>
      </c>
      <c r="I6">
        <f t="shared" si="1"/>
        <v>0.44932896411722151</v>
      </c>
      <c r="J6">
        <f t="shared" si="1"/>
        <v>0.36787944117144222</v>
      </c>
      <c r="K6">
        <f t="shared" si="1"/>
        <v>0.30119421191220203</v>
      </c>
      <c r="L6">
        <f t="shared" si="1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88</v>
      </c>
    </row>
    <row r="8" spans="1:15" ht="15" customHeight="1" x14ac:dyDescent="0.3">
      <c r="C8" s="3" t="s">
        <v>3</v>
      </c>
      <c r="D8" s="3" t="s">
        <v>13</v>
      </c>
      <c r="E8" s="2">
        <f>'phiF SPR YPR'!E8</f>
        <v>4.0436359999999998E-3</v>
      </c>
      <c r="F8" s="2">
        <f>'phiF SPR YPR'!F8</f>
        <v>4.8546620999999998E-2</v>
      </c>
      <c r="G8" s="2">
        <f>'phiF SPR YPR'!G8</f>
        <v>0.35489582200000003</v>
      </c>
      <c r="H8" s="2">
        <f>'phiF SPR YPR'!H8</f>
        <v>0.72466872699999996</v>
      </c>
      <c r="I8" s="2">
        <f>'phiF SPR YPR'!I8</f>
        <v>0.90894166899999995</v>
      </c>
      <c r="J8" s="2">
        <f>'phiF SPR YPR'!J8</f>
        <v>0.97144023599999996</v>
      </c>
      <c r="K8" s="2">
        <f>'phiF SPR YPR'!K8</f>
        <v>0.98972695300000002</v>
      </c>
      <c r="L8" s="2">
        <f>'phiF SPR YPR'!L8</f>
        <v>0.99659088699999998</v>
      </c>
      <c r="M8" s="2">
        <f>'phiF SPR YPR'!M8</f>
        <v>0.99806452199999995</v>
      </c>
      <c r="N8" s="4" t="s">
        <v>4</v>
      </c>
      <c r="O8" t="s">
        <v>40</v>
      </c>
    </row>
    <row r="9" spans="1:15" ht="15" customHeight="1" x14ac:dyDescent="0.3">
      <c r="C9" t="s">
        <v>20</v>
      </c>
      <c r="D9" t="s">
        <v>19</v>
      </c>
      <c r="E9" s="6">
        <f>B6</f>
        <v>0.1</v>
      </c>
      <c r="N9" s="4" t="s">
        <v>4</v>
      </c>
    </row>
    <row r="10" spans="1:15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>F10*EXP(-F5-$E$9*F8)</f>
        <v>0.66680406909640177</v>
      </c>
      <c r="H10">
        <f>G10*EXP(-G5-$E$9*G8)</f>
        <v>0.52689783648290989</v>
      </c>
      <c r="I10">
        <f>H10*EXP(-H5-$E$9*H8)</f>
        <v>0.40123199388411179</v>
      </c>
      <c r="J10">
        <f>I10*EXP(-I5-$E$9*I8)</f>
        <v>0.29995894985656085</v>
      </c>
      <c r="K10">
        <f t="shared" ref="K10:L10" si="2">J10*EXP(-J5-$E$9*J8)</f>
        <v>0.22285060358771858</v>
      </c>
      <c r="L10">
        <f t="shared" si="2"/>
        <v>0.16526147434211816</v>
      </c>
      <c r="M10" s="20">
        <f>L10*EXP(-L5-$E$9*L8)/(1-EXP(-M5-$E$9*M8))</f>
        <v>0.47278883928200716</v>
      </c>
      <c r="N10" s="4" t="s">
        <v>4</v>
      </c>
    </row>
    <row r="11" spans="1:15" ht="15" customHeight="1" x14ac:dyDescent="0.35">
      <c r="C11" s="14" t="s">
        <v>18</v>
      </c>
      <c r="D11" s="14" t="s">
        <v>22</v>
      </c>
      <c r="E11">
        <f>SUMPRODUCT(E10:M10,E3:M3,E4:M4)</f>
        <v>5.9252300739334878</v>
      </c>
      <c r="N11" s="1" t="s">
        <v>88</v>
      </c>
    </row>
    <row r="12" spans="1:15" ht="15" customHeight="1" x14ac:dyDescent="0.3">
      <c r="C12" s="24" t="s">
        <v>46</v>
      </c>
      <c r="D12" s="24" t="s">
        <v>25</v>
      </c>
      <c r="E12">
        <f>E11/E7</f>
        <v>0.68533628984063166</v>
      </c>
      <c r="N12" s="4" t="s">
        <v>4</v>
      </c>
    </row>
    <row r="13" spans="1:15" ht="15" customHeight="1" x14ac:dyDescent="0.3">
      <c r="C13" s="14" t="s">
        <v>49</v>
      </c>
      <c r="D13" s="14" t="s">
        <v>48</v>
      </c>
      <c r="E13">
        <f>E10*E3*$E$9*E8*(1-EXP(-$E$9*E8-E5))/($E$9*E8+E5)</f>
        <v>1.9372262843376736E-4</v>
      </c>
      <c r="F13">
        <f t="shared" ref="F13:M13" si="3">F10*F3*$E$9*F8*(1-EXP(-$E$9*F8-F5))/($E$9*F8+F5)</f>
        <v>3.2959186610397725E-3</v>
      </c>
      <c r="G13">
        <f t="shared" si="3"/>
        <v>2.6682615564540248E-2</v>
      </c>
      <c r="H13">
        <f t="shared" si="3"/>
        <v>5.4659536821670462E-2</v>
      </c>
      <c r="I13">
        <f t="shared" si="3"/>
        <v>6.1507859870212421E-2</v>
      </c>
      <c r="J13">
        <f t="shared" si="3"/>
        <v>5.5850928657019398E-2</v>
      </c>
      <c r="K13">
        <f t="shared" si="3"/>
        <v>4.8005090742236592E-2</v>
      </c>
      <c r="L13">
        <f t="shared" si="3"/>
        <v>3.9784853213727378E-2</v>
      </c>
      <c r="M13">
        <f t="shared" si="3"/>
        <v>0.12865982806513587</v>
      </c>
      <c r="N13" t="s">
        <v>87</v>
      </c>
    </row>
    <row r="14" spans="1:15" ht="15" customHeight="1" x14ac:dyDescent="0.3">
      <c r="C14" s="14" t="s">
        <v>45</v>
      </c>
      <c r="D14" s="14" t="s">
        <v>47</v>
      </c>
      <c r="E14">
        <f>SUM(E13:M13)</f>
        <v>0.41864035422401591</v>
      </c>
      <c r="N14" t="s">
        <v>87</v>
      </c>
    </row>
    <row r="15" spans="1:15" ht="15" customHeight="1" thickBot="1" x14ac:dyDescent="0.4">
      <c r="C15" s="85" t="s">
        <v>155</v>
      </c>
      <c r="D15" s="85" t="s">
        <v>159</v>
      </c>
      <c r="E15" s="17">
        <v>4.2758580000000004</v>
      </c>
      <c r="N15" t="s">
        <v>89</v>
      </c>
      <c r="O15" t="s">
        <v>156</v>
      </c>
    </row>
    <row r="16" spans="1:15" ht="15" customHeight="1" thickBot="1" x14ac:dyDescent="0.4">
      <c r="C16" s="69" t="s">
        <v>94</v>
      </c>
      <c r="D16" s="60" t="s">
        <v>63</v>
      </c>
      <c r="E16" s="73">
        <f>E11*E15</f>
        <v>25.335442413469096</v>
      </c>
      <c r="N16" t="s">
        <v>56</v>
      </c>
      <c r="O16" t="s">
        <v>171</v>
      </c>
    </row>
    <row r="17" spans="1:14" ht="15" customHeight="1" x14ac:dyDescent="0.35">
      <c r="B17" s="67">
        <v>5</v>
      </c>
      <c r="C17" s="85" t="s">
        <v>167</v>
      </c>
      <c r="D17" s="60" t="s">
        <v>57</v>
      </c>
      <c r="E17">
        <f>E7*E15</f>
        <v>36.967898517909518</v>
      </c>
      <c r="N17" t="s">
        <v>56</v>
      </c>
    </row>
    <row r="20" spans="1:14" ht="15" customHeight="1" x14ac:dyDescent="0.35">
      <c r="D20" t="s">
        <v>130</v>
      </c>
    </row>
    <row r="21" spans="1:14" ht="15" customHeight="1" x14ac:dyDescent="0.3">
      <c r="A21" s="38" t="s">
        <v>50</v>
      </c>
      <c r="B21" s="17">
        <v>40</v>
      </c>
      <c r="C21" t="s">
        <v>51</v>
      </c>
      <c r="D21" t="s">
        <v>154</v>
      </c>
    </row>
    <row r="22" spans="1:14" ht="15" customHeight="1" x14ac:dyDescent="0.3">
      <c r="A22" s="38" t="s">
        <v>52</v>
      </c>
      <c r="B22" s="24">
        <f>VLOOKUP(E30,D30:F280,3,FALSE)</f>
        <v>0.37</v>
      </c>
      <c r="C22" s="9"/>
      <c r="D22" t="s">
        <v>133</v>
      </c>
    </row>
    <row r="23" spans="1:14" ht="15" customHeight="1" x14ac:dyDescent="0.3">
      <c r="A23" s="58" t="str">
        <f>CONCATENATE("Equilibrium SSB at F at ",B21,"% SPR")</f>
        <v>Equilibrium SSB at F at 40% SPR</v>
      </c>
      <c r="B23" s="67">
        <v>5</v>
      </c>
    </row>
    <row r="24" spans="1:14" ht="15" customHeight="1" x14ac:dyDescent="0.3">
      <c r="A24" s="59" t="str">
        <f>CONCATENATE("SSB F",B21,"%SPR =")</f>
        <v>SSB F40%SPR =</v>
      </c>
      <c r="B24">
        <f>VLOOKUP(B22,F30:G280,2,FALSE)</f>
        <v>14.868351219196937</v>
      </c>
      <c r="C24" t="s">
        <v>56</v>
      </c>
    </row>
    <row r="26" spans="1:14" ht="15" customHeight="1" x14ac:dyDescent="0.3">
      <c r="C26" s="10"/>
    </row>
    <row r="27" spans="1:14" s="24" customFormat="1" ht="15" customHeight="1" x14ac:dyDescent="0.3">
      <c r="A27" s="21" t="s">
        <v>124</v>
      </c>
      <c r="B27" s="22"/>
      <c r="C27" s="23"/>
      <c r="D27"/>
      <c r="F27" s="22"/>
      <c r="G27" s="22"/>
      <c r="J27"/>
      <c r="K27"/>
      <c r="L27"/>
    </row>
    <row r="28" spans="1:14" ht="15" customHeight="1" thickBot="1" x14ac:dyDescent="0.35">
      <c r="A28" s="34" t="s">
        <v>19</v>
      </c>
      <c r="B28" s="35" t="s">
        <v>25</v>
      </c>
      <c r="C28" s="36" t="s">
        <v>47</v>
      </c>
      <c r="F28" s="68" t="s">
        <v>19</v>
      </c>
      <c r="G28" s="24" t="s">
        <v>92</v>
      </c>
    </row>
    <row r="29" spans="1:14" s="24" customFormat="1" ht="15" customHeight="1" thickBot="1" x14ac:dyDescent="0.35">
      <c r="A29" s="25"/>
      <c r="B29" s="26">
        <f>E12</f>
        <v>0.68533628984063166</v>
      </c>
      <c r="C29" s="27">
        <f>E14</f>
        <v>0.41864035422401591</v>
      </c>
      <c r="D29" s="58" t="s">
        <v>126</v>
      </c>
      <c r="E29" s="68" t="s">
        <v>128</v>
      </c>
      <c r="F29" s="56"/>
      <c r="G29" s="71">
        <f>E16</f>
        <v>25.335442413469096</v>
      </c>
      <c r="J29"/>
      <c r="K29"/>
      <c r="L29"/>
    </row>
    <row r="30" spans="1:14" ht="15" customHeight="1" x14ac:dyDescent="0.3">
      <c r="A30" s="28">
        <v>1E-4</v>
      </c>
      <c r="B30" s="29">
        <f t="dataTable" ref="B30:C280" dt2D="0" dtr="0" r1="B6"/>
        <v>0.99952159084272474</v>
      </c>
      <c r="C30" s="30">
        <v>6.8128969288715636E-4</v>
      </c>
      <c r="D30" s="24">
        <f t="shared" ref="D30:D93" si="4">ABS(B30-$B$21/100)</f>
        <v>0.59952159084272472</v>
      </c>
      <c r="E30" s="24">
        <f>MIN(D29:D280)</f>
        <v>2.1962788064296968E-3</v>
      </c>
      <c r="F30" s="24">
        <f t="shared" ref="F30:F93" si="5">A30</f>
        <v>1E-4</v>
      </c>
      <c r="G30">
        <f t="dataTable" ref="G30:G280" dt2D="0" dtr="0" r1="B6" ca="1"/>
        <v>36.950212736733327</v>
      </c>
      <c r="J30" s="24"/>
      <c r="K30" s="24"/>
    </row>
    <row r="31" spans="1:14" ht="15" customHeight="1" x14ac:dyDescent="0.3">
      <c r="A31" s="28">
        <v>0.01</v>
      </c>
      <c r="B31" s="29">
        <v>0.95448419702497456</v>
      </c>
      <c r="C31" s="30">
        <v>6.43343462730398E-2</v>
      </c>
      <c r="D31" s="24">
        <f t="shared" si="4"/>
        <v>0.55448419702497453</v>
      </c>
      <c r="F31" s="24">
        <f t="shared" si="5"/>
        <v>0.01</v>
      </c>
      <c r="G31">
        <v>35.285274932567617</v>
      </c>
      <c r="J31" s="24"/>
      <c r="K31" s="24"/>
    </row>
    <row r="32" spans="1:14" ht="15" customHeight="1" x14ac:dyDescent="0.3">
      <c r="A32" s="28">
        <v>0.02</v>
      </c>
      <c r="B32" s="29">
        <v>0.91323765685305125</v>
      </c>
      <c r="C32" s="30">
        <v>0.12173192642859101</v>
      </c>
      <c r="D32" s="24">
        <f t="shared" si="4"/>
        <v>0.51323765685305123</v>
      </c>
      <c r="F32" s="24">
        <f t="shared" si="5"/>
        <v>0.02</v>
      </c>
      <c r="G32">
        <v>33.760477021277076</v>
      </c>
      <c r="J32" s="24"/>
      <c r="K32" s="24"/>
    </row>
    <row r="33" spans="1:11" ht="15" customHeight="1" x14ac:dyDescent="0.3">
      <c r="A33" s="28">
        <v>0.03</v>
      </c>
      <c r="B33" s="29">
        <v>0.87569913806345145</v>
      </c>
      <c r="C33" s="30">
        <v>0.17314724253319588</v>
      </c>
      <c r="D33" s="24">
        <f t="shared" si="4"/>
        <v>0.47569913806345143</v>
      </c>
      <c r="F33" s="24">
        <f t="shared" si="5"/>
        <v>0.03</v>
      </c>
      <c r="G33">
        <v>32.37275686815051</v>
      </c>
      <c r="J33" s="24"/>
      <c r="K33" s="24"/>
    </row>
    <row r="34" spans="1:11" ht="15" customHeight="1" x14ac:dyDescent="0.3">
      <c r="A34" s="28">
        <v>0.04</v>
      </c>
      <c r="B34" s="29">
        <v>0.84140098817357856</v>
      </c>
      <c r="C34" s="30">
        <v>0.21937345502736541</v>
      </c>
      <c r="D34" s="24">
        <f t="shared" si="4"/>
        <v>0.44140098817357853</v>
      </c>
      <c r="F34" s="24">
        <f t="shared" si="5"/>
        <v>0.04</v>
      </c>
      <c r="G34">
        <v>31.104826343669639</v>
      </c>
      <c r="J34" s="24"/>
      <c r="K34" s="24"/>
    </row>
    <row r="35" spans="1:11" ht="15" customHeight="1" x14ac:dyDescent="0.3">
      <c r="A35" s="28">
        <v>0.05</v>
      </c>
      <c r="B35" s="29">
        <v>0.80995044719986264</v>
      </c>
      <c r="C35" s="30">
        <v>0.26107472664256853</v>
      </c>
      <c r="D35" s="24">
        <f t="shared" si="4"/>
        <v>0.40995044719986262</v>
      </c>
      <c r="F35" s="24">
        <f t="shared" si="5"/>
        <v>0.05</v>
      </c>
      <c r="G35">
        <v>29.942165936619954</v>
      </c>
      <c r="J35" s="24"/>
      <c r="K35" s="24"/>
    </row>
    <row r="36" spans="1:11" ht="15" customHeight="1" x14ac:dyDescent="0.3">
      <c r="A36" s="28">
        <v>0.06</v>
      </c>
      <c r="B36" s="29">
        <v>0.78101525965315455</v>
      </c>
      <c r="C36" s="30">
        <v>0.29881110713728715</v>
      </c>
      <c r="D36" s="24">
        <f t="shared" si="4"/>
        <v>0.38101525965315453</v>
      </c>
      <c r="F36" s="24">
        <f t="shared" si="5"/>
        <v>0.06</v>
      </c>
      <c r="G36">
        <v>28.872492859796569</v>
      </c>
      <c r="J36" s="24"/>
      <c r="K36" s="24"/>
    </row>
    <row r="37" spans="1:11" ht="15" customHeight="1" x14ac:dyDescent="0.3">
      <c r="A37" s="28">
        <v>7.0000000000000007E-2</v>
      </c>
      <c r="B37" s="29">
        <v>0.75431247955756053</v>
      </c>
      <c r="C37" s="30">
        <v>0.33305789025881521</v>
      </c>
      <c r="D37" s="24">
        <f t="shared" si="4"/>
        <v>0.35431247955756051</v>
      </c>
      <c r="F37" s="24">
        <f t="shared" si="5"/>
        <v>7.0000000000000007E-2</v>
      </c>
      <c r="G37">
        <v>27.885347195076594</v>
      </c>
      <c r="J37" s="24"/>
      <c r="K37" s="24"/>
    </row>
    <row r="38" spans="1:11" ht="15" customHeight="1" x14ac:dyDescent="0.3">
      <c r="A38" s="28">
        <v>0.08</v>
      </c>
      <c r="B38" s="29">
        <v>0.72959967133015535</v>
      </c>
      <c r="C38" s="30">
        <v>0.36422082325420319</v>
      </c>
      <c r="D38" s="24">
        <f t="shared" si="4"/>
        <v>0.32959967133015533</v>
      </c>
      <c r="F38" s="24">
        <f t="shared" si="5"/>
        <v>0.08</v>
      </c>
      <c r="G38">
        <v>26.97176660843332</v>
      </c>
      <c r="J38" s="24"/>
      <c r="K38" s="24"/>
    </row>
    <row r="39" spans="1:11" ht="15" customHeight="1" x14ac:dyDescent="0.3">
      <c r="A39" s="28">
        <v>0.09</v>
      </c>
      <c r="B39" s="29">
        <v>0.7066679289726443</v>
      </c>
      <c r="C39" s="30">
        <v>0.39264816896870791</v>
      </c>
      <c r="D39" s="24">
        <f t="shared" si="4"/>
        <v>0.30666792897264428</v>
      </c>
      <c r="F39" s="24">
        <f t="shared" si="5"/>
        <v>0.09</v>
      </c>
      <c r="G39">
        <v>26.124028284122005</v>
      </c>
      <c r="J39" s="24"/>
      <c r="K39" s="24"/>
    </row>
    <row r="40" spans="1:11" ht="15" customHeight="1" x14ac:dyDescent="0.3">
      <c r="A40" s="28">
        <v>0.1</v>
      </c>
      <c r="B40" s="29">
        <v>0.68533628984063166</v>
      </c>
      <c r="C40" s="30">
        <v>0.41864035422401591</v>
      </c>
      <c r="D40" s="24">
        <f t="shared" si="4"/>
        <v>0.28533628984063164</v>
      </c>
      <c r="F40" s="24">
        <f t="shared" si="5"/>
        <v>0.1</v>
      </c>
      <c r="G40">
        <v>25.335442413469096</v>
      </c>
      <c r="J40" s="24"/>
      <c r="K40" s="24"/>
    </row>
    <row r="41" spans="1:11" ht="15" customHeight="1" x14ac:dyDescent="0.3">
      <c r="A41" s="28">
        <v>0.11</v>
      </c>
      <c r="B41" s="29">
        <v>0.66544722847070559</v>
      </c>
      <c r="C41" s="30">
        <v>0.44245774905277546</v>
      </c>
      <c r="D41" s="24">
        <f t="shared" si="4"/>
        <v>0.26544722847070557</v>
      </c>
      <c r="F41" s="24">
        <f t="shared" si="5"/>
        <v>0.11</v>
      </c>
      <c r="G41">
        <v>24.600185611129195</v>
      </c>
      <c r="J41" s="24"/>
      <c r="K41" s="24"/>
    </row>
    <row r="42" spans="1:11" ht="15" customHeight="1" x14ac:dyDescent="0.3">
      <c r="A42" s="28">
        <v>0.12</v>
      </c>
      <c r="B42" s="29">
        <v>0.64686299448063744</v>
      </c>
      <c r="C42" s="30">
        <v>0.46432698537526651</v>
      </c>
      <c r="D42" s="24">
        <f t="shared" si="4"/>
        <v>0.24686299448063742</v>
      </c>
      <c r="F42" s="24">
        <f t="shared" si="5"/>
        <v>0.12</v>
      </c>
      <c r="G42">
        <v>23.913165534951268</v>
      </c>
      <c r="J42" s="24"/>
      <c r="K42" s="24"/>
    </row>
    <row r="43" spans="1:11" ht="15" customHeight="1" x14ac:dyDescent="0.3">
      <c r="A43" s="28">
        <v>0.13</v>
      </c>
      <c r="B43" s="29">
        <v>0.62946261569958595</v>
      </c>
      <c r="C43" s="30">
        <v>0.48444612475875548</v>
      </c>
      <c r="D43" s="24">
        <f t="shared" si="4"/>
        <v>0.22946261569958593</v>
      </c>
      <c r="F43" s="24">
        <f t="shared" si="5"/>
        <v>0.13</v>
      </c>
      <c r="G43">
        <v>23.269910098000171</v>
      </c>
      <c r="J43" s="24"/>
      <c r="K43" s="24"/>
    </row>
    <row r="44" spans="1:11" ht="15" customHeight="1" x14ac:dyDescent="0.3">
      <c r="A44" s="28">
        <v>0.14000000000000001</v>
      </c>
      <c r="B44" s="29">
        <v>0.6131394297182754</v>
      </c>
      <c r="C44" s="30">
        <v>0.50298891211688024</v>
      </c>
      <c r="D44" s="24">
        <f t="shared" si="4"/>
        <v>0.21313942971827537</v>
      </c>
      <c r="F44" s="24">
        <f t="shared" si="5"/>
        <v>0.14000000000000001</v>
      </c>
      <c r="G44">
        <v>22.66647621515412</v>
      </c>
      <c r="J44" s="24"/>
      <c r="K44" s="24"/>
    </row>
    <row r="45" spans="1:11" ht="15" customHeight="1" x14ac:dyDescent="0.3">
      <c r="A45" s="28">
        <v>0.15</v>
      </c>
      <c r="B45" s="29">
        <v>0.59779903828564174</v>
      </c>
      <c r="C45" s="30">
        <v>0.52010829811866577</v>
      </c>
      <c r="D45" s="24">
        <f t="shared" si="4"/>
        <v>0.19779903828564172</v>
      </c>
      <c r="F45" s="24">
        <f t="shared" si="5"/>
        <v>0.15</v>
      </c>
      <c r="G45">
        <v>22.099374181447509</v>
      </c>
      <c r="J45" s="24"/>
      <c r="K45" s="24"/>
    </row>
    <row r="46" spans="1:11" ht="15" customHeight="1" x14ac:dyDescent="0.3">
      <c r="A46" s="28">
        <v>0.16</v>
      </c>
      <c r="B46" s="29">
        <v>0.58335760241424339</v>
      </c>
      <c r="C46" s="30">
        <v>0.53593937249685797</v>
      </c>
      <c r="D46" s="24">
        <f t="shared" si="4"/>
        <v>0.18335760241424337</v>
      </c>
      <c r="F46" s="24">
        <f t="shared" si="5"/>
        <v>0.16</v>
      </c>
      <c r="G46">
        <v>21.565504645700756</v>
      </c>
      <c r="J46" s="24"/>
      <c r="K46" s="24"/>
    </row>
    <row r="47" spans="1:11" ht="15" customHeight="1" x14ac:dyDescent="0.3">
      <c r="A47" s="28">
        <v>0.17</v>
      </c>
      <c r="B47" s="29">
        <v>0.56974041379787388</v>
      </c>
      <c r="C47" s="30">
        <v>0.55060181972622135</v>
      </c>
      <c r="D47" s="24">
        <f t="shared" si="4"/>
        <v>0.16974041379787386</v>
      </c>
      <c r="F47" s="24">
        <f t="shared" si="5"/>
        <v>0.17</v>
      </c>
      <c r="G47">
        <v>21.062105798831578</v>
      </c>
      <c r="J47" s="24"/>
      <c r="K47" s="24"/>
    </row>
    <row r="48" spans="1:11" ht="15" customHeight="1" x14ac:dyDescent="0.3">
      <c r="A48" s="28">
        <v>0.18</v>
      </c>
      <c r="B48" s="29">
        <v>0.55688069168838961</v>
      </c>
      <c r="C48" s="30">
        <v>0.56420198509193298</v>
      </c>
      <c r="D48" s="24">
        <f t="shared" si="4"/>
        <v>0.15688069168838958</v>
      </c>
      <c r="F48" s="24">
        <f t="shared" si="5"/>
        <v>0.18</v>
      </c>
      <c r="G48">
        <v>20.586708896919646</v>
      </c>
      <c r="J48" s="24"/>
      <c r="K48" s="24"/>
    </row>
    <row r="49" spans="1:11" ht="15" customHeight="1" x14ac:dyDescent="0.3">
      <c r="A49" s="28">
        <v>0.19</v>
      </c>
      <c r="B49" s="29">
        <v>0.54471856479999958</v>
      </c>
      <c r="C49" s="30">
        <v>0.57683462112432093</v>
      </c>
      <c r="D49" s="24">
        <f t="shared" si="4"/>
        <v>0.14471856479999956</v>
      </c>
      <c r="F49" s="24">
        <f t="shared" si="5"/>
        <v>0.19</v>
      </c>
      <c r="G49">
        <v>20.137100624347703</v>
      </c>
      <c r="J49" s="24"/>
      <c r="K49" s="24"/>
    </row>
    <row r="50" spans="1:11" ht="15" customHeight="1" x14ac:dyDescent="0.3">
      <c r="A50" s="28">
        <v>0.2</v>
      </c>
      <c r="B50" s="29">
        <v>0.53320020588797934</v>
      </c>
      <c r="C50" s="30">
        <v>0.5885843703885929</v>
      </c>
      <c r="D50" s="24">
        <f t="shared" si="4"/>
        <v>0.13320020588797932</v>
      </c>
      <c r="F50" s="24">
        <f t="shared" si="5"/>
        <v>0.2</v>
      </c>
      <c r="G50">
        <v>19.711291100995279</v>
      </c>
      <c r="J50" s="24"/>
      <c r="K50" s="24"/>
    </row>
    <row r="51" spans="1:11" ht="15" customHeight="1" x14ac:dyDescent="0.3">
      <c r="A51" s="28">
        <v>0.21</v>
      </c>
      <c r="B51" s="29">
        <v>0.52227709295577129</v>
      </c>
      <c r="C51" s="30">
        <v>0.59952702969842908</v>
      </c>
      <c r="D51" s="24">
        <f t="shared" si="4"/>
        <v>0.12227709295577127</v>
      </c>
      <c r="F51" s="24">
        <f t="shared" si="5"/>
        <v>0.21</v>
      </c>
      <c r="G51">
        <v>19.307486570617751</v>
      </c>
      <c r="J51" s="24"/>
      <c r="K51" s="24"/>
    </row>
    <row r="52" spans="1:11" ht="15" customHeight="1" x14ac:dyDescent="0.3">
      <c r="A52" s="28">
        <v>0.22</v>
      </c>
      <c r="B52" s="29">
        <v>0.51190537600119057</v>
      </c>
      <c r="C52" s="30">
        <v>0.60973063224063184</v>
      </c>
      <c r="D52" s="24">
        <f t="shared" si="4"/>
        <v>0.11190537600119055</v>
      </c>
      <c r="F52" s="24">
        <f t="shared" si="5"/>
        <v>0.22</v>
      </c>
      <c r="G52">
        <v>18.924065990784328</v>
      </c>
      <c r="J52" s="24"/>
      <c r="K52" s="24"/>
    </row>
    <row r="53" spans="1:11" ht="15" customHeight="1" x14ac:dyDescent="0.3">
      <c r="A53" s="28">
        <v>0.23</v>
      </c>
      <c r="B53" s="29">
        <v>0.50204533213265934</v>
      </c>
      <c r="C53" s="30">
        <v>0.6192563773111408</v>
      </c>
      <c r="D53" s="24">
        <f t="shared" si="4"/>
        <v>0.10204533213265932</v>
      </c>
      <c r="F53" s="24">
        <f t="shared" si="5"/>
        <v>0.23</v>
      </c>
      <c r="G53">
        <v>18.55956088967033</v>
      </c>
      <c r="J53" s="24"/>
      <c r="K53" s="24"/>
    </row>
    <row r="54" spans="1:11" ht="15" customHeight="1" x14ac:dyDescent="0.3">
      <c r="A54" s="28">
        <v>0.24</v>
      </c>
      <c r="B54" s="29">
        <v>0.4926608950054514</v>
      </c>
      <c r="C54" s="30">
        <v>0.62815943196308066</v>
      </c>
      <c r="D54" s="24">
        <f t="shared" si="4"/>
        <v>9.2660895005451382E-2</v>
      </c>
      <c r="F54" s="24">
        <f t="shared" si="5"/>
        <v>0.24</v>
      </c>
      <c r="G54">
        <v>18.212637970304005</v>
      </c>
      <c r="J54" s="24"/>
      <c r="K54" s="24"/>
    </row>
    <row r="55" spans="1:11" ht="15" customHeight="1" x14ac:dyDescent="0.3">
      <c r="A55" s="28">
        <v>0.25</v>
      </c>
      <c r="B55" s="29">
        <v>0.48371924702369723</v>
      </c>
      <c r="C55" s="30">
        <v>0.63648962454709368</v>
      </c>
      <c r="D55" s="24">
        <f t="shared" si="4"/>
        <v>8.3719247023697207E-2</v>
      </c>
      <c r="F55" s="24">
        <f t="shared" si="5"/>
        <v>0.25</v>
      </c>
      <c r="G55">
        <v>17.882084035131644</v>
      </c>
      <c r="J55" s="24"/>
      <c r="K55" s="24"/>
    </row>
    <row r="56" spans="1:11" ht="15" customHeight="1" x14ac:dyDescent="0.3">
      <c r="A56" s="28">
        <v>0.26</v>
      </c>
      <c r="B56" s="29">
        <v>0.47519046476178278</v>
      </c>
      <c r="C56" s="30">
        <v>0.64429204664858242</v>
      </c>
      <c r="D56" s="24">
        <f t="shared" si="4"/>
        <v>7.519046476178276E-2</v>
      </c>
      <c r="F56" s="24">
        <f t="shared" si="5"/>
        <v>0.26</v>
      </c>
      <c r="G56">
        <v>17.566792877991844</v>
      </c>
      <c r="J56" s="24"/>
      <c r="K56" s="24"/>
    </row>
    <row r="57" spans="1:11" ht="15" customHeight="1" x14ac:dyDescent="0.3">
      <c r="A57" s="28">
        <v>0.27</v>
      </c>
      <c r="B57" s="29">
        <v>0.46704720968245955</v>
      </c>
      <c r="C57" s="30">
        <v>0.65160757711605088</v>
      </c>
      <c r="D57" s="24">
        <f t="shared" si="4"/>
        <v>6.704720968245953E-2</v>
      </c>
      <c r="F57" s="24">
        <f t="shared" si="5"/>
        <v>0.27</v>
      </c>
      <c r="G57">
        <v>17.265753850613972</v>
      </c>
      <c r="J57" s="24"/>
      <c r="K57" s="24"/>
    </row>
    <row r="58" spans="1:11" ht="15" customHeight="1" x14ac:dyDescent="0.3">
      <c r="A58" s="28">
        <v>0.28000000000000003</v>
      </c>
      <c r="B58" s="29">
        <v>0.45926445754849993</v>
      </c>
      <c r="C58" s="30">
        <v>0.65847333959100185</v>
      </c>
      <c r="D58" s="24">
        <f t="shared" si="4"/>
        <v>5.9264457548499905E-2</v>
      </c>
      <c r="F58" s="24">
        <f t="shared" si="5"/>
        <v>0.28000000000000003</v>
      </c>
      <c r="G58">
        <v>16.978041859535711</v>
      </c>
      <c r="J58" s="24"/>
      <c r="K58" s="24"/>
    </row>
    <row r="59" spans="1:11" ht="15" customHeight="1" x14ac:dyDescent="0.3">
      <c r="A59" s="28">
        <v>0.28999999999999998</v>
      </c>
      <c r="B59" s="29">
        <v>0.45181926100204461</v>
      </c>
      <c r="C59" s="30">
        <v>0.66492310308541891</v>
      </c>
      <c r="D59" s="24">
        <f t="shared" si="4"/>
        <v>5.1819261002044592E-2</v>
      </c>
      <c r="F59" s="24">
        <f t="shared" si="5"/>
        <v>0.28999999999999998</v>
      </c>
      <c r="G59">
        <v>16.702808589160458</v>
      </c>
      <c r="J59" s="24"/>
      <c r="K59" s="24"/>
    </row>
    <row r="60" spans="1:11" ht="15" customHeight="1" x14ac:dyDescent="0.3">
      <c r="A60" s="28">
        <v>0.3</v>
      </c>
      <c r="B60" s="29">
        <v>0.44469054066934505</v>
      </c>
      <c r="C60" s="30">
        <v>0.67098763362390867</v>
      </c>
      <c r="D60" s="24">
        <f t="shared" si="4"/>
        <v>4.4690540669345025E-2</v>
      </c>
      <c r="F60" s="24">
        <f t="shared" si="5"/>
        <v>0.3</v>
      </c>
      <c r="G60">
        <v>16.439274779338664</v>
      </c>
      <c r="J60" s="24"/>
      <c r="K60" s="24"/>
    </row>
    <row r="61" spans="1:11" ht="15" customHeight="1" x14ac:dyDescent="0.3">
      <c r="A61" s="28">
        <v>0.31</v>
      </c>
      <c r="B61" s="29">
        <v>0.43785890087636159</v>
      </c>
      <c r="C61" s="30">
        <v>0.67669500370839575</v>
      </c>
      <c r="D61" s="24">
        <f t="shared" si="4"/>
        <v>3.7858900876361568E-2</v>
      </c>
      <c r="F61" s="24">
        <f t="shared" si="5"/>
        <v>0.31</v>
      </c>
      <c r="G61">
        <v>16.186723412760738</v>
      </c>
      <c r="J61" s="24"/>
      <c r="K61" s="24"/>
    </row>
    <row r="62" spans="1:11" ht="15" customHeight="1" x14ac:dyDescent="0.3">
      <c r="A62" s="28">
        <v>0.32</v>
      </c>
      <c r="B62" s="29">
        <v>0.43130646666254246</v>
      </c>
      <c r="C62" s="30">
        <v>0.68207086532196659</v>
      </c>
      <c r="D62" s="24">
        <f t="shared" si="4"/>
        <v>3.1306466662542443E-2</v>
      </c>
      <c r="F62" s="24">
        <f t="shared" si="5"/>
        <v>0.32</v>
      </c>
      <c r="G62">
        <v>15.944493689698994</v>
      </c>
      <c r="J62" s="24"/>
      <c r="K62" s="24"/>
    </row>
    <row r="63" spans="1:11" ht="15" customHeight="1" x14ac:dyDescent="0.3">
      <c r="A63" s="28">
        <v>0.33</v>
      </c>
      <c r="B63" s="29">
        <v>0.42501673927986727</v>
      </c>
      <c r="C63" s="30">
        <v>0.68713869132399574</v>
      </c>
      <c r="D63" s="24">
        <f t="shared" si="4"/>
        <v>2.5016739279867251E-2</v>
      </c>
      <c r="F63" s="24">
        <f t="shared" si="5"/>
        <v>0.33</v>
      </c>
      <c r="G63">
        <v>15.711975686110941</v>
      </c>
      <c r="J63" s="24"/>
      <c r="K63" s="24"/>
    </row>
    <row r="64" spans="1:11" ht="15" customHeight="1" x14ac:dyDescent="0.3">
      <c r="A64" s="28">
        <v>0.34</v>
      </c>
      <c r="B64" s="29">
        <v>0.41897446778074526</v>
      </c>
      <c r="C64" s="30">
        <v>0.69191998936830301</v>
      </c>
      <c r="D64" s="24">
        <f t="shared" si="4"/>
        <v>1.8974467780745241E-2</v>
      </c>
      <c r="F64" s="24">
        <f t="shared" si="5"/>
        <v>0.34</v>
      </c>
      <c r="G64">
        <v>15.488605606513742</v>
      </c>
      <c r="J64" s="24"/>
      <c r="K64" s="24"/>
    </row>
    <row r="65" spans="1:11" ht="15" customHeight="1" x14ac:dyDescent="0.3">
      <c r="A65" s="28">
        <v>0.35</v>
      </c>
      <c r="B65" s="29">
        <v>0.41316553464675532</v>
      </c>
      <c r="C65" s="30">
        <v>0.69643449187361295</v>
      </c>
      <c r="D65" s="24">
        <f t="shared" si="4"/>
        <v>1.3165534646755295E-2</v>
      </c>
      <c r="F65" s="24">
        <f t="shared" si="5"/>
        <v>0.35</v>
      </c>
      <c r="G65">
        <v>15.273861555919078</v>
      </c>
      <c r="J65" s="24"/>
      <c r="K65" s="24"/>
    </row>
    <row r="66" spans="1:11" ht="15" customHeight="1" x14ac:dyDescent="0.3">
      <c r="A66" s="28">
        <v>0.36</v>
      </c>
      <c r="B66" s="29">
        <v>0.40757685370266106</v>
      </c>
      <c r="C66" s="30">
        <v>0.70070032506996671</v>
      </c>
      <c r="D66" s="24">
        <f t="shared" si="4"/>
        <v>7.576853702661035E-3</v>
      </c>
      <c r="F66" s="24">
        <f t="shared" si="5"/>
        <v>0.36</v>
      </c>
      <c r="G66">
        <v>15.06725976592883</v>
      </c>
      <c r="J66" s="24"/>
      <c r="K66" s="24"/>
    </row>
    <row r="67" spans="1:11" ht="15" customHeight="1" x14ac:dyDescent="0.3">
      <c r="A67" s="28">
        <v>0.37</v>
      </c>
      <c r="B67" s="29">
        <v>0.40219627880642972</v>
      </c>
      <c r="C67" s="30">
        <v>0.70473415971899789</v>
      </c>
      <c r="D67" s="24">
        <f t="shared" si="4"/>
        <v>2.1962788064296968E-3</v>
      </c>
      <c r="F67" s="24">
        <f t="shared" si="5"/>
        <v>0.37</v>
      </c>
      <c r="G67">
        <v>14.868351219196937</v>
      </c>
      <c r="J67" s="24"/>
      <c r="K67" s="24"/>
    </row>
    <row r="68" spans="1:11" ht="15" customHeight="1" x14ac:dyDescent="0.3">
      <c r="A68" s="28">
        <v>0.38</v>
      </c>
      <c r="B68" s="29">
        <v>0.39701252201407877</v>
      </c>
      <c r="C68" s="30">
        <v>0.70855134574633194</v>
      </c>
      <c r="D68" s="24">
        <f t="shared" si="4"/>
        <v>2.9874779859212497E-3</v>
      </c>
      <c r="F68" s="24">
        <f t="shared" si="5"/>
        <v>0.38</v>
      </c>
      <c r="G68">
        <v>14.676718624155782</v>
      </c>
      <c r="J68" s="24"/>
      <c r="K68" s="24"/>
    </row>
    <row r="69" spans="1:11" ht="15" customHeight="1" x14ac:dyDescent="0.3">
      <c r="A69" s="28">
        <v>0.39</v>
      </c>
      <c r="B69" s="29">
        <v>0.3920150800945556</v>
      </c>
      <c r="C69" s="30">
        <v>0.71216603271964074</v>
      </c>
      <c r="D69" s="24">
        <f t="shared" si="4"/>
        <v>7.9849199054444209E-3</v>
      </c>
      <c r="F69" s="24">
        <f t="shared" si="5"/>
        <v>0.39</v>
      </c>
      <c r="G69">
        <v>14.491973698425703</v>
      </c>
      <c r="J69" s="24"/>
      <c r="K69" s="24"/>
    </row>
    <row r="70" spans="1:11" ht="15" customHeight="1" x14ac:dyDescent="0.3">
      <c r="A70" s="28">
        <v>0.4</v>
      </c>
      <c r="B70" s="29">
        <v>0.38719416841978377</v>
      </c>
      <c r="C70" s="30">
        <v>0.71559127784690002</v>
      </c>
      <c r="D70" s="24">
        <f t="shared" si="4"/>
        <v>1.2805831580216254E-2</v>
      </c>
      <c r="F70" s="24">
        <f t="shared" si="5"/>
        <v>0.4</v>
      </c>
      <c r="G70">
        <v>14.313754724868932</v>
      </c>
      <c r="J70" s="24"/>
      <c r="K70" s="24"/>
    </row>
    <row r="71" spans="1:11" ht="15" customHeight="1" x14ac:dyDescent="0.3">
      <c r="A71" s="28">
        <v>0.41</v>
      </c>
      <c r="B71" s="29">
        <v>0.3825406613828321</v>
      </c>
      <c r="C71" s="30">
        <v>0.71883914294866724</v>
      </c>
      <c r="D71" s="24">
        <f t="shared" si="4"/>
        <v>1.7459338617167919E-2</v>
      </c>
      <c r="F71" s="24">
        <f t="shared" si="5"/>
        <v>0.41</v>
      </c>
      <c r="G71">
        <v>14.141724348974526</v>
      </c>
      <c r="J71" s="24"/>
      <c r="K71" s="24"/>
    </row>
    <row r="72" spans="1:11" ht="15" customHeight="1" x14ac:dyDescent="0.3">
      <c r="A72" s="28">
        <v>0.42</v>
      </c>
      <c r="B72" s="29">
        <v>0.37804603860644587</v>
      </c>
      <c r="C72" s="30">
        <v>0.72192078166957041</v>
      </c>
      <c r="D72" s="24">
        <f t="shared" si="4"/>
        <v>2.1953961393554156E-2</v>
      </c>
      <c r="F72" s="24">
        <f t="shared" si="5"/>
        <v>0.42</v>
      </c>
      <c r="G72">
        <v>13.975567590300795</v>
      </c>
      <c r="J72" s="24"/>
      <c r="K72" s="24"/>
    </row>
    <row r="73" spans="1:11" ht="15" customHeight="1" x14ac:dyDescent="0.3">
      <c r="A73" s="28">
        <v>0.43</v>
      </c>
      <c r="B73" s="29">
        <v>0.37370233629784722</v>
      </c>
      <c r="C73" s="30">
        <v>0.72484651803252975</v>
      </c>
      <c r="D73" s="24">
        <f t="shared" si="4"/>
        <v>2.6297663702152807E-2</v>
      </c>
      <c r="F73" s="24">
        <f t="shared" si="5"/>
        <v>0.43</v>
      </c>
      <c r="G73">
        <v>13.81499004416451</v>
      </c>
      <c r="J73" s="24"/>
      <c r="K73" s="24"/>
    </row>
    <row r="74" spans="1:11" ht="15" customHeight="1" x14ac:dyDescent="0.3">
      <c r="A74" s="28">
        <v>0.44</v>
      </c>
      <c r="B74" s="29">
        <v>0.36950210318622317</v>
      </c>
      <c r="C74" s="30">
        <v>0.72762591730038206</v>
      </c>
      <c r="D74" s="24">
        <f t="shared" si="4"/>
        <v>3.0497896813776848E-2</v>
      </c>
      <c r="F74" s="24">
        <f t="shared" si="5"/>
        <v>0.44</v>
      </c>
      <c r="G74">
        <v>13.659716252742429</v>
      </c>
      <c r="J74" s="24"/>
      <c r="K74" s="24"/>
    </row>
    <row r="75" spans="1:11" ht="15" customHeight="1" x14ac:dyDescent="0.3">
      <c r="A75" s="28">
        <v>0.45</v>
      </c>
      <c r="B75" s="29">
        <v>0.36543836054868317</v>
      </c>
      <c r="C75" s="30">
        <v>0.73026784998995797</v>
      </c>
      <c r="D75" s="24">
        <f t="shared" si="4"/>
        <v>3.456163945131685E-2</v>
      </c>
      <c r="F75" s="24">
        <f t="shared" si="5"/>
        <v>0.45</v>
      </c>
      <c r="G75">
        <v>13.509488227314948</v>
      </c>
      <c r="J75" s="24"/>
      <c r="K75" s="24"/>
    </row>
    <row r="76" spans="1:11" ht="15" customHeight="1" x14ac:dyDescent="0.3">
      <c r="A76" s="28">
        <v>0.46</v>
      </c>
      <c r="B76" s="29">
        <v>0.36150456589037933</v>
      </c>
      <c r="C76" s="30">
        <v>0.73278054978041451</v>
      </c>
      <c r="D76" s="24">
        <f t="shared" si="4"/>
        <v>3.8495434109620696E-2</v>
      </c>
      <c r="F76" s="24">
        <f t="shared" si="5"/>
        <v>0.46</v>
      </c>
      <c r="G76">
        <v>13.364064105596476</v>
      </c>
      <c r="J76" s="24"/>
      <c r="K76" s="24"/>
    </row>
    <row r="77" spans="1:11" ht="15" customHeight="1" x14ac:dyDescent="0.3">
      <c r="A77" s="28">
        <v>0.47</v>
      </c>
      <c r="B77" s="29">
        <v>0.35769457989634645</v>
      </c>
      <c r="C77" s="30">
        <v>0.73517166596827765</v>
      </c>
      <c r="D77" s="24">
        <f t="shared" si="4"/>
        <v>4.2305420103653568E-2</v>
      </c>
      <c r="F77" s="24">
        <f t="shared" si="5"/>
        <v>0.47</v>
      </c>
      <c r="G77">
        <v>13.223216930014413</v>
      </c>
      <c r="J77" s="24"/>
      <c r="K77" s="24"/>
    </row>
    <row r="78" spans="1:11" ht="15" customHeight="1" x14ac:dyDescent="0.3">
      <c r="A78" s="28">
        <v>0.48</v>
      </c>
      <c r="B78" s="29">
        <v>0.35400263631762141</v>
      </c>
      <c r="C78" s="30">
        <v>0.73744831104416164</v>
      </c>
      <c r="D78" s="24">
        <f t="shared" si="4"/>
        <v>4.5997363682378611E-2</v>
      </c>
      <c r="F78" s="24">
        <f t="shared" si="5"/>
        <v>0.48</v>
      </c>
      <c r="G78">
        <v>13.08673353446226</v>
      </c>
      <c r="J78" s="24"/>
      <c r="K78" s="24"/>
    </row>
    <row r="79" spans="1:11" ht="15" customHeight="1" x14ac:dyDescent="0.3">
      <c r="A79" s="28">
        <v>0.49</v>
      </c>
      <c r="B79" s="29">
        <v>0.35042331449334041</v>
      </c>
      <c r="C79" s="30">
        <v>0.73961710389878788</v>
      </c>
      <c r="D79" s="24">
        <f t="shared" si="4"/>
        <v>4.9576685506659612E-2</v>
      </c>
      <c r="F79" s="24">
        <f t="shared" si="5"/>
        <v>0.49</v>
      </c>
      <c r="G79">
        <v>12.9544135284993</v>
      </c>
      <c r="J79" s="24"/>
      <c r="K79" s="24"/>
    </row>
    <row r="80" spans="1:11" ht="15" customHeight="1" x14ac:dyDescent="0.3">
      <c r="A80" s="28">
        <v>0.5</v>
      </c>
      <c r="B80" s="29">
        <v>0.34695151424461262</v>
      </c>
      <c r="C80" s="30">
        <v>0.7416842091072724</v>
      </c>
      <c r="D80" s="24">
        <f t="shared" si="4"/>
        <v>5.3048485755387398E-2</v>
      </c>
      <c r="F80" s="24">
        <f t="shared" si="5"/>
        <v>0.5</v>
      </c>
      <c r="G80">
        <v>12.826068369229878</v>
      </c>
      <c r="J80" s="24"/>
      <c r="K80" s="24"/>
    </row>
    <row r="81" spans="1:11" ht="15" customHeight="1" x14ac:dyDescent="0.3">
      <c r="A81" s="28">
        <v>0.51</v>
      </c>
      <c r="B81" s="29">
        <v>0.34358243290575535</v>
      </c>
      <c r="C81" s="30">
        <v>0.74365537268946535</v>
      </c>
      <c r="D81" s="24">
        <f t="shared" si="4"/>
        <v>5.6417567094244669E-2</v>
      </c>
      <c r="F81" s="24">
        <f t="shared" si="5"/>
        <v>0.51</v>
      </c>
      <c r="G81">
        <v>12.701520512196419</v>
      </c>
      <c r="J81" s="24"/>
      <c r="K81" s="24"/>
    </row>
    <row r="82" spans="1:11" ht="15" customHeight="1" x14ac:dyDescent="0.3">
      <c r="A82" s="28">
        <v>0.52</v>
      </c>
      <c r="B82" s="29">
        <v>0.34031154428453309</v>
      </c>
      <c r="C82" s="30">
        <v>0.74553595469935863</v>
      </c>
      <c r="D82" s="24">
        <f t="shared" si="4"/>
        <v>5.9688455715466937E-2</v>
      </c>
      <c r="F82" s="24">
        <f t="shared" si="5"/>
        <v>0.52</v>
      </c>
      <c r="G82">
        <v>12.580602633583691</v>
      </c>
      <c r="J82" s="24"/>
      <c r="K82" s="24"/>
    </row>
    <row r="83" spans="1:11" ht="15" customHeight="1" x14ac:dyDescent="0.3">
      <c r="A83" s="28">
        <v>0.53</v>
      </c>
      <c r="B83" s="29">
        <v>0.33713457936589597</v>
      </c>
      <c r="C83" s="30">
        <v>0.74733095895737112</v>
      </c>
      <c r="D83" s="24">
        <f t="shared" si="4"/>
        <v>6.2865420634104052E-2</v>
      </c>
      <c r="F83" s="24">
        <f t="shared" si="5"/>
        <v>0.53</v>
      </c>
      <c r="G83">
        <v>12.463156916876555</v>
      </c>
      <c r="J83" s="24"/>
      <c r="K83" s="24"/>
    </row>
    <row r="84" spans="1:11" ht="15" customHeight="1" x14ac:dyDescent="0.3">
      <c r="A84" s="28">
        <v>0.54</v>
      </c>
      <c r="B84" s="29">
        <v>0.3340475085937758</v>
      </c>
      <c r="C84" s="30">
        <v>0.74904506020489758</v>
      </c>
      <c r="D84" s="24">
        <f t="shared" si="4"/>
        <v>6.5952491406224223E-2</v>
      </c>
      <c r="F84" s="24">
        <f t="shared" si="5"/>
        <v>0.54</v>
      </c>
      <c r="G84">
        <v>12.349034397855213</v>
      </c>
      <c r="J84" s="24"/>
      <c r="K84" s="24"/>
    </row>
    <row r="85" spans="1:11" ht="15" customHeight="1" x14ac:dyDescent="0.3">
      <c r="A85" s="28">
        <v>0.55000000000000004</v>
      </c>
      <c r="B85" s="29">
        <v>0.33104652558316783</v>
      </c>
      <c r="C85" s="30">
        <v>0.75068262893023951</v>
      </c>
      <c r="D85" s="24">
        <f t="shared" si="4"/>
        <v>6.8953474416832194E-2</v>
      </c>
      <c r="F85" s="24">
        <f t="shared" si="5"/>
        <v>0.55000000000000004</v>
      </c>
      <c r="G85">
        <v>12.238094362465086</v>
      </c>
      <c r="J85" s="24"/>
      <c r="K85" s="24"/>
    </row>
    <row r="86" spans="1:11" ht="15" customHeight="1" x14ac:dyDescent="0.3">
      <c r="A86" s="28">
        <v>0.56000000000000005</v>
      </c>
      <c r="B86" s="29">
        <v>0.32812803213029046</v>
      </c>
      <c r="C86" s="30">
        <v>0.75224775408838829</v>
      </c>
      <c r="D86" s="24">
        <f t="shared" si="4"/>
        <v>7.1871967869709563E-2</v>
      </c>
      <c r="F86" s="24">
        <f t="shared" si="5"/>
        <v>0.56000000000000005</v>
      </c>
      <c r="G86">
        <v>12.130203792673932</v>
      </c>
      <c r="J86" s="24"/>
      <c r="K86" s="24"/>
    </row>
    <row r="87" spans="1:11" ht="15" customHeight="1" x14ac:dyDescent="0.3">
      <c r="A87" s="28">
        <v>0.56999999999999995</v>
      </c>
      <c r="B87" s="29">
        <v>0.32528862440236567</v>
      </c>
      <c r="C87" s="30">
        <v>0.75374426391359517</v>
      </c>
      <c r="D87" s="24">
        <f t="shared" si="4"/>
        <v>7.4711375597634355E-2</v>
      </c>
      <c r="F87" s="24">
        <f t="shared" si="5"/>
        <v>0.56999999999999995</v>
      </c>
      <c r="G87">
        <v>12.02523685593704</v>
      </c>
      <c r="J87" s="24"/>
      <c r="K87" s="24"/>
    </row>
    <row r="88" spans="1:11" ht="15" customHeight="1" x14ac:dyDescent="0.3">
      <c r="A88" s="28">
        <v>0.57999999999999996</v>
      </c>
      <c r="B88" s="29">
        <v>0.32252508020073262</v>
      </c>
      <c r="C88" s="30">
        <v>0.75517574500289719</v>
      </c>
      <c r="D88" s="24">
        <f t="shared" si="4"/>
        <v>7.7474919799267405E-2</v>
      </c>
      <c r="F88" s="24">
        <f t="shared" si="5"/>
        <v>0.57999999999999996</v>
      </c>
      <c r="G88">
        <v>11.923074434341311</v>
      </c>
      <c r="J88" s="24"/>
      <c r="K88" s="24"/>
    </row>
    <row r="89" spans="1:11" ht="15" customHeight="1" x14ac:dyDescent="0.3">
      <c r="A89" s="28">
        <v>0.59</v>
      </c>
      <c r="B89" s="29">
        <v>0.31983434720177595</v>
      </c>
      <c r="C89" s="30">
        <v>0.75654555983034633</v>
      </c>
      <c r="D89" s="24">
        <f t="shared" si="4"/>
        <v>8.0165652798224074E-2</v>
      </c>
      <c r="F89" s="24">
        <f t="shared" si="5"/>
        <v>0.59</v>
      </c>
      <c r="G89">
        <v>11.823603689897093</v>
      </c>
      <c r="J89" s="24"/>
      <c r="K89" s="24"/>
    </row>
    <row r="90" spans="1:11" ht="15" customHeight="1" x14ac:dyDescent="0.3">
      <c r="A90" s="28">
        <v>0.6</v>
      </c>
      <c r="B90" s="29">
        <v>0.31721353208972275</v>
      </c>
      <c r="C90" s="30">
        <v>0.75785686283539866</v>
      </c>
      <c r="D90" s="24">
        <f t="shared" si="4"/>
        <v>8.2786467910277273E-2</v>
      </c>
      <c r="F90" s="24">
        <f t="shared" si="5"/>
        <v>0.6</v>
      </c>
      <c r="G90">
        <v>11.726717662800505</v>
      </c>
      <c r="J90" s="24"/>
      <c r="K90" s="24"/>
    </row>
    <row r="91" spans="1:11" ht="15" customHeight="1" x14ac:dyDescent="0.3">
      <c r="A91" s="28">
        <v>0.61</v>
      </c>
      <c r="B91" s="29">
        <v>0.31465989050385901</v>
      </c>
      <c r="C91" s="30">
        <v>0.75911261521442286</v>
      </c>
      <c r="D91" s="24">
        <f t="shared" si="4"/>
        <v>8.5340109496141014E-2</v>
      </c>
      <c r="F91" s="24">
        <f t="shared" si="5"/>
        <v>0.61</v>
      </c>
      <c r="G91">
        <v>11.632314899803182</v>
      </c>
      <c r="J91" s="24"/>
      <c r="K91" s="24"/>
    </row>
    <row r="92" spans="1:11" ht="15" customHeight="1" x14ac:dyDescent="0.3">
      <c r="A92" s="28">
        <v>0.62</v>
      </c>
      <c r="B92" s="29">
        <v>0.31217081773028965</v>
      </c>
      <c r="C92" s="30">
        <v>0.76031559853142527</v>
      </c>
      <c r="D92" s="24">
        <f t="shared" si="4"/>
        <v>8.7829182269710371E-2</v>
      </c>
      <c r="F92" s="24">
        <f t="shared" si="5"/>
        <v>0.62</v>
      </c>
      <c r="G92">
        <v>11.540299110106178</v>
      </c>
      <c r="J92" s="24"/>
      <c r="K92" s="24"/>
    </row>
    <row r="93" spans="1:11" ht="15" customHeight="1" x14ac:dyDescent="0.3">
      <c r="A93" s="28">
        <v>0.63</v>
      </c>
      <c r="B93" s="29">
        <v>0.30974384007510952</v>
      </c>
      <c r="C93" s="30">
        <v>0.76146842725260622</v>
      </c>
      <c r="D93" s="24">
        <f t="shared" si="4"/>
        <v>9.02561599248905E-2</v>
      </c>
      <c r="F93" s="24">
        <f t="shared" si="5"/>
        <v>0.63</v>
      </c>
      <c r="G93">
        <v>11.450578846444243</v>
      </c>
      <c r="J93" s="24"/>
      <c r="K93" s="24"/>
    </row>
    <row r="94" spans="1:11" ht="15" customHeight="1" x14ac:dyDescent="0.3">
      <c r="A94" s="28">
        <v>0.64</v>
      </c>
      <c r="B94" s="29">
        <v>0.30737660686187879</v>
      </c>
      <c r="C94" s="30">
        <v>0.76257356029915857</v>
      </c>
      <c r="D94" s="24">
        <f t="shared" ref="D94:D157" si="6">ABS(B94-$B$21/100)</f>
        <v>9.2623393138121235E-2</v>
      </c>
      <c r="F94" s="24">
        <f t="shared" ref="F94:F157" si="7">A94</f>
        <v>0.64</v>
      </c>
      <c r="G94">
        <v>11.363067209249305</v>
      </c>
      <c r="J94" s="24"/>
      <c r="K94" s="24"/>
    </row>
    <row r="95" spans="1:11" ht="15" customHeight="1" x14ac:dyDescent="0.3">
      <c r="A95" s="28">
        <v>0.65</v>
      </c>
      <c r="B95" s="29">
        <v>0.30506688300168544</v>
      </c>
      <c r="C95" s="30">
        <v>0.76363331170357773</v>
      </c>
      <c r="D95" s="24">
        <f t="shared" si="6"/>
        <v>9.4933116998314582E-2</v>
      </c>
      <c r="F95" s="24">
        <f t="shared" si="7"/>
        <v>0.65</v>
      </c>
      <c r="G95">
        <v>11.277681571981285</v>
      </c>
      <c r="J95" s="24"/>
      <c r="K95" s="24"/>
    </row>
    <row r="96" spans="1:11" ht="15" customHeight="1" x14ac:dyDescent="0.3">
      <c r="A96" s="28">
        <v>0.66</v>
      </c>
      <c r="B96" s="29">
        <v>0.3028125420888938</v>
      </c>
      <c r="C96" s="30">
        <v>0.76464986044659855</v>
      </c>
      <c r="D96" s="24">
        <f t="shared" si="6"/>
        <v>9.7187457911106223E-2</v>
      </c>
      <c r="F96" s="24">
        <f t="shared" si="7"/>
        <v>0.66</v>
      </c>
      <c r="G96">
        <v>11.194343325892431</v>
      </c>
      <c r="J96" s="24"/>
      <c r="K96" s="24"/>
    </row>
    <row r="97" spans="1:11" ht="15" customHeight="1" x14ac:dyDescent="0.3">
      <c r="A97" s="28">
        <v>0.67</v>
      </c>
      <c r="B97" s="29">
        <v>0.30061155998000555</v>
      </c>
      <c r="C97" s="30">
        <v>0.76562525954456917</v>
      </c>
      <c r="D97" s="24">
        <f t="shared" si="6"/>
        <v>9.9388440019994473E-2</v>
      </c>
      <c r="F97" s="24">
        <f t="shared" si="7"/>
        <v>0.67</v>
      </c>
      <c r="G97">
        <v>11.112977642651316</v>
      </c>
      <c r="J97" s="24"/>
      <c r="K97" s="24"/>
    </row>
    <row r="98" spans="1:11" ht="15" customHeight="1" x14ac:dyDescent="0.3">
      <c r="A98" s="28">
        <v>0.68</v>
      </c>
      <c r="B98" s="29">
        <v>0.29846200881694074</v>
      </c>
      <c r="C98" s="30">
        <v>0.76656144445053254</v>
      </c>
      <c r="D98" s="24">
        <f t="shared" si="6"/>
        <v>0.10153799118305928</v>
      </c>
      <c r="F98" s="24">
        <f t="shared" si="7"/>
        <v>0.68</v>
      </c>
      <c r="G98">
        <v>11.03351325339608</v>
      </c>
      <c r="J98" s="24"/>
      <c r="K98" s="24"/>
    </row>
    <row r="99" spans="1:11" ht="15" customHeight="1" x14ac:dyDescent="0.3">
      <c r="A99" s="28">
        <v>0.69</v>
      </c>
      <c r="B99" s="29">
        <v>0.29636205145952904</v>
      </c>
      <c r="C99" s="30">
        <v>0.76746024082639364</v>
      </c>
      <c r="D99" s="24">
        <f t="shared" si="6"/>
        <v>0.10363794854047098</v>
      </c>
      <c r="F99" s="24">
        <f t="shared" si="7"/>
        <v>0.69</v>
      </c>
      <c r="G99">
        <v>10.955882242915349</v>
      </c>
      <c r="J99" s="24"/>
      <c r="K99" s="24"/>
    </row>
    <row r="100" spans="1:11" ht="15" customHeight="1" x14ac:dyDescent="0.3">
      <c r="A100" s="28">
        <v>0.7</v>
      </c>
      <c r="B100" s="29">
        <v>0.29430993629514718</v>
      </c>
      <c r="C100" s="30">
        <v>0.76832337173830079</v>
      </c>
      <c r="D100" s="24">
        <f t="shared" si="6"/>
        <v>0.10569006370485284</v>
      </c>
      <c r="F100" s="24">
        <f t="shared" si="7"/>
        <v>0.7</v>
      </c>
      <c r="G100">
        <v>10.880019857771417</v>
      </c>
      <c r="J100" s="24"/>
      <c r="K100" s="24"/>
    </row>
    <row r="101" spans="1:11" ht="15" customHeight="1" x14ac:dyDescent="0.3">
      <c r="A101" s="28">
        <v>0.71</v>
      </c>
      <c r="B101" s="29">
        <v>0.29230399239626115</v>
      </c>
      <c r="C101" s="30">
        <v>0.76915246432259821</v>
      </c>
      <c r="D101" s="24">
        <f t="shared" si="6"/>
        <v>0.10769600760373887</v>
      </c>
      <c r="F101" s="24">
        <f t="shared" si="7"/>
        <v>0.71</v>
      </c>
      <c r="G101">
        <v>10.805864327284777</v>
      </c>
      <c r="J101" s="24"/>
      <c r="K101" s="24"/>
    </row>
    <row r="102" spans="1:11" ht="15" customHeight="1" x14ac:dyDescent="0.3">
      <c r="A102" s="28">
        <v>0.72</v>
      </c>
      <c r="B102" s="29">
        <v>0.29034262499918539</v>
      </c>
      <c r="C102" s="30">
        <v>0.76994905596544971</v>
      </c>
      <c r="D102" s="24">
        <f t="shared" si="6"/>
        <v>0.10965737500081463</v>
      </c>
      <c r="F102" s="24">
        <f t="shared" si="7"/>
        <v>0.72</v>
      </c>
      <c r="G102">
        <v>10.733356696393345</v>
      </c>
      <c r="J102" s="24"/>
      <c r="K102" s="24"/>
    </row>
    <row r="103" spans="1:11" ht="15" customHeight="1" x14ac:dyDescent="0.3">
      <c r="A103" s="28">
        <v>0.73</v>
      </c>
      <c r="B103" s="29">
        <v>0.28842431127967433</v>
      </c>
      <c r="C103" s="30">
        <v>0.77071460003537207</v>
      </c>
      <c r="D103" s="24">
        <f t="shared" si="6"/>
        <v>0.11157568872032569</v>
      </c>
      <c r="F103" s="24">
        <f t="shared" si="7"/>
        <v>0.73</v>
      </c>
      <c r="G103">
        <v>10.662440669484946</v>
      </c>
      <c r="J103" s="24"/>
      <c r="K103" s="24"/>
    </row>
    <row r="104" spans="1:11" ht="15" customHeight="1" x14ac:dyDescent="0.3">
      <c r="A104" s="28">
        <v>0.74</v>
      </c>
      <c r="B104" s="29">
        <v>0.28654759640304611</v>
      </c>
      <c r="C104" s="30">
        <v>0.77145047120445109</v>
      </c>
      <c r="D104" s="24">
        <f t="shared" si="6"/>
        <v>0.11345240359695391</v>
      </c>
      <c r="F104" s="24">
        <f t="shared" si="7"/>
        <v>0.74</v>
      </c>
      <c r="G104">
        <v>10.593062464378704</v>
      </c>
      <c r="J104" s="24"/>
      <c r="K104" s="24"/>
    </row>
    <row r="105" spans="1:11" ht="15" customHeight="1" x14ac:dyDescent="0.3">
      <c r="A105" s="28">
        <v>0.75</v>
      </c>
      <c r="B105" s="29">
        <v>0.28471108982842003</v>
      </c>
      <c r="C105" s="30">
        <v>0.77215797039086076</v>
      </c>
      <c r="D105" s="24">
        <f t="shared" si="6"/>
        <v>0.11528891017157999</v>
      </c>
      <c r="F105" s="24">
        <f t="shared" si="7"/>
        <v>0.75</v>
      </c>
      <c r="G105">
        <v>10.525170675700451</v>
      </c>
      <c r="J105" s="24"/>
      <c r="K105" s="24"/>
    </row>
    <row r="106" spans="1:11" ht="15" customHeight="1" x14ac:dyDescent="0.3">
      <c r="A106" s="28">
        <v>0.76</v>
      </c>
      <c r="B106" s="29">
        <v>0.28291346184836469</v>
      </c>
      <c r="C106" s="30">
        <v>0.77283832935248276</v>
      </c>
      <c r="D106" s="24">
        <f t="shared" si="6"/>
        <v>0.11708653815163533</v>
      </c>
      <c r="F106" s="24">
        <f t="shared" si="7"/>
        <v>0.76</v>
      </c>
      <c r="G106">
        <v>10.458716146960812</v>
      </c>
      <c r="J106" s="24"/>
      <c r="K106" s="24"/>
    </row>
    <row r="107" spans="1:11" ht="15" customHeight="1" x14ac:dyDescent="0.3">
      <c r="A107" s="28">
        <v>0.77</v>
      </c>
      <c r="B107" s="29">
        <v>0.28115344034679329</v>
      </c>
      <c r="C107" s="30">
        <v>0.7734927149588372</v>
      </c>
      <c r="D107" s="24">
        <f t="shared" si="6"/>
        <v>0.11884655965320673</v>
      </c>
      <c r="F107" s="24">
        <f t="shared" si="7"/>
        <v>0.77</v>
      </c>
      <c r="G107">
        <v>10.393651850701382</v>
      </c>
      <c r="J107" s="24"/>
      <c r="K107" s="24"/>
    </row>
    <row r="108" spans="1:11" ht="15" customHeight="1" x14ac:dyDescent="0.3">
      <c r="A108" s="28">
        <v>0.78</v>
      </c>
      <c r="B108" s="29">
        <v>0.27942980775936105</v>
      </c>
      <c r="C108" s="30">
        <v>0.77412223316622819</v>
      </c>
      <c r="D108" s="24">
        <f t="shared" si="6"/>
        <v>0.12057019224063897</v>
      </c>
      <c r="F108" s="24">
        <f t="shared" si="7"/>
        <v>0.78</v>
      </c>
      <c r="G108">
        <v>10.329932776127025</v>
      </c>
      <c r="J108" s="24"/>
      <c r="K108" s="24"/>
    </row>
    <row r="109" spans="1:11" ht="15" customHeight="1" x14ac:dyDescent="0.3">
      <c r="A109" s="28">
        <v>0.79</v>
      </c>
      <c r="B109" s="29">
        <v>0.27774139822188915</v>
      </c>
      <c r="C109" s="30">
        <v>0.77472793271887741</v>
      </c>
      <c r="D109" s="24">
        <f t="shared" si="6"/>
        <v>0.12225860177811088</v>
      </c>
      <c r="F109" s="24">
        <f t="shared" si="7"/>
        <v>0.79</v>
      </c>
      <c r="G109">
        <v>10.267515823689093</v>
      </c>
      <c r="J109" s="24"/>
      <c r="K109" s="24"/>
    </row>
    <row r="110" spans="1:11" ht="15" customHeight="1" x14ac:dyDescent="0.3">
      <c r="A110" s="28">
        <v>0.8</v>
      </c>
      <c r="B110" s="29">
        <v>0.27608709489350897</v>
      </c>
      <c r="C110" s="30">
        <v>0.77531080859692181</v>
      </c>
      <c r="D110" s="24">
        <f t="shared" si="6"/>
        <v>0.12391290510649106</v>
      </c>
      <c r="F110" s="24">
        <f t="shared" si="7"/>
        <v>0.8</v>
      </c>
      <c r="G110">
        <v>10.206359706127694</v>
      </c>
      <c r="J110" s="24"/>
      <c r="K110" s="24"/>
    </row>
    <row r="111" spans="1:11" ht="15" customHeight="1" x14ac:dyDescent="0.3">
      <c r="A111" s="28">
        <v>0.81</v>
      </c>
      <c r="B111" s="29">
        <v>0.27446582744227782</v>
      </c>
      <c r="C111" s="30">
        <v>0.77587180523039656</v>
      </c>
      <c r="D111" s="24">
        <f t="shared" si="6"/>
        <v>0.1255341725577222</v>
      </c>
      <c r="F111" s="24">
        <f t="shared" si="7"/>
        <v>0.81</v>
      </c>
      <c r="G111">
        <v>10.146424855520193</v>
      </c>
      <c r="J111" s="24"/>
      <c r="K111" s="24"/>
    </row>
    <row r="112" spans="1:11" ht="15" customHeight="1" x14ac:dyDescent="0.3">
      <c r="A112" s="28">
        <v>0.82</v>
      </c>
      <c r="B112" s="29">
        <v>0.2728765696819842</v>
      </c>
      <c r="C112" s="30">
        <v>0.77641181949675209</v>
      </c>
      <c r="D112" s="24">
        <f t="shared" si="6"/>
        <v>0.12712343031801582</v>
      </c>
      <c r="F112" s="24">
        <f t="shared" si="7"/>
        <v>0.82</v>
      </c>
      <c r="G112">
        <v>10.087673335918858</v>
      </c>
      <c r="J112" s="24"/>
      <c r="K112" s="24"/>
    </row>
    <row r="113" spans="1:11" ht="15" customHeight="1" x14ac:dyDescent="0.3">
      <c r="A113" s="28">
        <v>0.83</v>
      </c>
      <c r="B113" s="29">
        <v>0.27131833734974026</v>
      </c>
      <c r="C113" s="30">
        <v>0.77693170351801288</v>
      </c>
      <c r="D113" s="24">
        <f t="shared" si="6"/>
        <v>0.12868166265025976</v>
      </c>
      <c r="F113" s="24">
        <f t="shared" si="7"/>
        <v>0.83</v>
      </c>
      <c r="G113">
        <v>10.030068761193139</v>
      </c>
      <c r="J113" s="24"/>
      <c r="K113" s="24"/>
    </row>
    <row r="114" spans="1:11" ht="15" customHeight="1" x14ac:dyDescent="0.3">
      <c r="A114" s="28">
        <v>0.84</v>
      </c>
      <c r="B114" s="29">
        <v>0.26979018601476712</v>
      </c>
      <c r="C114" s="30">
        <v>0.7774322672723738</v>
      </c>
      <c r="D114" s="24">
        <f t="shared" si="6"/>
        <v>0.1302098139852329</v>
      </c>
      <c r="F114" s="24">
        <f t="shared" si="7"/>
        <v>0.84</v>
      </c>
      <c r="G114">
        <v>9.9735762177218437</v>
      </c>
      <c r="J114" s="24"/>
      <c r="K114" s="24"/>
    </row>
    <row r="115" spans="1:11" ht="15" customHeight="1" x14ac:dyDescent="0.3">
      <c r="A115" s="28">
        <v>0.85</v>
      </c>
      <c r="B115" s="29">
        <v>0.26829120910951293</v>
      </c>
      <c r="C115" s="30">
        <v>0.77791428103382987</v>
      </c>
      <c r="D115" s="24">
        <f t="shared" si="6"/>
        <v>0.13170879089048709</v>
      </c>
      <c r="F115" s="24">
        <f t="shared" si="7"/>
        <v>0.85</v>
      </c>
      <c r="G115">
        <v>9.9181621916077152</v>
      </c>
      <c r="J115" s="24"/>
      <c r="K115" s="24"/>
    </row>
    <row r="116" spans="1:11" ht="15" customHeight="1" x14ac:dyDescent="0.3">
      <c r="A116" s="28">
        <v>0.86</v>
      </c>
      <c r="B116" s="29">
        <v>0.26682053607491374</v>
      </c>
      <c r="C116" s="30">
        <v>0.77837847765236123</v>
      </c>
      <c r="D116" s="24">
        <f t="shared" si="6"/>
        <v>0.13317946392508628</v>
      </c>
      <c r="F116" s="24">
        <f t="shared" si="7"/>
        <v>0.86</v>
      </c>
      <c r="G116">
        <v>9.8637945001116272</v>
      </c>
      <c r="J116" s="24"/>
      <c r="K116" s="24"/>
    </row>
    <row r="117" spans="1:11" ht="15" customHeight="1" x14ac:dyDescent="0.3">
      <c r="A117" s="28">
        <v>0.87</v>
      </c>
      <c r="B117" s="29">
        <v>0.26537733061222968</v>
      </c>
      <c r="C117" s="30">
        <v>0.77882555468617642</v>
      </c>
      <c r="D117" s="24">
        <f t="shared" si="6"/>
        <v>0.13462266938777034</v>
      </c>
      <c r="F117" s="24">
        <f t="shared" si="7"/>
        <v>0.87</v>
      </c>
      <c r="G117">
        <v>9.8104422270266287</v>
      </c>
      <c r="J117" s="24"/>
      <c r="K117" s="24"/>
    </row>
    <row r="118" spans="1:11" ht="15" customHeight="1" x14ac:dyDescent="0.3">
      <c r="A118" s="28">
        <v>0.88</v>
      </c>
      <c r="B118" s="29">
        <v>0.26396078903444975</v>
      </c>
      <c r="C118" s="30">
        <v>0.77925617639663602</v>
      </c>
      <c r="D118" s="24">
        <f t="shared" si="6"/>
        <v>0.13603921096555027</v>
      </c>
      <c r="F118" s="24">
        <f t="shared" si="7"/>
        <v>0.88</v>
      </c>
      <c r="G118">
        <v>9.7580756617328621</v>
      </c>
      <c r="J118" s="24"/>
      <c r="K118" s="24"/>
    </row>
    <row r="119" spans="1:11" ht="15" customHeight="1" x14ac:dyDescent="0.3">
      <c r="A119" s="28">
        <v>0.89</v>
      </c>
      <c r="B119" s="29">
        <v>0.2625701387107745</v>
      </c>
      <c r="C119" s="30">
        <v>0.77967097561561727</v>
      </c>
      <c r="D119" s="24">
        <f t="shared" si="6"/>
        <v>0.13742986128922552</v>
      </c>
      <c r="F119" s="24">
        <f t="shared" si="7"/>
        <v>0.89</v>
      </c>
      <c r="G119">
        <v>9.7066662416933376</v>
      </c>
      <c r="J119" s="24"/>
      <c r="K119" s="24"/>
    </row>
    <row r="120" spans="1:11" ht="15" customHeight="1" x14ac:dyDescent="0.3">
      <c r="A120" s="28">
        <v>0.9</v>
      </c>
      <c r="B120" s="29">
        <v>0.26120463659816789</v>
      </c>
      <c r="C120" s="30">
        <v>0.78007055549435156</v>
      </c>
      <c r="D120" s="24">
        <f t="shared" si="6"/>
        <v>0.13879536340183213</v>
      </c>
      <c r="F120" s="24">
        <f t="shared" si="7"/>
        <v>0.9</v>
      </c>
      <c r="G120">
        <v>9.6561864981685055</v>
      </c>
      <c r="J120" s="24"/>
      <c r="K120" s="24"/>
    </row>
    <row r="121" spans="1:11" ht="15" customHeight="1" x14ac:dyDescent="0.3">
      <c r="A121" s="28">
        <v>0.91</v>
      </c>
      <c r="B121" s="29">
        <v>0.25986356785439996</v>
      </c>
      <c r="C121" s="30">
        <v>0.78045549114204249</v>
      </c>
      <c r="D121" s="24">
        <f t="shared" si="6"/>
        <v>0.14013643214560007</v>
      </c>
      <c r="F121" s="24">
        <f t="shared" si="7"/>
        <v>0.91</v>
      </c>
      <c r="G121">
        <v>9.6066100049433523</v>
      </c>
      <c r="J121" s="24"/>
      <c r="K121" s="24"/>
    </row>
    <row r="122" spans="1:11" ht="15" customHeight="1" x14ac:dyDescent="0.3">
      <c r="A122" s="28">
        <v>0.92</v>
      </c>
      <c r="B122" s="29">
        <v>0.25854624452740771</v>
      </c>
      <c r="C122" s="30">
        <v>0.7808263311619531</v>
      </c>
      <c r="D122" s="24">
        <f t="shared" si="6"/>
        <v>0.14145375547259231</v>
      </c>
      <c r="F122" s="24">
        <f t="shared" si="7"/>
        <v>0.92</v>
      </c>
      <c r="G122">
        <v>9.5579113298758269</v>
      </c>
      <c r="J122" s="24"/>
      <c r="K122" s="24"/>
    </row>
    <row r="123" spans="1:11" ht="15" customHeight="1" x14ac:dyDescent="0.3">
      <c r="A123" s="28">
        <v>0.93</v>
      </c>
      <c r="B123" s="29">
        <v>0.25725200431616851</v>
      </c>
      <c r="C123" s="30">
        <v>0.78118359909206103</v>
      </c>
      <c r="D123" s="24">
        <f t="shared" si="6"/>
        <v>0.14274799568383151</v>
      </c>
      <c r="F123" s="24">
        <f t="shared" si="7"/>
        <v>0.93</v>
      </c>
      <c r="G123">
        <v>9.5100659890889379</v>
      </c>
      <c r="J123" s="24"/>
      <c r="K123" s="24"/>
    </row>
    <row r="124" spans="1:11" ht="15" customHeight="1" x14ac:dyDescent="0.3">
      <c r="A124" s="28">
        <v>0.94</v>
      </c>
      <c r="B124" s="29">
        <v>0.25598020939862121</v>
      </c>
      <c r="C124" s="30">
        <v>0.78152779475683642</v>
      </c>
      <c r="D124" s="24">
        <f t="shared" si="6"/>
        <v>0.14401979060137882</v>
      </c>
      <c r="F124" s="24">
        <f t="shared" si="7"/>
        <v>0.94</v>
      </c>
      <c r="G124">
        <v>9.4630504036414571</v>
      </c>
      <c r="J124" s="24"/>
      <c r="K124" s="24"/>
    </row>
    <row r="125" spans="1:11" ht="15" customHeight="1" x14ac:dyDescent="0.3">
      <c r="A125" s="28">
        <v>0.95</v>
      </c>
      <c r="B125" s="29">
        <v>0.25473024532248623</v>
      </c>
      <c r="C125" s="30">
        <v>0.78185939553621842</v>
      </c>
      <c r="D125" s="24">
        <f t="shared" si="6"/>
        <v>0.1452697546775138</v>
      </c>
      <c r="F125" s="24">
        <f t="shared" si="7"/>
        <v>0.95</v>
      </c>
      <c r="G125">
        <v>9.4168418585238669</v>
      </c>
      <c r="J125" s="24"/>
      <c r="K125" s="24"/>
    </row>
    <row r="126" spans="1:11" ht="15" customHeight="1" x14ac:dyDescent="0.3">
      <c r="A126" s="28">
        <v>0.96</v>
      </c>
      <c r="B126" s="29">
        <v>0.25350151995511894</v>
      </c>
      <c r="C126" s="30">
        <v>0.7821788575574028</v>
      </c>
      <c r="D126" s="24">
        <f t="shared" si="6"/>
        <v>0.14649848004488109</v>
      </c>
      <c r="F126" s="24">
        <f t="shared" si="7"/>
        <v>0.96</v>
      </c>
      <c r="G126">
        <v>9.3714184638366511</v>
      </c>
      <c r="J126" s="24"/>
      <c r="K126" s="24"/>
    </row>
    <row r="127" spans="1:11" ht="15" customHeight="1" x14ac:dyDescent="0.3">
      <c r="A127" s="28">
        <v>0.97</v>
      </c>
      <c r="B127" s="29">
        <v>0.2522934624888033</v>
      </c>
      <c r="C127" s="30">
        <v>0.78248661681464127</v>
      </c>
      <c r="D127" s="24">
        <f t="shared" si="6"/>
        <v>0.14770653751119672</v>
      </c>
      <c r="F127" s="24">
        <f t="shared" si="7"/>
        <v>0.97</v>
      </c>
      <c r="G127">
        <v>9.3267591180180922</v>
      </c>
      <c r="J127" s="24"/>
      <c r="K127" s="24"/>
    </row>
    <row r="128" spans="1:11" ht="15" customHeight="1" x14ac:dyDescent="0.3">
      <c r="A128" s="28">
        <v>0.98</v>
      </c>
      <c r="B128" s="29">
        <v>0.25110552249813722</v>
      </c>
      <c r="C128" s="30">
        <v>0.78278309022187265</v>
      </c>
      <c r="D128" s="24">
        <f t="shared" si="6"/>
        <v>0.1488944775018628</v>
      </c>
      <c r="F128" s="24">
        <f t="shared" si="7"/>
        <v>0.98</v>
      </c>
      <c r="G128">
        <v>9.2828434729977811</v>
      </c>
      <c r="J128" s="24"/>
      <c r="K128" s="24"/>
    </row>
    <row r="129" spans="1:11" ht="15" customHeight="1" x14ac:dyDescent="0.3">
      <c r="A129" s="28">
        <v>0.99</v>
      </c>
      <c r="B129" s="29">
        <v>0.24993716904638399</v>
      </c>
      <c r="C129" s="30">
        <v>0.78306867660264945</v>
      </c>
      <c r="D129" s="24">
        <f t="shared" si="6"/>
        <v>0.15006283095361603</v>
      </c>
      <c r="F129" s="24">
        <f t="shared" si="7"/>
        <v>0.99</v>
      </c>
      <c r="G129">
        <v>9.23965190116032</v>
      </c>
      <c r="J129" s="24"/>
      <c r="K129" s="24"/>
    </row>
    <row r="130" spans="1:11" ht="15" customHeight="1" x14ac:dyDescent="0.3">
      <c r="A130" s="28">
        <v>1</v>
      </c>
      <c r="B130" s="29">
        <v>0.24878788983788414</v>
      </c>
      <c r="C130" s="30">
        <v>0.78334375762150366</v>
      </c>
      <c r="D130" s="24">
        <f t="shared" si="6"/>
        <v>0.15121211016211589</v>
      </c>
      <c r="F130" s="24">
        <f t="shared" si="7"/>
        <v>1</v>
      </c>
      <c r="G130">
        <v>9.1971654640117535</v>
      </c>
      <c r="J130" s="24"/>
      <c r="K130" s="24"/>
    </row>
    <row r="131" spans="1:11" ht="15" customHeight="1" x14ac:dyDescent="0.3">
      <c r="A131" s="28">
        <v>1.01</v>
      </c>
      <c r="B131" s="29">
        <v>0.24765719041380529</v>
      </c>
      <c r="C131" s="30">
        <v>0.78360869866059335</v>
      </c>
      <c r="D131" s="24">
        <f t="shared" si="6"/>
        <v>0.15234280958619473</v>
      </c>
      <c r="F131" s="24">
        <f t="shared" si="7"/>
        <v>1.01</v>
      </c>
      <c r="G131">
        <v>9.1553658824481481</v>
      </c>
      <c r="J131" s="24"/>
      <c r="K131" s="24"/>
    </row>
    <row r="132" spans="1:11" ht="15" customHeight="1" x14ac:dyDescent="0.3">
      <c r="A132" s="28">
        <v>1.02</v>
      </c>
      <c r="B132" s="29">
        <v>0.24654459338869789</v>
      </c>
      <c r="C132" s="30">
        <v>0.78386384964519984</v>
      </c>
      <c r="D132" s="24">
        <f t="shared" si="6"/>
        <v>0.15345540661130214</v>
      </c>
      <c r="F132" s="24">
        <f t="shared" si="7"/>
        <v>1.02</v>
      </c>
      <c r="G132">
        <v>9.1142355085326496</v>
      </c>
      <c r="J132" s="24"/>
      <c r="K132" s="24"/>
    </row>
    <row r="133" spans="1:11" ht="15" customHeight="1" x14ac:dyDescent="0.3">
      <c r="A133" s="28">
        <v>1.03</v>
      </c>
      <c r="B133" s="29">
        <v>0.24544963772548459</v>
      </c>
      <c r="C133" s="30">
        <v>0.78410954582138837</v>
      </c>
      <c r="D133" s="24">
        <f t="shared" si="6"/>
        <v>0.15455036227451543</v>
      </c>
      <c r="F133" s="24">
        <f t="shared" si="7"/>
        <v>1.03</v>
      </c>
      <c r="G133">
        <v>9.0737572986933692</v>
      </c>
      <c r="J133" s="24"/>
      <c r="K133" s="24"/>
    </row>
    <row r="134" spans="1:11" ht="15" customHeight="1" x14ac:dyDescent="0.3">
      <c r="A134" s="28">
        <v>1.04</v>
      </c>
      <c r="B134" s="29">
        <v>0.24437187804666854</v>
      </c>
      <c r="C134" s="30">
        <v>0.7843461084889104</v>
      </c>
      <c r="D134" s="24">
        <f t="shared" si="6"/>
        <v>0.15562812195333148</v>
      </c>
      <c r="F134" s="24">
        <f t="shared" si="7"/>
        <v>1.04</v>
      </c>
      <c r="G134">
        <v>9.0339147882602031</v>
      </c>
      <c r="J134" s="24"/>
      <c r="K134" s="24"/>
    </row>
    <row r="135" spans="1:11" ht="15" customHeight="1" x14ac:dyDescent="0.3">
      <c r="A135" s="28">
        <v>1.05</v>
      </c>
      <c r="B135" s="29">
        <v>0.243310883979691</v>
      </c>
      <c r="C135" s="30">
        <v>0.78457384569221311</v>
      </c>
      <c r="D135" s="24">
        <f t="shared" si="6"/>
        <v>0.15668911602030902</v>
      </c>
      <c r="F135" s="24">
        <f t="shared" si="7"/>
        <v>1.05</v>
      </c>
      <c r="G135">
        <v>8.994692067264074</v>
      </c>
      <c r="J135" s="24"/>
      <c r="K135" s="24"/>
    </row>
    <row r="136" spans="1:11" ht="15" customHeight="1" x14ac:dyDescent="0.3">
      <c r="A136" s="28">
        <v>1.06</v>
      </c>
      <c r="B136" s="29">
        <v>0.24226623953449766</v>
      </c>
      <c r="C136" s="30">
        <v>0.78479305287221657</v>
      </c>
      <c r="D136" s="24">
        <f t="shared" si="6"/>
        <v>0.15773376046550236</v>
      </c>
      <c r="F136" s="24">
        <f t="shared" si="7"/>
        <v>1.06</v>
      </c>
      <c r="G136">
        <v>8.9560737574268696</v>
      </c>
      <c r="J136" s="24"/>
      <c r="K136" s="24"/>
    </row>
    <row r="137" spans="1:11" ht="15" customHeight="1" x14ac:dyDescent="0.3">
      <c r="A137" s="28">
        <v>1.07</v>
      </c>
      <c r="B137" s="29">
        <v>0.24123754251150048</v>
      </c>
      <c r="C137" s="30">
        <v>0.78500401348133952</v>
      </c>
      <c r="D137" s="24">
        <f t="shared" si="6"/>
        <v>0.15876245748849954</v>
      </c>
      <c r="F137" s="24">
        <f t="shared" si="7"/>
        <v>1.07</v>
      </c>
      <c r="G137">
        <v>8.9180449902750336</v>
      </c>
      <c r="J137" s="24"/>
      <c r="K137" s="24"/>
    </row>
    <row r="138" spans="1:11" ht="15" customHeight="1" x14ac:dyDescent="0.3">
      <c r="A138" s="28">
        <v>1.08</v>
      </c>
      <c r="B138" s="29">
        <v>0.24022440393823571</v>
      </c>
      <c r="C138" s="30">
        <v>0.78520699956407713</v>
      </c>
      <c r="D138" s="24">
        <f t="shared" si="6"/>
        <v>0.15977559606176431</v>
      </c>
      <c r="F138" s="24">
        <f t="shared" si="7"/>
        <v>1.08</v>
      </c>
      <c r="G138">
        <v>8.880591386314002</v>
      </c>
      <c r="J138" s="24"/>
      <c r="K138" s="24"/>
    </row>
    <row r="139" spans="1:11" ht="15" customHeight="1" x14ac:dyDescent="0.3">
      <c r="A139" s="28">
        <v>1.0900000000000001</v>
      </c>
      <c r="B139" s="29">
        <v>0.23922644753312411</v>
      </c>
      <c r="C139" s="30">
        <v>0.78540227230528181</v>
      </c>
      <c r="D139" s="24">
        <f t="shared" si="6"/>
        <v>0.16077355246687591</v>
      </c>
      <c r="F139" s="24">
        <f t="shared" si="7"/>
        <v>1.0900000000000001</v>
      </c>
      <c r="G139">
        <v>8.843699035204537</v>
      </c>
      <c r="J139" s="24"/>
      <c r="K139" s="24"/>
    </row>
    <row r="140" spans="1:11" ht="15" customHeight="1" x14ac:dyDescent="0.3">
      <c r="A140" s="28">
        <v>1.1000000000000001</v>
      </c>
      <c r="B140" s="29">
        <v>0.2382433091948403</v>
      </c>
      <c r="C140" s="30">
        <v>0.78559008254815044</v>
      </c>
      <c r="D140" s="24">
        <f t="shared" si="6"/>
        <v>0.16175669080515973</v>
      </c>
      <c r="F140" s="24">
        <f t="shared" si="7"/>
        <v>1.1000000000000001</v>
      </c>
      <c r="G140">
        <v>8.807354476885795</v>
      </c>
      <c r="J140" s="24"/>
      <c r="K140" s="24"/>
    </row>
    <row r="141" spans="1:11" ht="15" customHeight="1" x14ac:dyDescent="0.3">
      <c r="A141" s="28">
        <v>1.1100000000000001</v>
      </c>
      <c r="B141" s="29">
        <v>0.23727463651589242</v>
      </c>
      <c r="C141" s="30">
        <v>0.78577067128378231</v>
      </c>
      <c r="D141" s="24">
        <f t="shared" si="6"/>
        <v>0.1627253634841076</v>
      </c>
      <c r="F141" s="24">
        <f t="shared" si="7"/>
        <v>1.1100000000000001</v>
      </c>
      <c r="G141">
        <v>8.7715446835933797</v>
      </c>
      <c r="J141" s="24"/>
      <c r="K141" s="24"/>
    </row>
    <row r="142" spans="1:11" ht="15" customHeight="1" x14ac:dyDescent="0.3">
      <c r="A142" s="28">
        <v>1.1200000000000001</v>
      </c>
      <c r="B142" s="29">
        <v>0.23632008831909385</v>
      </c>
      <c r="C142" s="30">
        <v>0.78594427011404733</v>
      </c>
      <c r="D142" s="24">
        <f t="shared" si="6"/>
        <v>0.16367991168090618</v>
      </c>
      <c r="F142" s="24">
        <f t="shared" si="7"/>
        <v>1.1200000000000001</v>
      </c>
      <c r="G142">
        <v>8.7362570427236754</v>
      </c>
      <c r="J142" s="24"/>
      <c r="K142" s="24"/>
    </row>
    <row r="143" spans="1:11" ht="15" customHeight="1" x14ac:dyDescent="0.3">
      <c r="A143" s="28">
        <v>1.1299999999999999</v>
      </c>
      <c r="B143" s="29">
        <v>0.23537933421569526</v>
      </c>
      <c r="C143" s="30">
        <v>0.78611110168939635</v>
      </c>
      <c r="D143" s="24">
        <f t="shared" si="6"/>
        <v>0.16462066578430476</v>
      </c>
      <c r="F143" s="24">
        <f t="shared" si="7"/>
        <v>1.1299999999999999</v>
      </c>
      <c r="G143">
        <v>8.7014793404989312</v>
      </c>
      <c r="J143" s="24"/>
      <c r="K143" s="24"/>
    </row>
    <row r="144" spans="1:11" ht="15" customHeight="1" x14ac:dyDescent="0.3">
      <c r="A144" s="28">
        <v>1.1399999999999999</v>
      </c>
      <c r="B144" s="29">
        <v>0.23445205418401688</v>
      </c>
      <c r="C144" s="30">
        <v>0.78627138012311693</v>
      </c>
      <c r="D144" s="24">
        <f t="shared" si="6"/>
        <v>0.16554794581598314</v>
      </c>
      <c r="F144" s="24">
        <f t="shared" si="7"/>
        <v>1.1399999999999999</v>
      </c>
      <c r="G144">
        <v>8.6671997463901604</v>
      </c>
      <c r="J144" s="24"/>
      <c r="K144" s="24"/>
    </row>
    <row r="145" spans="1:11" ht="15" customHeight="1" x14ac:dyDescent="0.3">
      <c r="A145" s="28">
        <v>1.1499999999999999</v>
      </c>
      <c r="B145" s="29">
        <v>0.23353793816749024</v>
      </c>
      <c r="C145" s="30">
        <v>0.78642531138346472</v>
      </c>
      <c r="D145" s="24">
        <f t="shared" si="6"/>
        <v>0.16646206183250978</v>
      </c>
      <c r="F145" s="24">
        <f t="shared" si="7"/>
        <v>1.1499999999999999</v>
      </c>
      <c r="G145">
        <v>8.6334067982576066</v>
      </c>
      <c r="J145" s="24"/>
      <c r="K145" s="24"/>
    </row>
    <row r="146" spans="1:11" ht="15" customHeight="1" x14ac:dyDescent="0.3">
      <c r="A146" s="28">
        <v>1.1599999999999999</v>
      </c>
      <c r="B146" s="29">
        <v>0.23263668569108592</v>
      </c>
      <c r="C146" s="30">
        <v>0.78657309366497985</v>
      </c>
      <c r="D146" s="24">
        <f t="shared" si="6"/>
        <v>0.1673633143089141</v>
      </c>
      <c r="F146" s="24">
        <f t="shared" si="7"/>
        <v>1.1599999999999999</v>
      </c>
      <c r="G146">
        <v>8.6000893881708773</v>
      </c>
      <c r="J146" s="24"/>
      <c r="K146" s="24"/>
    </row>
    <row r="147" spans="1:11" ht="15" customHeight="1" x14ac:dyDescent="0.3">
      <c r="A147" s="28">
        <v>1.17</v>
      </c>
      <c r="B147" s="29">
        <v>0.23174800549516245</v>
      </c>
      <c r="C147" s="30">
        <v>0.78671491774023528</v>
      </c>
      <c r="D147" s="24">
        <f t="shared" si="6"/>
        <v>0.16825199450483758</v>
      </c>
      <c r="F147" s="24">
        <f t="shared" si="7"/>
        <v>1.17</v>
      </c>
      <c r="G147">
        <v>8.5672367488731034</v>
      </c>
      <c r="J147" s="24"/>
      <c r="K147" s="24"/>
    </row>
    <row r="148" spans="1:11" ht="15" customHeight="1" x14ac:dyDescent="0.3">
      <c r="A148" s="28">
        <v>1.18</v>
      </c>
      <c r="B148" s="29">
        <v>0.23087161518582994</v>
      </c>
      <c r="C148" s="30">
        <v>0.78685096729316295</v>
      </c>
      <c r="D148" s="24">
        <f t="shared" si="6"/>
        <v>0.16912838481417009</v>
      </c>
      <c r="F148" s="24">
        <f t="shared" si="7"/>
        <v>1.18</v>
      </c>
      <c r="G148">
        <v>8.5348384408556193</v>
      </c>
      <c r="J148" s="24"/>
      <c r="K148" s="24"/>
    </row>
    <row r="149" spans="1:11" ht="15" customHeight="1" x14ac:dyDescent="0.3">
      <c r="A149" s="28">
        <v>1.19</v>
      </c>
      <c r="B149" s="29">
        <v>0.23000724090097513</v>
      </c>
      <c r="C149" s="30">
        <v>0.7869814192350475</v>
      </c>
      <c r="D149" s="24">
        <f t="shared" si="6"/>
        <v>0.16999275909902489</v>
      </c>
      <c r="F149" s="24">
        <f t="shared" si="7"/>
        <v>1.19</v>
      </c>
      <c r="G149">
        <v>8.5028843400116152</v>
      </c>
      <c r="J149" s="24"/>
      <c r="K149" s="24"/>
    </row>
    <row r="150" spans="1:11" ht="15" customHeight="1" x14ac:dyDescent="0.3">
      <c r="A150" s="28">
        <v>1.2</v>
      </c>
      <c r="B150" s="29">
        <v>0.22915461699114162</v>
      </c>
      <c r="C150" s="30">
        <v>0.78710644400419216</v>
      </c>
      <c r="D150" s="24">
        <f t="shared" si="6"/>
        <v>0.1708453830088584</v>
      </c>
      <c r="F150" s="24">
        <f t="shared" si="7"/>
        <v>1.2</v>
      </c>
      <c r="G150">
        <v>8.4713646258389481</v>
      </c>
      <c r="J150" s="24"/>
      <c r="K150" s="24"/>
    </row>
    <row r="151" spans="1:11" ht="15" customHeight="1" x14ac:dyDescent="0.3">
      <c r="A151" s="28">
        <v>1.21</v>
      </c>
      <c r="B151" s="29">
        <v>0.22831348571450999</v>
      </c>
      <c r="C151" s="30">
        <v>0.78722620585020631</v>
      </c>
      <c r="D151" s="24">
        <f t="shared" si="6"/>
        <v>0.17168651428549003</v>
      </c>
      <c r="F151" s="24">
        <f t="shared" si="7"/>
        <v>1.21</v>
      </c>
      <c r="G151">
        <v>8.4402697701641909</v>
      </c>
      <c r="J151" s="24"/>
      <c r="K151" s="24"/>
    </row>
    <row r="152" spans="1:11" ht="15" customHeight="1" x14ac:dyDescent="0.3">
      <c r="A152" s="28">
        <v>1.22</v>
      </c>
      <c r="B152" s="29">
        <v>0.22748359694526149</v>
      </c>
      <c r="C152" s="30">
        <v>0.78734086310380158</v>
      </c>
      <c r="D152" s="24">
        <f t="shared" si="6"/>
        <v>0.17251640305473853</v>
      </c>
      <c r="F152" s="24">
        <f t="shared" si="7"/>
        <v>1.22</v>
      </c>
      <c r="G152">
        <v>8.409590526361459</v>
      </c>
      <c r="J152" s="24"/>
      <c r="K152" s="24"/>
    </row>
    <row r="153" spans="1:11" ht="15" customHeight="1" x14ac:dyDescent="0.3">
      <c r="A153" s="28">
        <v>1.23</v>
      </c>
      <c r="B153" s="29">
        <v>0.2266647078946521</v>
      </c>
      <c r="C153" s="30">
        <v>0.7874505684329236</v>
      </c>
      <c r="D153" s="24">
        <f t="shared" si="6"/>
        <v>0.17333529210534793</v>
      </c>
      <c r="F153" s="24">
        <f t="shared" si="7"/>
        <v>1.23</v>
      </c>
      <c r="G153">
        <v>8.3793179190411031</v>
      </c>
      <c r="J153" s="24"/>
      <c r="K153" s="24"/>
    </row>
    <row r="154" spans="1:11" ht="15" customHeight="1" x14ac:dyDescent="0.3">
      <c r="A154" s="28">
        <v>1.24</v>
      </c>
      <c r="B154" s="29">
        <v>0.22585658284416293</v>
      </c>
      <c r="C154" s="30">
        <v>0.78755546908600349</v>
      </c>
      <c r="D154" s="24">
        <f t="shared" si="6"/>
        <v>0.17414341715583709</v>
      </c>
      <c r="F154" s="24">
        <f t="shared" si="7"/>
        <v>1.24</v>
      </c>
      <c r="G154">
        <v>8.3494432341848395</v>
      </c>
      <c r="J154" s="24"/>
      <c r="K154" s="24"/>
    </row>
    <row r="155" spans="1:11" ht="15" customHeight="1" x14ac:dyDescent="0.3">
      <c r="A155" s="28">
        <v>1.25</v>
      </c>
      <c r="B155" s="29">
        <v>0.22505899289012465</v>
      </c>
      <c r="C155" s="30">
        <v>0.78765570712304978</v>
      </c>
      <c r="D155" s="24">
        <f t="shared" si="6"/>
        <v>0.17494100710987537</v>
      </c>
      <c r="F155" s="24">
        <f t="shared" si="7"/>
        <v>1.25</v>
      </c>
      <c r="G155">
        <v>8.3199580097050472</v>
      </c>
      <c r="J155" s="24"/>
      <c r="K155" s="24"/>
    </row>
    <row r="156" spans="1:11" ht="15" customHeight="1" x14ac:dyDescent="0.3">
      <c r="A156" s="28">
        <v>1.26</v>
      </c>
      <c r="B156" s="29">
        <v>0.22427171569925192</v>
      </c>
      <c r="C156" s="30">
        <v>0.78775141963527506</v>
      </c>
      <c r="D156" s="24">
        <f t="shared" si="6"/>
        <v>0.17572828430074811</v>
      </c>
      <c r="F156" s="24">
        <f t="shared" si="7"/>
        <v>1.26</v>
      </c>
      <c r="G156">
        <v>8.2908540264074002</v>
      </c>
      <c r="J156" s="24"/>
      <c r="K156" s="24"/>
    </row>
    <row r="157" spans="1:11" ht="15" customHeight="1" x14ac:dyDescent="0.3">
      <c r="A157" s="28">
        <v>1.27</v>
      </c>
      <c r="B157" s="29">
        <v>0.22349453527455171</v>
      </c>
      <c r="C157" s="30">
        <v>0.7878427389538889</v>
      </c>
      <c r="D157" s="24">
        <f t="shared" si="6"/>
        <v>0.17650546472544831</v>
      </c>
      <c r="F157" s="24">
        <f t="shared" si="7"/>
        <v>1.27</v>
      </c>
      <c r="G157">
        <v>8.2621232993369773</v>
      </c>
      <c r="J157" s="24"/>
      <c r="K157" s="24"/>
    </row>
    <row r="158" spans="1:11" ht="15" customHeight="1" x14ac:dyDescent="0.3">
      <c r="A158" s="28">
        <v>1.28</v>
      </c>
      <c r="B158" s="29">
        <v>0.2227272417311007</v>
      </c>
      <c r="C158" s="30">
        <v>0.7879297928486676</v>
      </c>
      <c r="D158" s="24">
        <f t="shared" ref="D158:D221" si="8">ABS(B158-$B$21/100)</f>
        <v>0.17727275826889932</v>
      </c>
      <c r="F158" s="24">
        <f t="shared" ref="F158:F221" si="9">A158</f>
        <v>1.28</v>
      </c>
      <c r="G158">
        <v>8.2337580694892321</v>
      </c>
      <c r="J158" s="24"/>
      <c r="K158" s="24"/>
    </row>
    <row r="159" spans="1:11" ht="15" customHeight="1" x14ac:dyDescent="0.3">
      <c r="A159" s="28">
        <v>1.29</v>
      </c>
      <c r="B159" s="29">
        <v>0.22196963108121426</v>
      </c>
      <c r="C159" s="30">
        <v>0.78801270471685891</v>
      </c>
      <c r="D159" s="24">
        <f t="shared" si="8"/>
        <v>0.17803036891878576</v>
      </c>
      <c r="F159" s="24">
        <f t="shared" si="9"/>
        <v>1.29</v>
      </c>
      <c r="G159">
        <v>8.205750795868143</v>
      </c>
      <c r="J159" s="24"/>
      <c r="K159" s="24"/>
    </row>
    <row r="160" spans="1:11" ht="15" customHeight="1" x14ac:dyDescent="0.3">
      <c r="A160" s="28">
        <v>1.3</v>
      </c>
      <c r="B160" s="29">
        <v>0.22122150502855434</v>
      </c>
      <c r="C160" s="30">
        <v>0.78809159376296167</v>
      </c>
      <c r="D160" s="24">
        <f t="shared" si="8"/>
        <v>0.17877849497144568</v>
      </c>
      <c r="F160" s="24">
        <f t="shared" si="9"/>
        <v>1.3</v>
      </c>
      <c r="G160">
        <v>8.1780941478748073</v>
      </c>
      <c r="J160" s="24"/>
      <c r="K160" s="24"/>
    </row>
    <row r="161" spans="1:11" ht="15" customHeight="1" x14ac:dyDescent="0.3">
      <c r="A161" s="28">
        <v>1.31</v>
      </c>
      <c r="B161" s="29">
        <v>0.22048267077075084</v>
      </c>
      <c r="C161" s="30">
        <v>0.78816657516986643</v>
      </c>
      <c r="D161" s="24">
        <f t="shared" si="8"/>
        <v>0.17951732922924918</v>
      </c>
      <c r="F161" s="24">
        <f t="shared" si="9"/>
        <v>1.31</v>
      </c>
      <c r="G161">
        <v>8.1507809980107719</v>
      </c>
      <c r="J161" s="24"/>
      <c r="K161" s="24"/>
    </row>
    <row r="162" spans="1:11" ht="15" customHeight="1" x14ac:dyDescent="0.3">
      <c r="A162" s="28">
        <v>1.32</v>
      </c>
      <c r="B162" s="29">
        <v>0.21975294081013066</v>
      </c>
      <c r="C162" s="30">
        <v>0.78823776026184045</v>
      </c>
      <c r="D162" s="24">
        <f t="shared" si="8"/>
        <v>0.18024705918986936</v>
      </c>
      <c r="F162" s="24">
        <f t="shared" si="9"/>
        <v>1.32</v>
      </c>
      <c r="G162">
        <v>8.1238044148810875</v>
      </c>
      <c r="J162" s="24"/>
      <c r="K162" s="24"/>
    </row>
    <row r="163" spans="1:11" ht="15" customHeight="1" x14ac:dyDescent="0.3">
      <c r="A163" s="28">
        <v>1.33</v>
      </c>
      <c r="B163" s="29">
        <v>0.2190321327721724</v>
      </c>
      <c r="C163" s="30">
        <v>0.78830525665978612</v>
      </c>
      <c r="D163" s="24">
        <f t="shared" si="8"/>
        <v>0.18096786722782762</v>
      </c>
      <c r="F163" s="24">
        <f t="shared" si="9"/>
        <v>1.33</v>
      </c>
      <c r="G163">
        <v>8.0971576564829526</v>
      </c>
      <c r="J163" s="24"/>
      <c r="K163" s="24"/>
    </row>
    <row r="164" spans="1:11" ht="15" customHeight="1" x14ac:dyDescent="0.3">
      <c r="A164" s="28">
        <v>1.34</v>
      </c>
      <c r="B164" s="29">
        <v>0.21832006923132488</v>
      </c>
      <c r="C164" s="30">
        <v>0.78836916842919158</v>
      </c>
      <c r="D164" s="24">
        <f t="shared" si="8"/>
        <v>0.18167993076867514</v>
      </c>
      <c r="F164" s="24">
        <f t="shared" si="9"/>
        <v>1.34</v>
      </c>
      <c r="G164">
        <v>8.0708341637665981</v>
      </c>
      <c r="J164" s="24"/>
      <c r="K164" s="24"/>
    </row>
    <row r="165" spans="1:11" ht="15" customHeight="1" x14ac:dyDescent="0.3">
      <c r="A165" s="28">
        <v>1.35</v>
      </c>
      <c r="B165" s="29">
        <v>0.21761657754384495</v>
      </c>
      <c r="C165" s="30">
        <v>0.78842959622116482</v>
      </c>
      <c r="D165" s="24">
        <f t="shared" si="8"/>
        <v>0.18238342245615508</v>
      </c>
      <c r="F165" s="24">
        <f t="shared" si="9"/>
        <v>1.35</v>
      </c>
      <c r="G165">
        <v>8.0448275544556473</v>
      </c>
      <c r="J165" s="24"/>
      <c r="K165" s="24"/>
    </row>
    <row r="166" spans="1:11" ht="15" customHeight="1" x14ac:dyDescent="0.3">
      <c r="A166" s="28">
        <v>1.36</v>
      </c>
      <c r="B166" s="29">
        <v>0.21692148968733141</v>
      </c>
      <c r="C166" s="30">
        <v>0.78848663740691616</v>
      </c>
      <c r="D166" s="24">
        <f t="shared" si="8"/>
        <v>0.18307851031266861</v>
      </c>
      <c r="F166" s="24">
        <f t="shared" si="9"/>
        <v>1.36</v>
      </c>
      <c r="G166">
        <v>8.0191316171150238</v>
      </c>
      <c r="J166" s="24"/>
      <c r="K166" s="24"/>
    </row>
    <row r="167" spans="1:11" ht="15" customHeight="1" x14ac:dyDescent="0.3">
      <c r="A167" s="28">
        <v>1.37</v>
      </c>
      <c r="B167" s="29">
        <v>0.2162346421066447</v>
      </c>
      <c r="C167" s="30">
        <v>0.78854038620603628</v>
      </c>
      <c r="D167" s="24">
        <f t="shared" si="8"/>
        <v>0.18376535789335532</v>
      </c>
      <c r="F167" s="24">
        <f t="shared" si="9"/>
        <v>1.37</v>
      </c>
      <c r="G167">
        <v>7.9937403054549261</v>
      </c>
      <c r="J167" s="24"/>
      <c r="K167" s="24"/>
    </row>
    <row r="168" spans="1:11" ht="15" customHeight="1" x14ac:dyDescent="0.3">
      <c r="A168" s="28">
        <v>1.38</v>
      </c>
      <c r="B168" s="29">
        <v>0.21555587556592173</v>
      </c>
      <c r="C168" s="30">
        <v>0.78859093380888945</v>
      </c>
      <c r="D168" s="24">
        <f t="shared" si="8"/>
        <v>0.18444412443407829</v>
      </c>
      <c r="F168" s="24">
        <f t="shared" si="9"/>
        <v>1.38</v>
      </c>
      <c r="G168">
        <v>7.9686477328601262</v>
      </c>
      <c r="J168" s="24"/>
      <c r="K168" s="24"/>
    </row>
    <row r="169" spans="1:11" ht="15" customHeight="1" x14ac:dyDescent="0.3">
      <c r="A169" s="28">
        <v>1.39</v>
      </c>
      <c r="B169" s="29">
        <v>0.21488503500640771</v>
      </c>
      <c r="C169" s="30">
        <v>0.78863836849343905</v>
      </c>
      <c r="D169" s="24">
        <f t="shared" si="8"/>
        <v>0.18511496499359231</v>
      </c>
      <c r="F169" s="24">
        <f t="shared" si="9"/>
        <v>1.39</v>
      </c>
      <c r="G169">
        <v>7.9438481671343153</v>
      </c>
      <c r="J169" s="24"/>
      <c r="K169" s="24"/>
    </row>
    <row r="170" spans="1:11" ht="15" customHeight="1" x14ac:dyDescent="0.3">
      <c r="A170" s="28">
        <v>1.4</v>
      </c>
      <c r="B170" s="29">
        <v>0.21422196940984226</v>
      </c>
      <c r="C170" s="30">
        <v>0.78868277573678158</v>
      </c>
      <c r="D170" s="24">
        <f t="shared" si="8"/>
        <v>0.18577803059015777</v>
      </c>
      <c r="F170" s="24">
        <f t="shared" si="9"/>
        <v>1.4</v>
      </c>
      <c r="G170">
        <v>7.9193360254497662</v>
      </c>
      <c r="J170" s="24"/>
      <c r="K170" s="24"/>
    </row>
    <row r="171" spans="1:11" ht="15" customHeight="1" x14ac:dyDescent="0.3">
      <c r="A171" s="28">
        <v>1.41</v>
      </c>
      <c r="B171" s="29">
        <v>0.21356653166715087</v>
      </c>
      <c r="C171" s="30">
        <v>0.78872423832167271</v>
      </c>
      <c r="D171" s="24">
        <f t="shared" si="8"/>
        <v>0.18643346833284916</v>
      </c>
      <c r="F171" s="24">
        <f t="shared" si="9"/>
        <v>1.41</v>
      </c>
      <c r="G171">
        <v>7.8951058694931433</v>
      </c>
      <c r="J171" s="24"/>
      <c r="K171" s="24"/>
    </row>
    <row r="172" spans="1:11" ht="15" customHeight="1" x14ac:dyDescent="0.3">
      <c r="A172" s="28">
        <v>1.42</v>
      </c>
      <c r="B172" s="29">
        <v>0.21291857845220305</v>
      </c>
      <c r="C172" s="30">
        <v>0.78876283643829193</v>
      </c>
      <c r="D172" s="24">
        <f t="shared" si="8"/>
        <v>0.18708142154779697</v>
      </c>
      <c r="F172" s="24">
        <f t="shared" si="9"/>
        <v>1.42</v>
      </c>
      <c r="G172">
        <v>7.8711524007985982</v>
      </c>
      <c r="J172" s="24"/>
      <c r="K172" s="24"/>
    </row>
    <row r="173" spans="1:11" ht="15" customHeight="1" x14ac:dyDescent="0.3">
      <c r="A173" s="28">
        <v>1.43</v>
      </c>
      <c r="B173" s="29">
        <v>0.21227797010041399</v>
      </c>
      <c r="C173" s="30">
        <v>0.788798647781497</v>
      </c>
      <c r="D173" s="24">
        <f t="shared" si="8"/>
        <v>0.18772202989958603</v>
      </c>
      <c r="F173" s="24">
        <f t="shared" si="9"/>
        <v>1.43</v>
      </c>
      <c r="G173">
        <v>7.847470456259936</v>
      </c>
      <c r="J173" s="24"/>
      <c r="K173" s="24"/>
    </row>
    <row r="174" spans="1:11" ht="15" customHeight="1" x14ac:dyDescent="0.3">
      <c r="A174" s="28">
        <v>1.44</v>
      </c>
      <c r="B174" s="29">
        <v>0.21164457049197488</v>
      </c>
      <c r="C174" s="30">
        <v>0.78883174764378861</v>
      </c>
      <c r="D174" s="24">
        <f t="shared" si="8"/>
        <v>0.18835542950802514</v>
      </c>
      <c r="F174" s="24">
        <f t="shared" si="9"/>
        <v>1.44</v>
      </c>
      <c r="G174">
        <v>7.8240550038138741</v>
      </c>
      <c r="J174" s="24"/>
      <c r="K174" s="24"/>
    </row>
    <row r="175" spans="1:11" ht="15" customHeight="1" x14ac:dyDescent="0.3">
      <c r="A175" s="28">
        <v>1.45</v>
      </c>
      <c r="B175" s="29">
        <v>0.21101824693950885</v>
      </c>
      <c r="C175" s="30">
        <v>0.78886220900420689</v>
      </c>
      <c r="D175" s="24">
        <f t="shared" si="8"/>
        <v>0.18898175306049117</v>
      </c>
      <c r="F175" s="24">
        <f t="shared" si="9"/>
        <v>1.45</v>
      </c>
      <c r="G175">
        <v>7.8009011382869335</v>
      </c>
      <c r="J175" s="24"/>
      <c r="K175" s="24"/>
    </row>
    <row r="176" spans="1:11" ht="15" customHeight="1" x14ac:dyDescent="0.3">
      <c r="A176" s="28">
        <v>1.46</v>
      </c>
      <c r="B176" s="29">
        <v>0.21039887007995942</v>
      </c>
      <c r="C176" s="30">
        <v>0.78889010261335923</v>
      </c>
      <c r="D176" s="24">
        <f t="shared" si="8"/>
        <v>0.18960112992004061</v>
      </c>
      <c r="F176" s="24">
        <f t="shared" si="9"/>
        <v>1.46</v>
      </c>
      <c r="G176">
        <v>7.7780040773987693</v>
      </c>
      <c r="J176" s="24"/>
      <c r="K176" s="24"/>
    </row>
    <row r="177" spans="1:11" ht="15" customHeight="1" x14ac:dyDescent="0.3">
      <c r="A177" s="28">
        <v>1.47</v>
      </c>
      <c r="B177" s="29">
        <v>0.20978631377052842</v>
      </c>
      <c r="C177" s="30">
        <v>0.78891549707477393</v>
      </c>
      <c r="D177" s="24">
        <f t="shared" si="8"/>
        <v>0.1902136862294716</v>
      </c>
      <c r="F177" s="24">
        <f t="shared" si="9"/>
        <v>1.47</v>
      </c>
      <c r="G177">
        <v>7.755359157915219</v>
      </c>
      <c r="J177" s="24"/>
      <c r="K177" s="24"/>
    </row>
    <row r="178" spans="1:11" ht="15" customHeight="1" x14ac:dyDescent="0.3">
      <c r="A178" s="28">
        <v>1.48</v>
      </c>
      <c r="B178" s="29">
        <v>0.20918045498848767</v>
      </c>
      <c r="C178" s="30">
        <v>0.78893845892276049</v>
      </c>
      <c r="D178" s="24">
        <f t="shared" si="8"/>
        <v>0.19081954501151235</v>
      </c>
      <c r="F178" s="24">
        <f t="shared" si="9"/>
        <v>1.48</v>
      </c>
      <c r="G178">
        <v>7.7329618319445519</v>
      </c>
      <c r="J178" s="24"/>
      <c r="K178" s="24"/>
    </row>
    <row r="179" spans="1:11" ht="15" customHeight="1" x14ac:dyDescent="0.3">
      <c r="A179" s="28">
        <v>1.49</v>
      </c>
      <c r="B179" s="29">
        <v>0.20858117373469906</v>
      </c>
      <c r="C179" s="30">
        <v>0.78895905269694677</v>
      </c>
      <c r="D179" s="24">
        <f t="shared" si="8"/>
        <v>0.19141882626530096</v>
      </c>
      <c r="F179" s="24">
        <f t="shared" si="9"/>
        <v>1.49</v>
      </c>
      <c r="G179">
        <v>7.7108076633708098</v>
      </c>
      <c r="J179" s="24"/>
      <c r="K179" s="24"/>
    </row>
    <row r="180" spans="1:11" ht="15" customHeight="1" x14ac:dyDescent="0.3">
      <c r="A180" s="28">
        <v>1.5</v>
      </c>
      <c r="B180" s="29">
        <v>0.20798835294068493</v>
      </c>
      <c r="C180" s="30">
        <v>0.78897734101365913</v>
      </c>
      <c r="D180" s="24">
        <f t="shared" si="8"/>
        <v>0.19201164705931509</v>
      </c>
      <c r="F180" s="24">
        <f t="shared" si="9"/>
        <v>1.5</v>
      </c>
      <c r="G180">
        <v>7.6888923244183882</v>
      </c>
      <c r="J180" s="24"/>
      <c r="K180" s="24"/>
    </row>
    <row r="181" spans="1:11" ht="15" customHeight="1" x14ac:dyDescent="0.3">
      <c r="A181" s="28">
        <v>1.51</v>
      </c>
      <c r="B181" s="29">
        <v>0.20740187837909746</v>
      </c>
      <c r="C181" s="30">
        <v>0.78899338463429225</v>
      </c>
      <c r="D181" s="24">
        <f t="shared" si="8"/>
        <v>0.19259812162090256</v>
      </c>
      <c r="F181" s="24">
        <f t="shared" si="9"/>
        <v>1.51</v>
      </c>
      <c r="G181">
        <v>7.6672115923422863</v>
      </c>
      <c r="J181" s="24"/>
      <c r="K181" s="24"/>
    </row>
    <row r="182" spans="1:11" ht="15" customHeight="1" x14ac:dyDescent="0.3">
      <c r="A182" s="28">
        <v>1.52</v>
      </c>
      <c r="B182" s="29">
        <v>0.20682163857744484</v>
      </c>
      <c r="C182" s="30">
        <v>0.78900724253082388</v>
      </c>
      <c r="D182" s="24">
        <f t="shared" si="8"/>
        <v>0.19317836142255518</v>
      </c>
      <c r="F182" s="24">
        <f t="shared" si="9"/>
        <v>1.52</v>
      </c>
      <c r="G182">
        <v>7.645761346238741</v>
      </c>
      <c r="J182" s="24"/>
      <c r="K182" s="24"/>
    </row>
    <row r="183" spans="1:11" ht="15" customHeight="1" x14ac:dyDescent="0.3">
      <c r="A183" s="28">
        <v>1.53</v>
      </c>
      <c r="B183" s="29">
        <v>0.20624752473493652</v>
      </c>
      <c r="C183" s="30">
        <v>0.78901897194859683</v>
      </c>
      <c r="D183" s="24">
        <f t="shared" si="8"/>
        <v>0.19375247526506351</v>
      </c>
      <c r="F183" s="24">
        <f t="shared" si="9"/>
        <v>1.53</v>
      </c>
      <c r="G183">
        <v>7.6245375639711659</v>
      </c>
      <c r="J183" s="24"/>
      <c r="K183" s="24"/>
    </row>
    <row r="184" spans="1:11" ht="15" customHeight="1" x14ac:dyDescent="0.3">
      <c r="A184" s="28">
        <v>1.54</v>
      </c>
      <c r="B184" s="29">
        <v>0.20567943064231864</v>
      </c>
      <c r="C184" s="30">
        <v>0.78902862846651822</v>
      </c>
      <c r="D184" s="24">
        <f t="shared" si="8"/>
        <v>0.19432056935768138</v>
      </c>
      <c r="F184" s="24">
        <f t="shared" si="9"/>
        <v>1.54</v>
      </c>
      <c r="G184">
        <v>7.6035363192066443</v>
      </c>
      <c r="J184" s="24"/>
      <c r="K184" s="24"/>
    </row>
    <row r="185" spans="1:11" ht="15" customHeight="1" x14ac:dyDescent="0.3">
      <c r="A185" s="28">
        <v>1.55</v>
      </c>
      <c r="B185" s="29">
        <v>0.20511725260457475</v>
      </c>
      <c r="C185" s="30">
        <v>0.78903626605477506</v>
      </c>
      <c r="D185" s="24">
        <f t="shared" si="8"/>
        <v>0.19488274739542527</v>
      </c>
      <c r="F185" s="24">
        <f t="shared" si="9"/>
        <v>1.55</v>
      </c>
      <c r="G185">
        <v>7.582753778558331</v>
      </c>
      <c r="J185" s="24"/>
      <c r="K185" s="24"/>
    </row>
    <row r="186" spans="1:11" ht="15" customHeight="1" x14ac:dyDescent="0.3">
      <c r="A186" s="28">
        <v>1.56</v>
      </c>
      <c r="B186" s="29">
        <v>0.20456088936637412</v>
      </c>
      <c r="C186" s="30">
        <v>0.78904193713020665</v>
      </c>
      <c r="D186" s="24">
        <f t="shared" si="8"/>
        <v>0.1954391106336259</v>
      </c>
      <c r="F186" s="24">
        <f t="shared" si="9"/>
        <v>1.56</v>
      </c>
      <c r="G186">
        <v>7.5621861988294343</v>
      </c>
      <c r="J186" s="24"/>
      <c r="K186" s="24"/>
    </row>
    <row r="187" spans="1:11" ht="15" customHeight="1" x14ac:dyDescent="0.3">
      <c r="A187" s="28">
        <v>1.57</v>
      </c>
      <c r="B187" s="29">
        <v>0.20401024204015508</v>
      </c>
      <c r="C187" s="30">
        <v>0.78904569260942403</v>
      </c>
      <c r="D187" s="24">
        <f t="shared" si="8"/>
        <v>0.19598975795984494</v>
      </c>
      <c r="F187" s="24">
        <f t="shared" si="9"/>
        <v>1.57</v>
      </c>
      <c r="G187">
        <v>7.5418299243546105</v>
      </c>
      <c r="J187" s="24"/>
      <c r="K187" s="24"/>
    </row>
    <row r="188" spans="1:11" ht="15" customHeight="1" x14ac:dyDescent="0.3">
      <c r="A188" s="28">
        <v>1.58</v>
      </c>
      <c r="B188" s="29">
        <v>0.20346521403673554</v>
      </c>
      <c r="C188" s="30">
        <v>0.7890475819597963</v>
      </c>
      <c r="D188" s="24">
        <f t="shared" si="8"/>
        <v>0.19653478596326449</v>
      </c>
      <c r="F188" s="24">
        <f t="shared" si="9"/>
        <v>1.58</v>
      </c>
      <c r="G188">
        <v>7.5216813844347783</v>
      </c>
      <c r="J188" s="24"/>
      <c r="K188" s="24"/>
    </row>
    <row r="189" spans="1:11" ht="15" customHeight="1" x14ac:dyDescent="0.3">
      <c r="A189" s="28">
        <v>1.59</v>
      </c>
      <c r="B189" s="29">
        <v>0.20292571099834836</v>
      </c>
      <c r="C189" s="30">
        <v>0.78904765324838999</v>
      </c>
      <c r="D189" s="24">
        <f t="shared" si="8"/>
        <v>0.19707428900165166</v>
      </c>
      <c r="F189" s="24">
        <f t="shared" si="9"/>
        <v>1.59</v>
      </c>
      <c r="G189">
        <v>7.5017370908615781</v>
      </c>
      <c r="J189" s="24"/>
      <c r="K189" s="24"/>
    </row>
    <row r="190" spans="1:11" ht="15" customHeight="1" x14ac:dyDescent="0.3">
      <c r="A190" s="28">
        <v>1.6</v>
      </c>
      <c r="B190" s="29">
        <v>0.20239164073400459</v>
      </c>
      <c r="C190" s="30">
        <v>0.78904595318896831</v>
      </c>
      <c r="D190" s="24">
        <f t="shared" si="8"/>
        <v>0.19760835926599543</v>
      </c>
      <c r="F190" s="24">
        <f t="shared" si="9"/>
        <v>1.6</v>
      </c>
      <c r="G190">
        <v>7.4819936355278847</v>
      </c>
      <c r="J190" s="24"/>
      <c r="K190" s="24"/>
    </row>
    <row r="191" spans="1:11" ht="15" customHeight="1" x14ac:dyDescent="0.3">
      <c r="A191" s="28">
        <v>1.61</v>
      </c>
      <c r="B191" s="29">
        <v>0.20186291315708896</v>
      </c>
      <c r="C191" s="30">
        <v>0.78904252718712631</v>
      </c>
      <c r="D191" s="24">
        <f t="shared" si="8"/>
        <v>0.19813708684291106</v>
      </c>
      <c r="F191" s="24">
        <f t="shared" si="9"/>
        <v>1.61</v>
      </c>
      <c r="G191">
        <v>7.4624476881208466</v>
      </c>
      <c r="J191" s="24"/>
      <c r="K191" s="24"/>
    </row>
    <row r="192" spans="1:11" ht="15" customHeight="1" x14ac:dyDescent="0.3">
      <c r="A192" s="28">
        <v>1.62</v>
      </c>
      <c r="B192" s="29">
        <v>0.20133944022510139</v>
      </c>
      <c r="C192" s="30">
        <v>0.78903741938365779</v>
      </c>
      <c r="D192" s="24">
        <f t="shared" si="8"/>
        <v>0.19866055977489863</v>
      </c>
      <c r="F192" s="24">
        <f t="shared" si="9"/>
        <v>1.62</v>
      </c>
      <c r="G192">
        <v>7.443095993894258</v>
      </c>
      <c r="J192" s="24"/>
      <c r="K192" s="24"/>
    </row>
    <row r="193" spans="1:11" ht="15" customHeight="1" x14ac:dyDescent="0.3">
      <c r="A193" s="28">
        <v>1.63</v>
      </c>
      <c r="B193" s="29">
        <v>0.20082113588145756</v>
      </c>
      <c r="C193" s="30">
        <v>0.78903067269622773</v>
      </c>
      <c r="D193" s="24">
        <f t="shared" si="8"/>
        <v>0.19917886411854246</v>
      </c>
      <c r="F193" s="24">
        <f t="shared" si="9"/>
        <v>1.63</v>
      </c>
      <c r="G193">
        <v>7.4239353715170413</v>
      </c>
      <c r="J193" s="24"/>
      <c r="K193" s="24"/>
    </row>
    <row r="194" spans="1:11" ht="15" customHeight="1" x14ac:dyDescent="0.3">
      <c r="A194" s="28">
        <v>1.64</v>
      </c>
      <c r="B194" s="29">
        <v>0.20030791599926717</v>
      </c>
      <c r="C194" s="30">
        <v>0.78902232885942603</v>
      </c>
      <c r="D194" s="24">
        <f t="shared" si="8"/>
        <v>0.19969208400073285</v>
      </c>
      <c r="F194" s="24">
        <f t="shared" si="9"/>
        <v>1.64</v>
      </c>
      <c r="G194">
        <v>7.4049627109948535</v>
      </c>
      <c r="J194" s="24"/>
      <c r="K194" s="24"/>
    </row>
    <row r="195" spans="1:11" ht="15" customHeight="1" x14ac:dyDescent="0.3">
      <c r="A195" s="28">
        <v>1.65</v>
      </c>
      <c r="B195" s="29">
        <v>0.19979969832701328</v>
      </c>
      <c r="C195" s="30">
        <v>0.78901242846328024</v>
      </c>
      <c r="D195" s="24">
        <f t="shared" si="8"/>
        <v>0.20020030167298675</v>
      </c>
      <c r="F195" s="24">
        <f t="shared" si="9"/>
        <v>1.65</v>
      </c>
      <c r="G195">
        <v>7.3861749716619629</v>
      </c>
      <c r="J195" s="24"/>
      <c r="K195" s="24"/>
    </row>
    <row r="196" spans="1:11" ht="15" customHeight="1" x14ac:dyDescent="0.3">
      <c r="A196" s="28">
        <v>1.66</v>
      </c>
      <c r="B196" s="29">
        <v>0.1992964024360577</v>
      </c>
      <c r="C196" s="30">
        <v>0.78900101099028941</v>
      </c>
      <c r="D196" s="24">
        <f t="shared" si="8"/>
        <v>0.20070359756394232</v>
      </c>
      <c r="F196" s="24">
        <f t="shared" si="9"/>
        <v>1.66</v>
      </c>
      <c r="G196">
        <v>7.3675691802406371</v>
      </c>
      <c r="J196" s="24"/>
      <c r="K196" s="24"/>
    </row>
    <row r="197" spans="1:11" ht="15" customHeight="1" x14ac:dyDescent="0.3">
      <c r="A197" s="28">
        <v>1.67</v>
      </c>
      <c r="B197" s="29">
        <v>0.1987979496699018</v>
      </c>
      <c r="C197" s="30">
        <v>0.78898811485104847</v>
      </c>
      <c r="D197" s="24">
        <f t="shared" si="8"/>
        <v>0.20120205033009822</v>
      </c>
      <c r="F197" s="24">
        <f t="shared" si="9"/>
        <v>1.67</v>
      </c>
      <c r="G197">
        <v>7.3491424289654139</v>
      </c>
      <c r="J197" s="24"/>
      <c r="K197" s="24"/>
    </row>
    <row r="198" spans="1:11" ht="15" customHeight="1" x14ac:dyDescent="0.3">
      <c r="A198" s="28">
        <v>1.68</v>
      </c>
      <c r="B198" s="29">
        <v>0.19830426309513469</v>
      </c>
      <c r="C198" s="30">
        <v>0.7889737774185257</v>
      </c>
      <c r="D198" s="24">
        <f t="shared" si="8"/>
        <v>0.20169573690486534</v>
      </c>
      <c r="F198" s="24">
        <f t="shared" si="9"/>
        <v>1.68</v>
      </c>
      <c r="G198">
        <v>7.3308918737697688</v>
      </c>
      <c r="J198" s="24"/>
      <c r="K198" s="24"/>
    </row>
    <row r="199" spans="1:11" ht="15" customHeight="1" x14ac:dyDescent="0.3">
      <c r="A199" s="28">
        <v>1.69</v>
      </c>
      <c r="B199" s="29">
        <v>0.19781526745400385</v>
      </c>
      <c r="C199" s="30">
        <v>0.78895803506104578</v>
      </c>
      <c r="D199" s="24">
        <f t="shared" si="8"/>
        <v>0.20218473254599617</v>
      </c>
      <c r="F199" s="24">
        <f t="shared" si="9"/>
        <v>1.69</v>
      </c>
      <c r="G199">
        <v>7.3128147325327442</v>
      </c>
      <c r="J199" s="24"/>
      <c r="K199" s="24"/>
    </row>
    <row r="200" spans="1:11" ht="15" customHeight="1" x14ac:dyDescent="0.3">
      <c r="A200" s="28">
        <v>1.7</v>
      </c>
      <c r="B200" s="29">
        <v>0.1973308891185466</v>
      </c>
      <c r="C200" s="30">
        <v>0.78894092317404563</v>
      </c>
      <c r="D200" s="24">
        <f t="shared" si="8"/>
        <v>0.20266911088145342</v>
      </c>
      <c r="F200" s="24">
        <f t="shared" si="9"/>
        <v>1.7</v>
      </c>
      <c r="G200">
        <v>7.294908283383287</v>
      </c>
      <c r="J200" s="24"/>
      <c r="K200" s="24"/>
    </row>
    <row r="201" spans="1:11" ht="15" customHeight="1" x14ac:dyDescent="0.3">
      <c r="A201" s="28">
        <v>1.71</v>
      </c>
      <c r="B201" s="29">
        <v>0.19685105604622252</v>
      </c>
      <c r="C201" s="30">
        <v>0.78892247621064227</v>
      </c>
      <c r="D201" s="24">
        <f t="shared" si="8"/>
        <v>0.2031489439537775</v>
      </c>
      <c r="F201" s="24">
        <f t="shared" si="9"/>
        <v>1.71</v>
      </c>
      <c r="G201">
        <v>7.277169863060073</v>
      </c>
      <c r="J201" s="24"/>
      <c r="K201" s="24"/>
    </row>
    <row r="202" spans="1:11" ht="15" customHeight="1" x14ac:dyDescent="0.3">
      <c r="A202" s="28">
        <v>1.72</v>
      </c>
      <c r="B202" s="29">
        <v>0.19637569773699026</v>
      </c>
      <c r="C202" s="30">
        <v>0.78890272771107861</v>
      </c>
      <c r="D202" s="24">
        <f t="shared" si="8"/>
        <v>0.20362430226300976</v>
      </c>
      <c r="F202" s="24">
        <f t="shared" si="9"/>
        <v>1.72</v>
      </c>
      <c r="G202">
        <v>7.2595968653247303</v>
      </c>
      <c r="J202" s="24"/>
      <c r="K202" s="24"/>
    </row>
    <row r="203" spans="1:11" ht="15" customHeight="1" x14ac:dyDescent="0.3">
      <c r="A203" s="28">
        <v>1.73</v>
      </c>
      <c r="B203" s="29">
        <v>0.19590474519177409</v>
      </c>
      <c r="C203" s="30">
        <v>0.7888817103310809</v>
      </c>
      <c r="D203" s="24">
        <f t="shared" si="8"/>
        <v>0.20409525480822593</v>
      </c>
      <c r="F203" s="24">
        <f t="shared" si="9"/>
        <v>1.73</v>
      </c>
      <c r="G203">
        <v>7.242186739426427</v>
      </c>
      <c r="J203" s="24"/>
      <c r="K203" s="24"/>
    </row>
    <row r="204" spans="1:11" ht="15" customHeight="1" x14ac:dyDescent="0.3">
      <c r="A204" s="28">
        <v>1.74</v>
      </c>
      <c r="B204" s="29">
        <v>0.19543813087226836</v>
      </c>
      <c r="C204" s="30">
        <v>0.78885945586918504</v>
      </c>
      <c r="D204" s="24">
        <f t="shared" si="8"/>
        <v>0.20456186912773167</v>
      </c>
      <c r="F204" s="24">
        <f t="shared" si="9"/>
        <v>1.74</v>
      </c>
      <c r="G204">
        <v>7.2249369886159354</v>
      </c>
      <c r="J204" s="24"/>
      <c r="K204" s="24"/>
    </row>
    <row r="205" spans="1:11" ht="15" customHeight="1" x14ac:dyDescent="0.3">
      <c r="A205" s="28">
        <v>1.75</v>
      </c>
      <c r="B205" s="29">
        <v>0.19497578866203025</v>
      </c>
      <c r="C205" s="30">
        <v>0.78883599529306825</v>
      </c>
      <c r="D205" s="24">
        <f t="shared" si="8"/>
        <v>0.20502421133796978</v>
      </c>
      <c r="F205" s="24">
        <f t="shared" si="9"/>
        <v>1.75</v>
      </c>
      <c r="G205">
        <v>7.2078451687073066</v>
      </c>
      <c r="J205" s="24"/>
      <c r="K205" s="24"/>
    </row>
    <row r="206" spans="1:11" ht="15" customHeight="1" x14ac:dyDescent="0.3">
      <c r="A206" s="28">
        <v>1.76</v>
      </c>
      <c r="B206" s="29">
        <v>0.19451765382881223</v>
      </c>
      <c r="C206" s="30">
        <v>0.78881135876493236</v>
      </c>
      <c r="D206" s="24">
        <f t="shared" si="8"/>
        <v>0.2054823461711878</v>
      </c>
      <c r="F206" s="24">
        <f t="shared" si="9"/>
        <v>1.76</v>
      </c>
      <c r="G206">
        <v>7.190908886685385</v>
      </c>
      <c r="J206" s="24"/>
      <c r="K206" s="24"/>
    </row>
    <row r="207" spans="1:11" ht="15" customHeight="1" x14ac:dyDescent="0.3">
      <c r="A207" s="28">
        <v>1.77</v>
      </c>
      <c r="B207" s="29">
        <v>0.19406366298808897</v>
      </c>
      <c r="C207" s="30">
        <v>0.78878557566597496</v>
      </c>
      <c r="D207" s="24">
        <f t="shared" si="8"/>
        <v>0.20593633701191105</v>
      </c>
      <c r="F207" s="24">
        <f t="shared" si="9"/>
        <v>1.77</v>
      </c>
      <c r="G207">
        <v>7.1741257993574665</v>
      </c>
      <c r="J207" s="24"/>
      <c r="K207" s="24"/>
    </row>
    <row r="208" spans="1:11" ht="15" customHeight="1" x14ac:dyDescent="0.3">
      <c r="A208" s="28">
        <v>1.78</v>
      </c>
      <c r="B208" s="29">
        <v>0.19361375406773551</v>
      </c>
      <c r="C208" s="30">
        <v>0.78875867461998772</v>
      </c>
      <c r="D208" s="24">
        <f t="shared" si="8"/>
        <v>0.20638624593226451</v>
      </c>
      <c r="F208" s="24">
        <f t="shared" si="9"/>
        <v>1.78</v>
      </c>
      <c r="G208">
        <v>7.1574936120475376</v>
      </c>
      <c r="J208" s="24"/>
      <c r="K208" s="24"/>
    </row>
    <row r="209" spans="1:11" ht="15" customHeight="1" x14ac:dyDescent="0.3">
      <c r="A209" s="28">
        <v>1.79</v>
      </c>
      <c r="B209" s="29">
        <v>0.19316786627381274</v>
      </c>
      <c r="C209" s="30">
        <v>0.78873068351611819</v>
      </c>
      <c r="D209" s="24">
        <f t="shared" si="8"/>
        <v>0.20683213372618728</v>
      </c>
      <c r="F209" s="24">
        <f t="shared" si="9"/>
        <v>1.79</v>
      </c>
      <c r="G209">
        <v>7.1410100773314262</v>
      </c>
      <c r="J209" s="24"/>
      <c r="K209" s="24"/>
    </row>
    <row r="210" spans="1:11" ht="15" customHeight="1" x14ac:dyDescent="0.3">
      <c r="A210" s="28">
        <v>1.8</v>
      </c>
      <c r="B210" s="29">
        <v>0.1927259400574225</v>
      </c>
      <c r="C210" s="30">
        <v>0.78870162953082934</v>
      </c>
      <c r="D210" s="24">
        <f t="shared" si="8"/>
        <v>0.20727405994257753</v>
      </c>
      <c r="F210" s="24">
        <f t="shared" si="9"/>
        <v>1.8</v>
      </c>
      <c r="G210">
        <v>7.1246729938115081</v>
      </c>
      <c r="J210" s="24"/>
      <c r="K210" s="24"/>
    </row>
    <row r="211" spans="1:11" ht="15" customHeight="1" x14ac:dyDescent="0.3">
      <c r="A211" s="28">
        <v>1.81</v>
      </c>
      <c r="B211" s="29">
        <v>0.19228791708259099</v>
      </c>
      <c r="C211" s="30">
        <v>0.78867153914908716</v>
      </c>
      <c r="D211" s="24">
        <f t="shared" si="8"/>
        <v>0.20771208291740903</v>
      </c>
      <c r="F211" s="24">
        <f t="shared" si="9"/>
        <v>1.81</v>
      </c>
      <c r="G211">
        <v>7.1084802049294238</v>
      </c>
      <c r="J211" s="24"/>
      <c r="K211" s="24"/>
    </row>
    <row r="212" spans="1:11" ht="15" customHeight="1" x14ac:dyDescent="0.3">
      <c r="A212" s="28">
        <v>1.82</v>
      </c>
      <c r="B212" s="29">
        <v>0.19185374019514573</v>
      </c>
      <c r="C212" s="30">
        <v>0.78864043818481255</v>
      </c>
      <c r="D212" s="24">
        <f t="shared" si="8"/>
        <v>0.20814625980485429</v>
      </c>
      <c r="F212" s="24">
        <f t="shared" si="9"/>
        <v>1.82</v>
      </c>
      <c r="G212">
        <v>7.0924295978155252</v>
      </c>
      <c r="J212" s="24"/>
      <c r="K212" s="24"/>
    </row>
    <row r="213" spans="1:11" ht="15" customHeight="1" x14ac:dyDescent="0.3">
      <c r="A213" s="28">
        <v>1.83</v>
      </c>
      <c r="B213" s="29">
        <v>0.19142335339254885</v>
      </c>
      <c r="C213" s="30">
        <v>0.78860835180062205</v>
      </c>
      <c r="D213" s="24">
        <f t="shared" si="8"/>
        <v>0.20857664660745118</v>
      </c>
      <c r="F213" s="24">
        <f t="shared" si="9"/>
        <v>1.83</v>
      </c>
      <c r="G213">
        <v>7.0765191021736769</v>
      </c>
      <c r="J213" s="24"/>
      <c r="K213" s="24"/>
    </row>
    <row r="214" spans="1:11" ht="15" customHeight="1" x14ac:dyDescent="0.3">
      <c r="A214" s="28">
        <v>1.84</v>
      </c>
      <c r="B214" s="29">
        <v>0.19099670179465358</v>
      </c>
      <c r="C214" s="30">
        <v>0.78857530452688818</v>
      </c>
      <c r="D214" s="24">
        <f t="shared" si="8"/>
        <v>0.20900329820534644</v>
      </c>
      <c r="F214" s="24">
        <f t="shared" si="9"/>
        <v>1.84</v>
      </c>
      <c r="G214">
        <v>7.0607466892001804</v>
      </c>
      <c r="J214" s="24"/>
      <c r="K214" s="24"/>
    </row>
    <row r="215" spans="1:11" ht="15" customHeight="1" x14ac:dyDescent="0.3">
      <c r="A215" s="28">
        <v>1.85</v>
      </c>
      <c r="B215" s="29">
        <v>0.19057373161535066</v>
      </c>
      <c r="C215" s="30">
        <v>0.78854132028014834</v>
      </c>
      <c r="D215" s="24">
        <f t="shared" si="8"/>
        <v>0.20942626838464937</v>
      </c>
      <c r="F215" s="24">
        <f t="shared" si="9"/>
        <v>1.85</v>
      </c>
      <c r="G215">
        <v>7.0451103705356077</v>
      </c>
      <c r="J215" s="24"/>
      <c r="K215" s="24"/>
    </row>
    <row r="216" spans="1:11" ht="15" customHeight="1" x14ac:dyDescent="0.3">
      <c r="A216" s="28">
        <v>1.86</v>
      </c>
      <c r="B216" s="29">
        <v>0.19015439013507379</v>
      </c>
      <c r="C216" s="30">
        <v>0.78850642238088287</v>
      </c>
      <c r="D216" s="24">
        <f t="shared" si="8"/>
        <v>0.20984560986492623</v>
      </c>
      <c r="F216" s="24">
        <f t="shared" si="9"/>
        <v>1.86</v>
      </c>
      <c r="G216">
        <v>7.0296081972483826</v>
      </c>
      <c r="J216" s="24"/>
      <c r="K216" s="24"/>
    </row>
    <row r="217" spans="1:11" ht="15" customHeight="1" x14ac:dyDescent="0.3">
      <c r="A217" s="28">
        <v>1.87</v>
      </c>
      <c r="B217" s="29">
        <v>0.18973862567413327</v>
      </c>
      <c r="C217" s="30">
        <v>0.78847063357069458</v>
      </c>
      <c r="D217" s="24">
        <f t="shared" si="8"/>
        <v>0.21026137432586675</v>
      </c>
      <c r="F217" s="24">
        <f t="shared" si="9"/>
        <v>1.87</v>
      </c>
      <c r="G217">
        <v>7.0142382588489811</v>
      </c>
      <c r="J217" s="24"/>
      <c r="K217" s="24"/>
    </row>
    <row r="218" spans="1:11" ht="15" customHeight="1" x14ac:dyDescent="0.3">
      <c r="A218" s="28">
        <v>1.88</v>
      </c>
      <c r="B218" s="29">
        <v>0.18932638756684964</v>
      </c>
      <c r="C218" s="30">
        <v>0.78843397602890408</v>
      </c>
      <c r="D218" s="24">
        <f t="shared" si="8"/>
        <v>0.21067361243315039</v>
      </c>
      <c r="F218" s="24">
        <f t="shared" si="9"/>
        <v>1.88</v>
      </c>
      <c r="G218">
        <v>6.9989986823337036</v>
      </c>
      <c r="J218" s="24"/>
      <c r="K218" s="24"/>
    </row>
    <row r="219" spans="1:11" ht="15" customHeight="1" x14ac:dyDescent="0.3">
      <c r="A219" s="28">
        <v>1.89</v>
      </c>
      <c r="B219" s="29">
        <v>0.18891762613645882</v>
      </c>
      <c r="C219" s="30">
        <v>0.78839647138859448</v>
      </c>
      <c r="D219" s="24">
        <f t="shared" si="8"/>
        <v>0.2110823738635412</v>
      </c>
      <c r="F219" s="24">
        <f t="shared" si="9"/>
        <v>1.89</v>
      </c>
      <c r="G219">
        <v>6.9838876312569802</v>
      </c>
      <c r="J219" s="24"/>
      <c r="K219" s="24"/>
    </row>
    <row r="220" spans="1:11" ht="15" customHeight="1" x14ac:dyDescent="0.3">
      <c r="A220" s="28">
        <v>1.9</v>
      </c>
      <c r="B220" s="29">
        <v>0.18851229267076222</v>
      </c>
      <c r="C220" s="30">
        <v>0.78835814075211508</v>
      </c>
      <c r="D220" s="24">
        <f t="shared" si="8"/>
        <v>0.2114877073292378</v>
      </c>
      <c r="F220" s="24">
        <f t="shared" si="9"/>
        <v>1.9</v>
      </c>
      <c r="G220">
        <v>6.9689033048311959</v>
      </c>
      <c r="J220" s="24"/>
      <c r="K220" s="24"/>
    </row>
    <row r="221" spans="1:11" ht="15" customHeight="1" x14ac:dyDescent="0.3">
      <c r="A221" s="28">
        <v>1.91</v>
      </c>
      <c r="B221" s="29">
        <v>0.18811033939849681</v>
      </c>
      <c r="C221" s="30">
        <v>0.78831900470607597</v>
      </c>
      <c r="D221" s="24">
        <f t="shared" si="8"/>
        <v>0.21188966060150322</v>
      </c>
      <c r="F221" s="24">
        <f t="shared" si="9"/>
        <v>1.91</v>
      </c>
      <c r="G221">
        <v>6.9540439370531466</v>
      </c>
      <c r="J221" s="24"/>
      <c r="K221" s="24"/>
    </row>
    <row r="222" spans="1:11" ht="15" customHeight="1" x14ac:dyDescent="0.3">
      <c r="A222" s="28">
        <v>1.92</v>
      </c>
      <c r="B222" s="29">
        <v>0.18771171946639917</v>
      </c>
      <c r="C222" s="30">
        <v>0.78827908333584451</v>
      </c>
      <c r="D222" s="24">
        <f t="shared" ref="D222:D280" si="10">ABS(B222-$B$21/100)</f>
        <v>0.21228828053360085</v>
      </c>
      <c r="F222" s="24">
        <f t="shared" ref="F222:F280" si="11">A222</f>
        <v>1.92</v>
      </c>
      <c r="G222">
        <v>6.9393077958561449</v>
      </c>
      <c r="J222" s="24"/>
      <c r="K222" s="24"/>
    </row>
    <row r="223" spans="1:11" ht="15" customHeight="1" x14ac:dyDescent="0.3">
      <c r="A223" s="28">
        <v>1.93</v>
      </c>
      <c r="B223" s="29">
        <v>0.18731638691694127</v>
      </c>
      <c r="C223" s="30">
        <v>0.78823839623956682</v>
      </c>
      <c r="D223" s="24">
        <f t="shared" si="10"/>
        <v>0.21268361308305875</v>
      </c>
      <c r="F223" s="24">
        <f t="shared" si="11"/>
        <v>1.93</v>
      </c>
      <c r="G223">
        <v>6.9246931822869593</v>
      </c>
      <c r="J223" s="24"/>
      <c r="K223" s="24"/>
    </row>
    <row r="224" spans="1:11" ht="15" customHeight="1" x14ac:dyDescent="0.3">
      <c r="A224" s="28">
        <v>1.94</v>
      </c>
      <c r="B224" s="29">
        <v>0.18692429666671428</v>
      </c>
      <c r="C224" s="30">
        <v>0.78819696254173366</v>
      </c>
      <c r="D224" s="24">
        <f t="shared" si="10"/>
        <v>0.21307570333328574</v>
      </c>
      <c r="F224" s="24">
        <f t="shared" si="11"/>
        <v>1.94</v>
      </c>
      <c r="G224">
        <v>6.9101984297067061</v>
      </c>
      <c r="J224" s="24"/>
      <c r="K224" s="24"/>
    </row>
    <row r="225" spans="1:11" ht="15" customHeight="1" x14ac:dyDescent="0.3">
      <c r="A225" s="28">
        <v>1.95</v>
      </c>
      <c r="B225" s="29">
        <v>0.18653540448543784</v>
      </c>
      <c r="C225" s="30">
        <v>0.78815480090630219</v>
      </c>
      <c r="D225" s="24">
        <f t="shared" si="10"/>
        <v>0.21346459551456218</v>
      </c>
      <c r="F225" s="24">
        <f t="shared" si="11"/>
        <v>1.95</v>
      </c>
      <c r="G225">
        <v>6.8958219030148697</v>
      </c>
      <c r="J225" s="24"/>
      <c r="K225" s="24"/>
    </row>
    <row r="226" spans="1:11" ht="15" customHeight="1" x14ac:dyDescent="0.3">
      <c r="A226" s="28">
        <v>1.96</v>
      </c>
      <c r="B226" s="29">
        <v>0.18614966697557628</v>
      </c>
      <c r="C226" s="30">
        <v>0.78811192954939779</v>
      </c>
      <c r="D226" s="24">
        <f t="shared" si="10"/>
        <v>0.21385033302442374</v>
      </c>
      <c r="F226" s="24">
        <f t="shared" si="11"/>
        <v>1.96</v>
      </c>
      <c r="G226">
        <v>6.8815619978957567</v>
      </c>
      <c r="J226" s="24"/>
      <c r="K226" s="24"/>
    </row>
    <row r="227" spans="1:11" ht="15" customHeight="1" x14ac:dyDescent="0.3">
      <c r="A227" s="28">
        <v>1.97</v>
      </c>
      <c r="B227" s="29">
        <v>0.18576704155253804</v>
      </c>
      <c r="C227" s="30">
        <v>0.78806836625160415</v>
      </c>
      <c r="D227" s="24">
        <f t="shared" si="10"/>
        <v>0.21423295844746199</v>
      </c>
      <c r="F227" s="24">
        <f t="shared" si="11"/>
        <v>1.97</v>
      </c>
      <c r="G227">
        <v>6.8674171400865074</v>
      </c>
      <c r="J227" s="24"/>
      <c r="K227" s="24"/>
    </row>
    <row r="228" spans="1:11" ht="15" customHeight="1" x14ac:dyDescent="0.3">
      <c r="A228" s="28">
        <v>1.98</v>
      </c>
      <c r="B228" s="29">
        <v>0.18538748642544212</v>
      </c>
      <c r="C228" s="30">
        <v>0.78802412836986357</v>
      </c>
      <c r="D228" s="24">
        <f t="shared" si="10"/>
        <v>0.21461251357455791</v>
      </c>
      <c r="F228" s="24">
        <f t="shared" si="11"/>
        <v>1.98</v>
      </c>
      <c r="G228">
        <v>6.8533857846660728</v>
      </c>
      <c r="J228" s="24"/>
      <c r="K228" s="24"/>
    </row>
    <row r="229" spans="1:11" ht="15" customHeight="1" x14ac:dyDescent="0.3">
      <c r="A229" s="28">
        <v>1.99</v>
      </c>
      <c r="B229" s="29">
        <v>0.18501096057842967</v>
      </c>
      <c r="C229" s="30">
        <v>0.78797923284899629</v>
      </c>
      <c r="D229" s="24">
        <f t="shared" si="10"/>
        <v>0.21498903942157035</v>
      </c>
      <c r="F229" s="24">
        <f t="shared" si="11"/>
        <v>1.99</v>
      </c>
      <c r="G229">
        <v>6.8394664153643463</v>
      </c>
      <c r="J229" s="24"/>
      <c r="K229" s="24"/>
    </row>
    <row r="230" spans="1:11" ht="15" customHeight="1" x14ac:dyDescent="0.3">
      <c r="A230" s="28">
        <v>2</v>
      </c>
      <c r="B230" s="29">
        <v>0.18463742375250583</v>
      </c>
      <c r="C230" s="30">
        <v>0.7879336962328567</v>
      </c>
      <c r="D230" s="24">
        <f t="shared" si="10"/>
        <v>0.21536257624749419</v>
      </c>
      <c r="F230" s="24">
        <f t="shared" si="11"/>
        <v>2</v>
      </c>
      <c r="G230">
        <v>6.825657543890892</v>
      </c>
      <c r="J230" s="24"/>
      <c r="K230" s="24"/>
    </row>
    <row r="231" spans="1:11" ht="15" customHeight="1" x14ac:dyDescent="0.3">
      <c r="A231" s="28">
        <v>2.0099999999999998</v>
      </c>
      <c r="B231" s="29">
        <v>0.18426683642789146</v>
      </c>
      <c r="C231" s="30">
        <v>0.78788753467513917</v>
      </c>
      <c r="D231" s="24">
        <f t="shared" si="10"/>
        <v>0.21573316357210856</v>
      </c>
      <c r="F231" s="24">
        <f t="shared" si="11"/>
        <v>2.0099999999999998</v>
      </c>
      <c r="G231">
        <v>6.8119577092825248</v>
      </c>
      <c r="J231" s="24"/>
      <c r="K231" s="24"/>
    </row>
    <row r="232" spans="1:11" ht="15" customHeight="1" x14ac:dyDescent="0.3">
      <c r="A232" s="28">
        <v>2.02</v>
      </c>
      <c r="B232" s="29">
        <v>0.18389915980687038</v>
      </c>
      <c r="C232" s="30">
        <v>0.7878407639498427</v>
      </c>
      <c r="D232" s="24">
        <f t="shared" si="10"/>
        <v>0.21610084019312964</v>
      </c>
      <c r="F232" s="24">
        <f t="shared" si="11"/>
        <v>2.02</v>
      </c>
      <c r="G232">
        <v>6.7983654772692095</v>
      </c>
      <c r="J232" s="24"/>
      <c r="K232" s="24"/>
    </row>
    <row r="233" spans="1:11" ht="15" customHeight="1" x14ac:dyDescent="0.3">
      <c r="A233" s="28">
        <v>2.0299999999999998</v>
      </c>
      <c r="B233" s="29">
        <v>0.18353435579711447</v>
      </c>
      <c r="C233" s="30">
        <v>0.78779339946141114</v>
      </c>
      <c r="D233" s="24">
        <f t="shared" si="10"/>
        <v>0.21646564420288555</v>
      </c>
      <c r="F233" s="24">
        <f t="shared" si="11"/>
        <v>2.0299999999999998</v>
      </c>
      <c r="G233">
        <v>6.7848794396576269</v>
      </c>
      <c r="J233" s="24"/>
      <c r="K233" s="24"/>
    </row>
    <row r="234" spans="1:11" ht="15" customHeight="1" x14ac:dyDescent="0.3">
      <c r="A234" s="28">
        <v>2.04</v>
      </c>
      <c r="B234" s="29">
        <v>0.18317238699547211</v>
      </c>
      <c r="C234" s="30">
        <v>0.78774545625456127</v>
      </c>
      <c r="D234" s="24">
        <f t="shared" si="10"/>
        <v>0.21682761300452791</v>
      </c>
      <c r="F234" s="24">
        <f t="shared" si="11"/>
        <v>2.04</v>
      </c>
      <c r="G234">
        <v>6.7714982137318618</v>
      </c>
      <c r="J234" s="24"/>
      <c r="K234" s="24"/>
    </row>
    <row r="235" spans="1:11" ht="15" customHeight="1" x14ac:dyDescent="0.3">
      <c r="A235" s="28">
        <v>2.0499999999999998</v>
      </c>
      <c r="B235" s="29">
        <v>0.18281321667220407</v>
      </c>
      <c r="C235" s="30">
        <v>0.78769694902380227</v>
      </c>
      <c r="D235" s="24">
        <f t="shared" si="10"/>
        <v>0.21718678332779595</v>
      </c>
      <c r="F235" s="24">
        <f t="shared" si="11"/>
        <v>2.0499999999999998</v>
      </c>
      <c r="G235">
        <v>6.7582204416706446</v>
      </c>
      <c r="J235" s="24"/>
      <c r="K235" s="24"/>
    </row>
    <row r="236" spans="1:11" ht="15" customHeight="1" x14ac:dyDescent="0.3">
      <c r="A236" s="28">
        <v>2.06</v>
      </c>
      <c r="B236" s="29">
        <v>0.18245680875565323</v>
      </c>
      <c r="C236" s="30">
        <v>0.78764789212266639</v>
      </c>
      <c r="D236" s="24">
        <f t="shared" si="10"/>
        <v>0.21754319124434679</v>
      </c>
      <c r="F236" s="24">
        <f t="shared" si="11"/>
        <v>2.06</v>
      </c>
      <c r="G236">
        <v>6.7450447899806143</v>
      </c>
      <c r="J236" s="24"/>
      <c r="K236" s="24"/>
    </row>
    <row r="237" spans="1:11" ht="15" customHeight="1" x14ac:dyDescent="0.3">
      <c r="A237" s="28">
        <v>2.0699999999999998</v>
      </c>
      <c r="B237" s="29">
        <v>0.18210312781733473</v>
      </c>
      <c r="C237" s="30">
        <v>0.78759829957265814</v>
      </c>
      <c r="D237" s="24">
        <f t="shared" si="10"/>
        <v>0.21789687218266529</v>
      </c>
      <c r="F237" s="24">
        <f t="shared" si="11"/>
        <v>2.0699999999999998</v>
      </c>
      <c r="G237">
        <v>6.7319699489451361</v>
      </c>
      <c r="J237" s="24"/>
      <c r="K237" s="24"/>
    </row>
    <row r="238" spans="1:11" ht="15" customHeight="1" x14ac:dyDescent="0.3">
      <c r="A238" s="28">
        <v>2.08</v>
      </c>
      <c r="B238" s="29">
        <v>0.18175213905743073</v>
      </c>
      <c r="C238" s="30">
        <v>0.78754818507192936</v>
      </c>
      <c r="D238" s="24">
        <f t="shared" si="10"/>
        <v>0.21824786094256929</v>
      </c>
      <c r="F238" s="24">
        <f t="shared" si="11"/>
        <v>2.08</v>
      </c>
      <c r="G238">
        <v>6.7189946320880782</v>
      </c>
      <c r="J238" s="24"/>
      <c r="K238" s="24"/>
    </row>
    <row r="239" spans="1:11" ht="15" customHeight="1" x14ac:dyDescent="0.3">
      <c r="A239" s="28">
        <v>2.09</v>
      </c>
      <c r="B239" s="29">
        <v>0.18140380829068042</v>
      </c>
      <c r="C239" s="30">
        <v>0.78749756200369181</v>
      </c>
      <c r="D239" s="24">
        <f t="shared" si="10"/>
        <v>0.2185961917093196</v>
      </c>
      <c r="F239" s="24">
        <f t="shared" si="11"/>
        <v>2.09</v>
      </c>
      <c r="G239">
        <v>6.7061175756521871</v>
      </c>
      <c r="J239" s="24"/>
      <c r="K239" s="24"/>
    </row>
    <row r="240" spans="1:11" ht="15" customHeight="1" x14ac:dyDescent="0.3">
      <c r="A240" s="28">
        <v>2.1</v>
      </c>
      <c r="B240" s="29">
        <v>0.1810581019326501</v>
      </c>
      <c r="C240" s="30">
        <v>0.78744644344437909</v>
      </c>
      <c r="D240" s="24">
        <f t="shared" si="10"/>
        <v>0.21894189806734993</v>
      </c>
      <c r="F240" s="24">
        <f t="shared" si="11"/>
        <v>2.1</v>
      </c>
      <c r="G240">
        <v>6.6933375380915265</v>
      </c>
      <c r="J240" s="24"/>
      <c r="K240" s="24"/>
    </row>
    <row r="241" spans="1:11" ht="15" customHeight="1" x14ac:dyDescent="0.3">
      <c r="A241" s="28">
        <v>2.11</v>
      </c>
      <c r="B241" s="29">
        <v>0.18071498698637242</v>
      </c>
      <c r="C241" s="30">
        <v>0.78739484217155842</v>
      </c>
      <c r="D241" s="24">
        <f t="shared" si="10"/>
        <v>0.2192850130136276</v>
      </c>
      <c r="F241" s="24">
        <f t="shared" si="11"/>
        <v>2.11</v>
      </c>
      <c r="G241">
        <v>6.6806532995775543</v>
      </c>
      <c r="J241" s="24"/>
      <c r="K241" s="24"/>
    </row>
    <row r="242" spans="1:11" ht="15" customHeight="1" x14ac:dyDescent="0.3">
      <c r="A242" s="28">
        <v>2.12</v>
      </c>
      <c r="B242" s="29">
        <v>0.18037443102934322</v>
      </c>
      <c r="C242" s="30">
        <v>0.78734277067161385</v>
      </c>
      <c r="D242" s="24">
        <f t="shared" si="10"/>
        <v>0.2196255689706568</v>
      </c>
      <c r="F242" s="24">
        <f t="shared" si="11"/>
        <v>2.12</v>
      </c>
      <c r="G242">
        <v>6.6680636615184294</v>
      </c>
      <c r="J242" s="24"/>
      <c r="K242" s="24"/>
    </row>
    <row r="243" spans="1:11" ht="15" customHeight="1" x14ac:dyDescent="0.3">
      <c r="A243" s="28">
        <v>2.13</v>
      </c>
      <c r="B243" s="29">
        <v>0.180036402200865</v>
      </c>
      <c r="C243" s="30">
        <v>0.78729024114719393</v>
      </c>
      <c r="D243" s="24">
        <f t="shared" si="10"/>
        <v>0.21996359779913502</v>
      </c>
      <c r="F243" s="24">
        <f t="shared" si="11"/>
        <v>2.13</v>
      </c>
      <c r="G243">
        <v>6.6555674460911192</v>
      </c>
      <c r="J243" s="24"/>
      <c r="K243" s="24"/>
    </row>
    <row r="244" spans="1:11" ht="15" customHeight="1" x14ac:dyDescent="0.3">
      <c r="A244" s="28">
        <v>2.14</v>
      </c>
      <c r="B244" s="29">
        <v>0.17970086918972533</v>
      </c>
      <c r="C244" s="30">
        <v>0.78723726552444329</v>
      </c>
      <c r="D244" s="24">
        <f t="shared" si="10"/>
        <v>0.22029913081027469</v>
      </c>
      <c r="F244" s="24">
        <f t="shared" si="11"/>
        <v>2.14</v>
      </c>
      <c r="G244">
        <v>6.6431634957858989</v>
      </c>
      <c r="J244" s="24"/>
      <c r="K244" s="24"/>
    </row>
    <row r="245" spans="1:11" ht="15" customHeight="1" x14ac:dyDescent="0.3">
      <c r="A245" s="28">
        <v>2.15</v>
      </c>
      <c r="B245" s="29">
        <v>0.17936780122220169</v>
      </c>
      <c r="C245" s="30">
        <v>0.78718385546002245</v>
      </c>
      <c r="D245" s="24">
        <f t="shared" si="10"/>
        <v>0.22063219877779833</v>
      </c>
      <c r="F245" s="24">
        <f t="shared" si="11"/>
        <v>2.15</v>
      </c>
      <c r="G245">
        <v>6.6308506729629197</v>
      </c>
      <c r="J245" s="24"/>
      <c r="K245" s="24"/>
    </row>
    <row r="246" spans="1:11" ht="15" customHeight="1" x14ac:dyDescent="0.3">
      <c r="A246" s="28">
        <v>2.16</v>
      </c>
      <c r="B246" s="29">
        <v>0.17903716805038003</v>
      </c>
      <c r="C246" s="30">
        <v>0.78713002234791696</v>
      </c>
      <c r="D246" s="24">
        <f t="shared" si="10"/>
        <v>0.22096283194961999</v>
      </c>
      <c r="F246" s="24">
        <f t="shared" si="11"/>
        <v>2.16</v>
      </c>
      <c r="G246">
        <v>6.6186278594203616</v>
      </c>
      <c r="J246" s="24"/>
      <c r="K246" s="24"/>
    </row>
    <row r="247" spans="1:11" ht="15" customHeight="1" x14ac:dyDescent="0.3">
      <c r="A247" s="28">
        <v>2.17</v>
      </c>
      <c r="B247" s="29">
        <v>0.17870893994078052</v>
      </c>
      <c r="C247" s="30">
        <v>0.78707577732605394</v>
      </c>
      <c r="D247" s="24">
        <f t="shared" si="10"/>
        <v>0.2212910600592195</v>
      </c>
      <c r="F247" s="24">
        <f t="shared" si="11"/>
        <v>2.17</v>
      </c>
      <c r="G247">
        <v>6.6064939559739617</v>
      </c>
      <c r="J247" s="24"/>
      <c r="K247" s="24"/>
    </row>
    <row r="248" spans="1:11" ht="15" customHeight="1" x14ac:dyDescent="0.3">
      <c r="A248" s="28">
        <v>2.1800000000000002</v>
      </c>
      <c r="B248" s="29">
        <v>0.17838308766327837</v>
      </c>
      <c r="C248" s="30">
        <v>0.78702113128272311</v>
      </c>
      <c r="D248" s="24">
        <f t="shared" si="10"/>
        <v>0.22161691233672165</v>
      </c>
      <c r="F248" s="24">
        <f t="shared" si="11"/>
        <v>2.1800000000000002</v>
      </c>
      <c r="G248">
        <v>6.5944478820474322</v>
      </c>
      <c r="J248" s="24"/>
      <c r="K248" s="24"/>
    </row>
    <row r="249" spans="1:11" ht="15" customHeight="1" x14ac:dyDescent="0.3">
      <c r="A249" s="28">
        <v>2.19</v>
      </c>
      <c r="B249" s="29">
        <v>0.17805958248031289</v>
      </c>
      <c r="C249" s="30">
        <v>0.78696609486281166</v>
      </c>
      <c r="D249" s="24">
        <f t="shared" si="10"/>
        <v>0.22194041751968713</v>
      </c>
      <c r="F249" s="24">
        <f t="shared" si="11"/>
        <v>2.19</v>
      </c>
      <c r="G249">
        <v>6.5824885752735467</v>
      </c>
      <c r="J249" s="24"/>
      <c r="K249" s="24"/>
    </row>
    <row r="250" spans="1:11" ht="15" customHeight="1" x14ac:dyDescent="0.3">
      <c r="A250" s="28">
        <v>2.2000000000000002</v>
      </c>
      <c r="B250" s="29">
        <v>0.1777383961363744</v>
      </c>
      <c r="C250" s="30">
        <v>0.78691067847386331</v>
      </c>
      <c r="D250" s="24">
        <f t="shared" si="10"/>
        <v>0.22226160386362562</v>
      </c>
      <c r="F250" s="24">
        <f t="shared" si="11"/>
        <v>2.2000000000000002</v>
      </c>
      <c r="G250">
        <v>6.5706149911054901</v>
      </c>
      <c r="J250" s="24"/>
      <c r="K250" s="24"/>
    </row>
    <row r="251" spans="1:11" ht="15" customHeight="1" x14ac:dyDescent="0.3">
      <c r="A251" s="28">
        <v>2.21</v>
      </c>
      <c r="B251" s="29">
        <v>0.17741950084776195</v>
      </c>
      <c r="C251" s="30">
        <v>0.78685489229195915</v>
      </c>
      <c r="D251" s="24">
        <f t="shared" si="10"/>
        <v>0.22258049915223807</v>
      </c>
      <c r="F251" s="24">
        <f t="shared" si="11"/>
        <v>2.21</v>
      </c>
      <c r="G251">
        <v>6.5588261024382257</v>
      </c>
      <c r="J251" s="24"/>
      <c r="K251" s="24"/>
    </row>
    <row r="252" spans="1:11" ht="15" customHeight="1" x14ac:dyDescent="0.3">
      <c r="A252" s="28">
        <v>2.2200000000000002</v>
      </c>
      <c r="B252" s="29">
        <v>0.17710286929260316</v>
      </c>
      <c r="C252" s="30">
        <v>0.78679874626743673</v>
      </c>
      <c r="D252" s="24">
        <f t="shared" si="10"/>
        <v>0.22289713070739686</v>
      </c>
      <c r="F252" s="24">
        <f t="shared" si="11"/>
        <v>2.2200000000000002</v>
      </c>
      <c r="G252">
        <v>6.5471208992395473</v>
      </c>
      <c r="J252" s="24"/>
      <c r="K252" s="24"/>
    </row>
    <row r="253" spans="1:11" ht="15" customHeight="1" x14ac:dyDescent="0.3">
      <c r="A253" s="28">
        <v>2.23</v>
      </c>
      <c r="B253" s="29">
        <v>0.17678847460112776</v>
      </c>
      <c r="C253" s="30">
        <v>0.78674225013043819</v>
      </c>
      <c r="D253" s="24">
        <f t="shared" si="10"/>
        <v>0.22321152539887226</v>
      </c>
      <c r="F253" s="24">
        <f t="shared" si="11"/>
        <v>2.23</v>
      </c>
      <c r="G253">
        <v>6.5354983881905149</v>
      </c>
      <c r="J253" s="24"/>
      <c r="K253" s="24"/>
    </row>
    <row r="254" spans="1:11" ht="15" customHeight="1" x14ac:dyDescent="0.3">
      <c r="A254" s="28">
        <v>2.2400000000000002</v>
      </c>
      <c r="B254" s="29">
        <v>0.17647629034618892</v>
      </c>
      <c r="C254" s="30">
        <v>0.78668541339631171</v>
      </c>
      <c r="D254" s="24">
        <f t="shared" si="10"/>
        <v>0.2235237096538111</v>
      </c>
      <c r="F254" s="24">
        <f t="shared" si="11"/>
        <v>2.2400000000000002</v>
      </c>
      <c r="G254">
        <v>6.523957592335047</v>
      </c>
      <c r="J254" s="24"/>
      <c r="K254" s="24"/>
    </row>
    <row r="255" spans="1:11" ht="15" customHeight="1" x14ac:dyDescent="0.3">
      <c r="A255" s="28">
        <v>2.25</v>
      </c>
      <c r="B255" s="29">
        <v>0.17616629053402327</v>
      </c>
      <c r="C255" s="30">
        <v>0.78662824537085341</v>
      </c>
      <c r="D255" s="24">
        <f t="shared" si="10"/>
        <v>0.22383370946597675</v>
      </c>
      <c r="F255" s="24">
        <f t="shared" si="11"/>
        <v>2.25</v>
      </c>
      <c r="G255">
        <v>6.5124975507383365</v>
      </c>
      <c r="J255" s="24"/>
      <c r="K255" s="24"/>
    </row>
    <row r="256" spans="1:11" ht="15" customHeight="1" x14ac:dyDescent="0.3">
      <c r="A256" s="28">
        <v>2.2599999999999998</v>
      </c>
      <c r="B256" s="29">
        <v>0.17585844959524363</v>
      </c>
      <c r="C256" s="30">
        <v>0.78657075515540464</v>
      </c>
      <c r="D256" s="24">
        <f t="shared" si="10"/>
        <v>0.22414155040475639</v>
      </c>
      <c r="F256" s="24">
        <f t="shared" si="11"/>
        <v>2.2599999999999998</v>
      </c>
      <c r="G256">
        <v>6.5011173181538728</v>
      </c>
      <c r="J256" s="24"/>
      <c r="K256" s="24"/>
    </row>
    <row r="257" spans="1:11" ht="15" customHeight="1" x14ac:dyDescent="0.3">
      <c r="A257" s="28">
        <v>2.27</v>
      </c>
      <c r="B257" s="29">
        <v>0.1755527423760572</v>
      </c>
      <c r="C257" s="30">
        <v>0.78651295165180735</v>
      </c>
      <c r="D257" s="24">
        <f t="shared" si="10"/>
        <v>0.22444725762394283</v>
      </c>
      <c r="F257" s="24">
        <f t="shared" si="11"/>
        <v>2.27</v>
      </c>
      <c r="G257">
        <v>6.4898159646987965</v>
      </c>
      <c r="J257" s="24"/>
      <c r="K257" s="24"/>
    </row>
    <row r="258" spans="1:11" ht="15" customHeight="1" x14ac:dyDescent="0.3">
      <c r="A258" s="28">
        <v>2.2799999999999998</v>
      </c>
      <c r="B258" s="29">
        <v>0.17524914412970322</v>
      </c>
      <c r="C258" s="30">
        <v>0.78645484356722251</v>
      </c>
      <c r="D258" s="24">
        <f t="shared" si="10"/>
        <v>0.22475085587029681</v>
      </c>
      <c r="F258" s="24">
        <f t="shared" si="11"/>
        <v>2.2799999999999998</v>
      </c>
      <c r="G258">
        <v>6.478592575537367</v>
      </c>
      <c r="J258" s="24"/>
      <c r="K258" s="24"/>
    </row>
    <row r="259" spans="1:11" ht="15" customHeight="1" x14ac:dyDescent="0.3">
      <c r="A259" s="28">
        <v>2.29</v>
      </c>
      <c r="B259" s="29">
        <v>0.17494763050810253</v>
      </c>
      <c r="C259" s="30">
        <v>0.7863964394188121</v>
      </c>
      <c r="D259" s="24">
        <f t="shared" si="10"/>
        <v>0.2250523694918975</v>
      </c>
      <c r="F259" s="24">
        <f t="shared" si="11"/>
        <v>2.29</v>
      </c>
      <c r="G259">
        <v>6.467446250572265</v>
      </c>
      <c r="J259" s="24"/>
      <c r="K259" s="24"/>
    </row>
    <row r="260" spans="1:11" ht="15" customHeight="1" x14ac:dyDescent="0.3">
      <c r="A260" s="28">
        <v>2.2999999999999998</v>
      </c>
      <c r="B260" s="29">
        <v>0.17464817755371459</v>
      </c>
      <c r="C260" s="30">
        <v>0.78633774753829766</v>
      </c>
      <c r="D260" s="24">
        <f t="shared" si="10"/>
        <v>0.22535182244628543</v>
      </c>
      <c r="F260" s="24">
        <f t="shared" si="11"/>
        <v>2.2999999999999998</v>
      </c>
      <c r="G260">
        <v>6.4563761041435637</v>
      </c>
      <c r="J260" s="24"/>
      <c r="K260" s="24"/>
    </row>
    <row r="261" spans="1:11" ht="15" customHeight="1" x14ac:dyDescent="0.3">
      <c r="A261" s="28">
        <v>2.31</v>
      </c>
      <c r="B261" s="29">
        <v>0.17435076169159369</v>
      </c>
      <c r="C261" s="30">
        <v>0.78627877607638619</v>
      </c>
      <c r="D261" s="24">
        <f t="shared" si="10"/>
        <v>0.22564923830840633</v>
      </c>
      <c r="F261" s="24">
        <f t="shared" si="11"/>
        <v>2.31</v>
      </c>
      <c r="G261">
        <v>6.4453812647350617</v>
      </c>
      <c r="J261" s="24"/>
      <c r="K261" s="24"/>
    </row>
    <row r="262" spans="1:11" ht="15" customHeight="1" x14ac:dyDescent="0.3">
      <c r="A262" s="28">
        <v>2.3199999999999998</v>
      </c>
      <c r="B262" s="29">
        <v>0.17405535972164157</v>
      </c>
      <c r="C262" s="30">
        <v>0.78621953300708092</v>
      </c>
      <c r="D262" s="24">
        <f t="shared" si="10"/>
        <v>0.22594464027835845</v>
      </c>
      <c r="F262" s="24">
        <f t="shared" si="11"/>
        <v>2.3199999999999998</v>
      </c>
      <c r="G262">
        <v>6.4344608746878817</v>
      </c>
      <c r="J262" s="24"/>
      <c r="K262" s="24"/>
    </row>
    <row r="263" spans="1:11" ht="15" customHeight="1" x14ac:dyDescent="0.3">
      <c r="A263" s="28">
        <v>2.33</v>
      </c>
      <c r="B263" s="29">
        <v>0.17376194881104792</v>
      </c>
      <c r="C263" s="30">
        <v>0.78616002613187375</v>
      </c>
      <c r="D263" s="24">
        <f t="shared" si="10"/>
        <v>0.2262380511889521</v>
      </c>
      <c r="F263" s="24">
        <f t="shared" si="11"/>
        <v>2.33</v>
      </c>
      <c r="G263">
        <v>6.4236140899210072</v>
      </c>
      <c r="J263" s="24"/>
      <c r="K263" s="24"/>
    </row>
    <row r="264" spans="1:11" ht="15" customHeight="1" x14ac:dyDescent="0.3">
      <c r="A264" s="28">
        <v>2.34</v>
      </c>
      <c r="B264" s="29">
        <v>0.173470506486915</v>
      </c>
      <c r="C264" s="30">
        <v>0.78610026308382142</v>
      </c>
      <c r="D264" s="24">
        <f t="shared" si="10"/>
        <v>0.22652949351308502</v>
      </c>
      <c r="F264" s="24">
        <f t="shared" si="11"/>
        <v>2.34</v>
      </c>
      <c r="G264">
        <v>6.4128400796586389</v>
      </c>
      <c r="J264" s="24"/>
      <c r="K264" s="24"/>
    </row>
    <row r="265" spans="1:11" ht="15" customHeight="1" x14ac:dyDescent="0.3">
      <c r="A265" s="28">
        <v>2.35</v>
      </c>
      <c r="B265" s="29">
        <v>0.17318101062906152</v>
      </c>
      <c r="C265" s="30">
        <v>0.78604025133151478</v>
      </c>
      <c r="D265" s="24">
        <f t="shared" si="10"/>
        <v>0.2268189893709385</v>
      </c>
      <c r="F265" s="24">
        <f t="shared" si="11"/>
        <v>2.35</v>
      </c>
      <c r="G265">
        <v>6.4021380261641561</v>
      </c>
      <c r="J265" s="24"/>
      <c r="K265" s="24"/>
    </row>
    <row r="266" spans="1:11" ht="15" customHeight="1" x14ac:dyDescent="0.3">
      <c r="A266" s="28">
        <v>2.36</v>
      </c>
      <c r="B266" s="29">
        <v>0.17289343946299918</v>
      </c>
      <c r="C266" s="30">
        <v>0.78597999818293751</v>
      </c>
      <c r="D266" s="24">
        <f t="shared" si="10"/>
        <v>0.22710656053700085</v>
      </c>
      <c r="F266" s="24">
        <f t="shared" si="11"/>
        <v>2.36</v>
      </c>
      <c r="G266">
        <v>6.3915071244804871</v>
      </c>
      <c r="J266" s="24"/>
      <c r="K266" s="24"/>
    </row>
    <row r="267" spans="1:11" ht="15" customHeight="1" x14ac:dyDescent="0.3">
      <c r="A267" s="28">
        <v>2.37</v>
      </c>
      <c r="B267" s="29">
        <v>0.17260777155307835</v>
      </c>
      <c r="C267" s="30">
        <v>0.7859195107892275</v>
      </c>
      <c r="D267" s="24">
        <f t="shared" si="10"/>
        <v>0.22739222844692167</v>
      </c>
      <c r="F267" s="24">
        <f t="shared" si="11"/>
        <v>2.37</v>
      </c>
      <c r="G267">
        <v>6.3809465821767102</v>
      </c>
      <c r="J267" s="24"/>
      <c r="K267" s="24"/>
    </row>
    <row r="268" spans="1:11" ht="15" customHeight="1" x14ac:dyDescent="0.3">
      <c r="A268" s="28">
        <v>2.38</v>
      </c>
      <c r="B268" s="29">
        <v>0.17232398579579764</v>
      </c>
      <c r="C268" s="30">
        <v>0.78585879614832999</v>
      </c>
      <c r="D268" s="24">
        <f t="shared" si="10"/>
        <v>0.22767601420420239</v>
      </c>
      <c r="F268" s="24">
        <f t="shared" si="11"/>
        <v>2.38</v>
      </c>
      <c r="G268">
        <v>6.3704556191007278</v>
      </c>
      <c r="J268" s="24"/>
      <c r="K268" s="24"/>
    </row>
    <row r="269" spans="1:11" ht="15" customHeight="1" x14ac:dyDescent="0.3">
      <c r="A269" s="28">
        <v>2.39</v>
      </c>
      <c r="B269" s="29">
        <v>0.17204206141327241</v>
      </c>
      <c r="C269" s="30">
        <v>0.78579786110856054</v>
      </c>
      <c r="D269" s="24">
        <f t="shared" si="10"/>
        <v>0.22795793858672761</v>
      </c>
      <c r="F269" s="24">
        <f t="shared" si="11"/>
        <v>2.39</v>
      </c>
      <c r="G269">
        <v>6.3600334671378116</v>
      </c>
      <c r="J269" s="24"/>
      <c r="K269" s="24"/>
    </row>
    <row r="270" spans="1:11" ht="15" customHeight="1" x14ac:dyDescent="0.3">
      <c r="A270" s="28">
        <v>2.4</v>
      </c>
      <c r="B270" s="29">
        <v>0.1717619779468591</v>
      </c>
      <c r="C270" s="30">
        <v>0.78573671237206877</v>
      </c>
      <c r="D270" s="24">
        <f t="shared" si="10"/>
        <v>0.22823802205314092</v>
      </c>
      <c r="F270" s="24">
        <f t="shared" si="11"/>
        <v>2.4</v>
      </c>
      <c r="G270">
        <v>6.3496793699749006</v>
      </c>
      <c r="J270" s="24"/>
      <c r="K270" s="24"/>
    </row>
    <row r="271" spans="1:11" ht="15" customHeight="1" x14ac:dyDescent="0.3">
      <c r="A271" s="28">
        <v>2.41</v>
      </c>
      <c r="B271" s="29">
        <v>0.17148371525092945</v>
      </c>
      <c r="C271" s="30">
        <v>0.78567535649821485</v>
      </c>
      <c r="D271" s="24">
        <f t="shared" si="10"/>
        <v>0.22851628474907057</v>
      </c>
      <c r="F271" s="24">
        <f t="shared" si="11"/>
        <v>2.41</v>
      </c>
      <c r="G271">
        <v>6.3393925828704534</v>
      </c>
      <c r="J271" s="24"/>
      <c r="K271" s="24"/>
    </row>
    <row r="272" spans="1:11" ht="15" customHeight="1" x14ac:dyDescent="0.3">
      <c r="A272" s="28">
        <v>2.42</v>
      </c>
      <c r="B272" s="29">
        <v>0.17120725348679094</v>
      </c>
      <c r="C272" s="30">
        <v>0.78561379990685309</v>
      </c>
      <c r="D272" s="24">
        <f t="shared" si="10"/>
        <v>0.22879274651320908</v>
      </c>
      <c r="F272" s="24">
        <f t="shared" si="11"/>
        <v>2.42</v>
      </c>
      <c r="G272">
        <v>6.3291723724296984</v>
      </c>
      <c r="J272" s="24"/>
      <c r="K272" s="24"/>
    </row>
    <row r="273" spans="1:11" ht="15" customHeight="1" x14ac:dyDescent="0.3">
      <c r="A273" s="28">
        <v>2.4300000000000002</v>
      </c>
      <c r="B273" s="29">
        <v>0.17093257311675078</v>
      </c>
      <c r="C273" s="30">
        <v>0.78555204888153252</v>
      </c>
      <c r="D273" s="24">
        <f t="shared" si="10"/>
        <v>0.22906742688324924</v>
      </c>
      <c r="F273" s="24">
        <f t="shared" si="11"/>
        <v>2.4300000000000002</v>
      </c>
      <c r="G273">
        <v>6.3190180163851917</v>
      </c>
      <c r="J273" s="24"/>
      <c r="K273" s="24"/>
    </row>
    <row r="274" spans="1:11" ht="15" customHeight="1" x14ac:dyDescent="0.3">
      <c r="A274" s="28">
        <v>2.44</v>
      </c>
      <c r="B274" s="29">
        <v>0.17065965489831747</v>
      </c>
      <c r="C274" s="30">
        <v>0.78549010957261378</v>
      </c>
      <c r="D274" s="24">
        <f t="shared" si="10"/>
        <v>0.22934034510168255</v>
      </c>
      <c r="F274" s="24">
        <f t="shared" si="11"/>
        <v>2.44</v>
      </c>
      <c r="G274">
        <v>6.3089288033824609</v>
      </c>
      <c r="J274" s="24"/>
      <c r="K274" s="24"/>
    </row>
    <row r="275" spans="1:11" ht="15" customHeight="1" x14ac:dyDescent="0.3">
      <c r="A275" s="28">
        <v>2.4500000000000002</v>
      </c>
      <c r="B275" s="29">
        <v>0.17038847987853742</v>
      </c>
      <c r="C275" s="30">
        <v>0.785427988000302</v>
      </c>
      <c r="D275" s="24">
        <f t="shared" si="10"/>
        <v>0.2296115201214626</v>
      </c>
      <c r="F275" s="24">
        <f t="shared" si="11"/>
        <v>2.4500000000000002</v>
      </c>
      <c r="G275">
        <v>6.2989040327706389</v>
      </c>
      <c r="J275" s="24"/>
      <c r="K275" s="24"/>
    </row>
    <row r="276" spans="1:11" ht="15" customHeight="1" x14ac:dyDescent="0.3">
      <c r="A276" s="28">
        <v>2.46</v>
      </c>
      <c r="B276" s="29">
        <v>0.17011902938846288</v>
      </c>
      <c r="C276" s="30">
        <v>0.78536569005760648</v>
      </c>
      <c r="D276" s="24">
        <f t="shared" si="10"/>
        <v>0.22988097061153714</v>
      </c>
      <c r="F276" s="24">
        <f t="shared" si="11"/>
        <v>2.46</v>
      </c>
      <c r="G276">
        <v>6.2889430143979625</v>
      </c>
      <c r="J276" s="24"/>
      <c r="K276" s="24"/>
    </row>
    <row r="277" spans="1:11" ht="15" customHeight="1" x14ac:dyDescent="0.3">
      <c r="A277" s="28">
        <v>2.4700000000000002</v>
      </c>
      <c r="B277" s="29">
        <v>0.16985128503774724</v>
      </c>
      <c r="C277" s="30">
        <v>0.78530322151321796</v>
      </c>
      <c r="D277" s="24">
        <f t="shared" si="10"/>
        <v>0.23014871496225278</v>
      </c>
      <c r="F277" s="24">
        <f t="shared" si="11"/>
        <v>2.4700000000000002</v>
      </c>
      <c r="G277">
        <v>6.2790450684119632</v>
      </c>
      <c r="J277" s="24"/>
      <c r="K277" s="24"/>
    </row>
    <row r="278" spans="1:11" ht="15" customHeight="1" x14ac:dyDescent="0.3">
      <c r="A278" s="28">
        <v>2.48</v>
      </c>
      <c r="B278" s="29">
        <v>0.16958522870936446</v>
      </c>
      <c r="C278" s="30">
        <v>0.78524058801431784</v>
      </c>
      <c r="D278" s="24">
        <f t="shared" si="10"/>
        <v>0.23041477129063556</v>
      </c>
      <c r="F278" s="24">
        <f t="shared" si="11"/>
        <v>2.48</v>
      </c>
      <c r="G278">
        <v>6.2692095250642614</v>
      </c>
      <c r="J278" s="24"/>
      <c r="K278" s="24"/>
    </row>
    <row r="279" spans="1:11" ht="15" customHeight="1" x14ac:dyDescent="0.3">
      <c r="A279" s="28">
        <v>2.4900000000000002</v>
      </c>
      <c r="B279" s="29">
        <v>0.16932084255444962</v>
      </c>
      <c r="C279" s="30">
        <v>0.78517779508931074</v>
      </c>
      <c r="D279" s="24">
        <f t="shared" si="10"/>
        <v>0.2306791574455504</v>
      </c>
      <c r="F279" s="24">
        <f t="shared" si="11"/>
        <v>2.4900000000000002</v>
      </c>
      <c r="G279">
        <v>6.2594357245198289</v>
      </c>
      <c r="J279" s="24"/>
      <c r="K279" s="24"/>
    </row>
    <row r="280" spans="1:11" ht="15" customHeight="1" x14ac:dyDescent="0.3">
      <c r="A280" s="31">
        <v>2.5</v>
      </c>
      <c r="B280" s="32">
        <v>0.16905810898725607</v>
      </c>
      <c r="C280" s="33">
        <v>0.78511484815048893</v>
      </c>
      <c r="D280" s="24">
        <f t="shared" si="10"/>
        <v>0.23094189101274396</v>
      </c>
      <c r="F280" s="24">
        <f t="shared" si="11"/>
        <v>2.5</v>
      </c>
      <c r="G280">
        <v>6.2497230166705693</v>
      </c>
      <c r="J280" s="24"/>
      <c r="K280" s="24"/>
    </row>
  </sheetData>
  <mergeCells count="1">
    <mergeCell ref="A1:A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H457"/>
  <sheetViews>
    <sheetView workbookViewId="0">
      <selection activeCell="E11" sqref="E11"/>
    </sheetView>
  </sheetViews>
  <sheetFormatPr defaultRowHeight="15" customHeight="1" x14ac:dyDescent="0.3"/>
  <cols>
    <col min="1" max="1" width="32.33203125" customWidth="1"/>
    <col min="3" max="3" width="30.109375" bestFit="1" customWidth="1"/>
    <col min="4" max="4" width="11.33203125" customWidth="1"/>
    <col min="5" max="5" width="9.109375" customWidth="1"/>
    <col min="14" max="14" width="12.109375" customWidth="1"/>
  </cols>
  <sheetData>
    <row r="1" spans="1:34" ht="15" customHeight="1" x14ac:dyDescent="0.3">
      <c r="A1" s="94" t="s">
        <v>134</v>
      </c>
      <c r="AB1" t="s">
        <v>54</v>
      </c>
      <c r="AC1" t="s">
        <v>55</v>
      </c>
      <c r="AE1" s="22" t="s">
        <v>144</v>
      </c>
      <c r="AF1" s="22"/>
      <c r="AG1" s="22"/>
      <c r="AH1" s="22"/>
    </row>
    <row r="2" spans="1:34" ht="15" customHeight="1" x14ac:dyDescent="0.3">
      <c r="A2" s="94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86</v>
      </c>
      <c r="N2" t="s">
        <v>2</v>
      </c>
      <c r="O2" t="s">
        <v>15</v>
      </c>
      <c r="AB2">
        <f>$E$17*AC2/(1+$E$18*AC2)</f>
        <v>8.4453279423370956E-2</v>
      </c>
      <c r="AC2">
        <v>0.1</v>
      </c>
      <c r="AE2" s="24" t="s">
        <v>19</v>
      </c>
      <c r="AF2" s="24">
        <f>B6</f>
        <v>0.1</v>
      </c>
      <c r="AG2" s="24"/>
      <c r="AH2" s="24" t="s">
        <v>93</v>
      </c>
    </row>
    <row r="3" spans="1:34" ht="15" customHeight="1" x14ac:dyDescent="0.3">
      <c r="A3" s="94"/>
      <c r="C3" t="s">
        <v>26</v>
      </c>
      <c r="D3" s="1" t="s">
        <v>11</v>
      </c>
      <c r="E3" s="2">
        <f>phi0!E3</f>
        <v>0.52868749999999987</v>
      </c>
      <c r="F3" s="2">
        <f>phi0!F3</f>
        <v>0.91743750000000002</v>
      </c>
      <c r="G3" s="2">
        <f>phi0!G3</f>
        <v>1.2655000000000001</v>
      </c>
      <c r="H3" s="2">
        <f>phi0!H3</f>
        <v>1.6353958333333327</v>
      </c>
      <c r="I3" s="2">
        <f>phi0!I3</f>
        <v>1.9437291666666665</v>
      </c>
      <c r="J3" s="2">
        <f>phi0!J3</f>
        <v>2.2155416666666663</v>
      </c>
      <c r="K3" s="2">
        <f>phi0!K3</f>
        <v>2.5180416666666665</v>
      </c>
      <c r="L3" s="2">
        <f>phi0!L3</f>
        <v>2.7956041666666671</v>
      </c>
      <c r="M3" s="2">
        <f>phi0!M3</f>
        <v>3.1556875000000009</v>
      </c>
      <c r="N3" s="1" t="s">
        <v>87</v>
      </c>
      <c r="O3" t="s">
        <v>37</v>
      </c>
      <c r="AB3">
        <f t="shared" ref="AB3:AB59" si="0">$E$17*AC3/(1+$E$18*AC3)</f>
        <v>0.39524377753933354</v>
      </c>
      <c r="AC3">
        <v>0.5</v>
      </c>
      <c r="AE3" t="str">
        <f>D20</f>
        <v>Eq_recF</v>
      </c>
      <c r="AF3">
        <f>E20</f>
        <v>3.9704701670849145</v>
      </c>
      <c r="AG3">
        <v>0</v>
      </c>
      <c r="AH3">
        <f>E15</f>
        <v>4.2758580000000004</v>
      </c>
    </row>
    <row r="4" spans="1:34" ht="15" customHeight="1" x14ac:dyDescent="0.3">
      <c r="A4" s="94"/>
      <c r="C4" s="3" t="s">
        <v>5</v>
      </c>
      <c r="D4" s="3" t="s">
        <v>12</v>
      </c>
      <c r="E4" s="2">
        <f>phi0!E4</f>
        <v>0.18988256328527628</v>
      </c>
      <c r="F4" s="2">
        <f>phi0!F4</f>
        <v>0.51525951357153688</v>
      </c>
      <c r="G4" s="2">
        <f>phi0!G4</f>
        <v>0.83071831606934499</v>
      </c>
      <c r="H4" s="2">
        <f>phi0!H4</f>
        <v>0.94003787933985505</v>
      </c>
      <c r="I4" s="2">
        <f>phi0!I4</f>
        <v>0.97565145415800825</v>
      </c>
      <c r="J4" s="2">
        <f>phi0!J4</f>
        <v>0.9890409620488283</v>
      </c>
      <c r="K4" s="2">
        <f>phi0!K4</f>
        <v>0.99470052453844637</v>
      </c>
      <c r="L4" s="2">
        <f>phi0!L4</f>
        <v>0.99730049511242003</v>
      </c>
      <c r="M4" s="2">
        <f>phi0!M4</f>
        <v>0.99856953956468197</v>
      </c>
      <c r="N4" s="5" t="s">
        <v>4</v>
      </c>
      <c r="O4" t="s">
        <v>37</v>
      </c>
      <c r="AB4">
        <f t="shared" si="0"/>
        <v>0.73193779610648491</v>
      </c>
      <c r="AC4">
        <v>1</v>
      </c>
      <c r="AE4" t="str">
        <f>D21</f>
        <v>Eq_SSBF</v>
      </c>
      <c r="AF4">
        <f>E21</f>
        <v>23.525949241667259</v>
      </c>
      <c r="AH4">
        <f>E19</f>
        <v>36.967898517909518</v>
      </c>
    </row>
    <row r="5" spans="1:34" ht="15" customHeight="1" x14ac:dyDescent="0.3">
      <c r="A5" s="94"/>
      <c r="C5" s="1" t="s">
        <v>6</v>
      </c>
      <c r="D5" s="1" t="s">
        <v>8</v>
      </c>
      <c r="E5" s="2">
        <v>0.2</v>
      </c>
      <c r="F5" s="2">
        <f>E5</f>
        <v>0.2</v>
      </c>
      <c r="G5" s="2">
        <f t="shared" ref="G5:M5" si="1">F5</f>
        <v>0.2</v>
      </c>
      <c r="H5" s="2">
        <f t="shared" si="1"/>
        <v>0.2</v>
      </c>
      <c r="I5" s="2">
        <f t="shared" si="1"/>
        <v>0.2</v>
      </c>
      <c r="J5" s="2">
        <f t="shared" si="1"/>
        <v>0.2</v>
      </c>
      <c r="K5" s="2">
        <f t="shared" si="1"/>
        <v>0.2</v>
      </c>
      <c r="L5" s="2">
        <f t="shared" si="1"/>
        <v>0.2</v>
      </c>
      <c r="M5" s="2">
        <f t="shared" si="1"/>
        <v>0.2</v>
      </c>
      <c r="N5" s="4" t="s">
        <v>4</v>
      </c>
      <c r="O5" t="s">
        <v>38</v>
      </c>
      <c r="AB5">
        <f t="shared" si="0"/>
        <v>1.2750021151947388</v>
      </c>
      <c r="AC5">
        <v>2</v>
      </c>
      <c r="AE5" t="str">
        <f>CONCATENATE("(",AE4,",",AE3,") at F=",AF2)</f>
        <v>(Eq_SSBF,Eq_recF) at F=0.1</v>
      </c>
    </row>
    <row r="6" spans="1:34" ht="15" customHeight="1" x14ac:dyDescent="0.35">
      <c r="A6" s="37" t="s">
        <v>39</v>
      </c>
      <c r="B6" s="17">
        <v>0.1</v>
      </c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2">F6*EXP(-F5)</f>
        <v>0.67032004603563922</v>
      </c>
      <c r="H6">
        <f t="shared" si="2"/>
        <v>0.54881163609402639</v>
      </c>
      <c r="I6">
        <f t="shared" si="2"/>
        <v>0.44932896411722151</v>
      </c>
      <c r="J6">
        <f t="shared" si="2"/>
        <v>0.36787944117144222</v>
      </c>
      <c r="K6">
        <f t="shared" si="2"/>
        <v>0.30119421191220203</v>
      </c>
      <c r="L6">
        <f t="shared" si="2"/>
        <v>0.24659696394160641</v>
      </c>
      <c r="M6" s="20">
        <f>L6*EXP(-L5)/(1-EXP(-M5))</f>
        <v>1.1137935497768741</v>
      </c>
      <c r="N6" s="7" t="s">
        <v>4</v>
      </c>
      <c r="O6" t="s">
        <v>16</v>
      </c>
      <c r="AB6">
        <f t="shared" si="0"/>
        <v>1.6939454190602172</v>
      </c>
      <c r="AC6">
        <v>3</v>
      </c>
    </row>
    <row r="7" spans="1:34" ht="15" customHeight="1" x14ac:dyDescent="0.35">
      <c r="A7" s="94" t="s">
        <v>135</v>
      </c>
      <c r="C7" s="12" t="s">
        <v>10</v>
      </c>
      <c r="D7" s="15" t="s">
        <v>21</v>
      </c>
      <c r="E7">
        <f>SUMPRODUCT(E6:M6,E3:M3,E4:M4)</f>
        <v>8.6457264291539886</v>
      </c>
      <c r="N7" s="1" t="s">
        <v>88</v>
      </c>
      <c r="AB7">
        <f t="shared" si="0"/>
        <v>2.0269565880963025</v>
      </c>
      <c r="AC7">
        <v>4</v>
      </c>
    </row>
    <row r="8" spans="1:34" ht="15" customHeight="1" x14ac:dyDescent="0.3">
      <c r="A8" s="94"/>
      <c r="C8" s="3" t="s">
        <v>3</v>
      </c>
      <c r="D8" s="3" t="s">
        <v>13</v>
      </c>
      <c r="E8" s="2">
        <f>'phiF SPR YPR'!E8</f>
        <v>4.0436359999999998E-3</v>
      </c>
      <c r="F8" s="2">
        <f>'phiF SPR YPR'!F8</f>
        <v>4.8546620999999998E-2</v>
      </c>
      <c r="G8" s="2">
        <f>'phiF SPR YPR'!G8</f>
        <v>0.35489582200000003</v>
      </c>
      <c r="H8" s="2">
        <f>'phiF SPR YPR'!H8</f>
        <v>0.72466872699999996</v>
      </c>
      <c r="I8" s="2">
        <f>'phiF SPR YPR'!I8</f>
        <v>0.90894166899999995</v>
      </c>
      <c r="J8" s="2">
        <f>'phiF SPR YPR'!J8</f>
        <v>0.97144023599999996</v>
      </c>
      <c r="K8" s="2">
        <f>'phiF SPR YPR'!K8</f>
        <v>0.98972695300000002</v>
      </c>
      <c r="L8" s="2">
        <f>'phiF SPR YPR'!L8</f>
        <v>0.99659088699999998</v>
      </c>
      <c r="M8" s="2">
        <f>'phiF SPR YPR'!M8</f>
        <v>0.99806452199999995</v>
      </c>
      <c r="N8" s="4" t="s">
        <v>4</v>
      </c>
      <c r="O8" t="s">
        <v>40</v>
      </c>
      <c r="AB8">
        <f t="shared" si="0"/>
        <v>2.2980154295621702</v>
      </c>
      <c r="AC8">
        <v>5</v>
      </c>
    </row>
    <row r="9" spans="1:34" ht="15" customHeight="1" x14ac:dyDescent="0.3">
      <c r="A9" s="94"/>
      <c r="C9" t="s">
        <v>20</v>
      </c>
      <c r="D9" t="s">
        <v>19</v>
      </c>
      <c r="E9" s="6">
        <f>B6</f>
        <v>0.1</v>
      </c>
      <c r="N9" s="4" t="s">
        <v>4</v>
      </c>
      <c r="AB9">
        <f t="shared" si="0"/>
        <v>2.5229388025018666</v>
      </c>
      <c r="AC9">
        <v>6</v>
      </c>
    </row>
    <row r="10" spans="1:34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L10" si="3">F10*EXP(-F5-$E$9*F8)</f>
        <v>0.66680406909640177</v>
      </c>
      <c r="H10">
        <f t="shared" si="3"/>
        <v>0.52689783648290989</v>
      </c>
      <c r="I10">
        <f t="shared" si="3"/>
        <v>0.40123199388411179</v>
      </c>
      <c r="J10">
        <f t="shared" si="3"/>
        <v>0.29995894985656085</v>
      </c>
      <c r="K10">
        <f t="shared" si="3"/>
        <v>0.22285060358771858</v>
      </c>
      <c r="L10">
        <f t="shared" si="3"/>
        <v>0.16526147434211816</v>
      </c>
      <c r="M10" s="20">
        <f>L10*EXP(-L5-$E$9*L8)/(1-EXP(-M5-$E$9*M8))</f>
        <v>0.47278883928200716</v>
      </c>
      <c r="N10" s="4" t="s">
        <v>4</v>
      </c>
      <c r="AB10">
        <f t="shared" si="0"/>
        <v>2.7125816328134724</v>
      </c>
      <c r="AC10">
        <v>7</v>
      </c>
    </row>
    <row r="11" spans="1:34" ht="15" customHeight="1" x14ac:dyDescent="0.35">
      <c r="A11" s="94" t="s">
        <v>136</v>
      </c>
      <c r="C11" s="14" t="s">
        <v>18</v>
      </c>
      <c r="D11" s="14" t="s">
        <v>22</v>
      </c>
      <c r="E11">
        <f>SUMPRODUCT(E10:M10,E3:M3,E4:M4)</f>
        <v>5.9252300739334878</v>
      </c>
      <c r="N11" s="1" t="s">
        <v>88</v>
      </c>
      <c r="AB11">
        <f t="shared" si="0"/>
        <v>2.8746411788307462</v>
      </c>
      <c r="AC11">
        <v>8</v>
      </c>
    </row>
    <row r="12" spans="1:34" ht="15" customHeight="1" x14ac:dyDescent="0.3">
      <c r="A12" s="94"/>
      <c r="C12" s="14" t="s">
        <v>46</v>
      </c>
      <c r="D12" s="14" t="s">
        <v>25</v>
      </c>
      <c r="E12">
        <f>E11/E7</f>
        <v>0.68533628984063166</v>
      </c>
      <c r="N12" s="4" t="s">
        <v>4</v>
      </c>
      <c r="AB12">
        <f t="shared" si="0"/>
        <v>3.0147273863259021</v>
      </c>
      <c r="AC12">
        <v>9</v>
      </c>
    </row>
    <row r="13" spans="1:34" ht="15" customHeight="1" x14ac:dyDescent="0.3">
      <c r="A13" s="94"/>
      <c r="C13" s="14" t="s">
        <v>49</v>
      </c>
      <c r="D13" s="14" t="s">
        <v>48</v>
      </c>
      <c r="E13">
        <f>E10*E3*$E$9*E8*(1-EXP(-$E$9*E8-E5))/($E$9*E8+E5)</f>
        <v>1.9372262843376736E-4</v>
      </c>
      <c r="F13">
        <f t="shared" ref="F13:M13" si="4">F10*F3*$E$9*F8*(1-EXP(-$E$9*F8-F5))/($E$9*F8+F5)</f>
        <v>3.2959186610397725E-3</v>
      </c>
      <c r="G13">
        <f t="shared" si="4"/>
        <v>2.6682615564540248E-2</v>
      </c>
      <c r="H13">
        <f t="shared" si="4"/>
        <v>5.4659536821670462E-2</v>
      </c>
      <c r="I13">
        <f t="shared" si="4"/>
        <v>6.1507859870212421E-2</v>
      </c>
      <c r="J13">
        <f t="shared" si="4"/>
        <v>5.5850928657019398E-2</v>
      </c>
      <c r="K13">
        <f t="shared" si="4"/>
        <v>4.8005090742236592E-2</v>
      </c>
      <c r="L13">
        <f t="shared" si="4"/>
        <v>3.9784853213727378E-2</v>
      </c>
      <c r="M13">
        <f t="shared" si="4"/>
        <v>0.12865982806513587</v>
      </c>
      <c r="N13" t="s">
        <v>87</v>
      </c>
      <c r="AB13">
        <f t="shared" si="0"/>
        <v>3.1370255037745949</v>
      </c>
      <c r="AC13">
        <v>10</v>
      </c>
    </row>
    <row r="14" spans="1:34" ht="15" customHeight="1" x14ac:dyDescent="0.3">
      <c r="A14" s="94"/>
      <c r="C14" s="14" t="s">
        <v>45</v>
      </c>
      <c r="D14" s="14" t="s">
        <v>47</v>
      </c>
      <c r="E14">
        <f>SUM(E13:M13)</f>
        <v>0.41864035422401591</v>
      </c>
      <c r="N14" t="s">
        <v>87</v>
      </c>
      <c r="AB14">
        <f t="shared" si="0"/>
        <v>3.2447213508625108</v>
      </c>
      <c r="AC14">
        <v>11</v>
      </c>
    </row>
    <row r="15" spans="1:34" ht="15" customHeight="1" x14ac:dyDescent="0.35">
      <c r="B15" s="67">
        <v>6</v>
      </c>
      <c r="C15" s="18" t="s">
        <v>58</v>
      </c>
      <c r="D15" s="18" t="s">
        <v>159</v>
      </c>
      <c r="E15" s="17">
        <v>4.2758580000000004</v>
      </c>
      <c r="N15" t="s">
        <v>89</v>
      </c>
      <c r="O15" t="s">
        <v>40</v>
      </c>
      <c r="AB15">
        <f t="shared" si="0"/>
        <v>3.3402828388086236</v>
      </c>
      <c r="AC15">
        <v>12</v>
      </c>
    </row>
    <row r="16" spans="1:34" ht="15" customHeight="1" x14ac:dyDescent="0.3">
      <c r="A16" s="94" t="s">
        <v>164</v>
      </c>
      <c r="B16" s="67">
        <v>6</v>
      </c>
      <c r="C16" t="s">
        <v>27</v>
      </c>
      <c r="D16" s="1" t="s">
        <v>28</v>
      </c>
      <c r="E16" s="17">
        <v>0.65</v>
      </c>
      <c r="N16" s="7" t="s">
        <v>4</v>
      </c>
      <c r="O16" t="s">
        <v>38</v>
      </c>
      <c r="AB16">
        <f t="shared" si="0"/>
        <v>3.425651406885077</v>
      </c>
      <c r="AC16">
        <v>13</v>
      </c>
    </row>
    <row r="17" spans="1:29" ht="15" customHeight="1" x14ac:dyDescent="0.3">
      <c r="A17" s="94"/>
      <c r="B17" s="67">
        <v>6</v>
      </c>
      <c r="C17" s="1" t="s">
        <v>29</v>
      </c>
      <c r="D17" s="1" t="s">
        <v>31</v>
      </c>
      <c r="E17">
        <f>4*E16/(E7*(1-E16))</f>
        <v>0.85921888570540139</v>
      </c>
      <c r="N17" s="7" t="s">
        <v>90</v>
      </c>
      <c r="AB17">
        <f t="shared" si="0"/>
        <v>3.5023753026618314</v>
      </c>
      <c r="AC17">
        <v>14</v>
      </c>
    </row>
    <row r="18" spans="1:29" ht="15" customHeight="1" x14ac:dyDescent="0.3">
      <c r="A18" s="94"/>
      <c r="B18" s="67">
        <v>6</v>
      </c>
      <c r="C18" s="1" t="s">
        <v>30</v>
      </c>
      <c r="D18" s="1" t="s">
        <v>32</v>
      </c>
      <c r="E18">
        <f>1/E15*(E17-1/E7)</f>
        <v>0.17389604728159039</v>
      </c>
      <c r="N18" s="7" t="s">
        <v>91</v>
      </c>
      <c r="AB18">
        <f t="shared" si="0"/>
        <v>3.5717043244291462</v>
      </c>
      <c r="AC18">
        <v>15</v>
      </c>
    </row>
    <row r="19" spans="1:29" ht="15" customHeight="1" x14ac:dyDescent="0.35">
      <c r="B19" s="67">
        <v>7</v>
      </c>
      <c r="C19" s="18" t="s">
        <v>60</v>
      </c>
      <c r="D19" s="11" t="s">
        <v>57</v>
      </c>
      <c r="E19">
        <f>E15/(E17-E18*E15)</f>
        <v>36.967898517909518</v>
      </c>
      <c r="F19" s="42">
        <v>0</v>
      </c>
      <c r="N19" t="s">
        <v>56</v>
      </c>
      <c r="AB19">
        <f t="shared" si="0"/>
        <v>3.6346584284546708</v>
      </c>
      <c r="AC19">
        <v>16</v>
      </c>
    </row>
    <row r="20" spans="1:29" ht="15" customHeight="1" x14ac:dyDescent="0.35">
      <c r="B20" s="67">
        <v>8</v>
      </c>
      <c r="C20" s="43" t="s">
        <v>59</v>
      </c>
      <c r="D20" s="13" t="s">
        <v>61</v>
      </c>
      <c r="E20">
        <f>1/E18*(E17-1/E11)</f>
        <v>3.9704701670849145</v>
      </c>
      <c r="N20" t="s">
        <v>89</v>
      </c>
      <c r="AB20">
        <f t="shared" si="0"/>
        <v>3.6920782424658598</v>
      </c>
      <c r="AC20">
        <v>17</v>
      </c>
    </row>
    <row r="21" spans="1:29" ht="15" customHeight="1" x14ac:dyDescent="0.35">
      <c r="B21" s="67">
        <v>8</v>
      </c>
      <c r="C21" s="43" t="s">
        <v>62</v>
      </c>
      <c r="D21" s="13" t="s">
        <v>63</v>
      </c>
      <c r="E21">
        <f>E20/(E17-E20*E18)</f>
        <v>23.525949241667259</v>
      </c>
      <c r="N21" t="s">
        <v>56</v>
      </c>
      <c r="AB21">
        <f t="shared" si="0"/>
        <v>3.7446628181335258</v>
      </c>
      <c r="AC21">
        <v>18</v>
      </c>
    </row>
    <row r="22" spans="1:29" ht="15" customHeight="1" x14ac:dyDescent="0.3">
      <c r="B22" s="67">
        <v>8</v>
      </c>
      <c r="C22" s="44" t="s">
        <v>64</v>
      </c>
      <c r="D22" s="40" t="s">
        <v>64</v>
      </c>
      <c r="E22">
        <f>MAX(E14*E20,0)</f>
        <v>1.6621990371843163</v>
      </c>
      <c r="N22" t="s">
        <v>56</v>
      </c>
      <c r="AB22">
        <f t="shared" si="0"/>
        <v>3.7929982316459756</v>
      </c>
      <c r="AC22">
        <v>19</v>
      </c>
    </row>
    <row r="23" spans="1:29" ht="15" customHeight="1" x14ac:dyDescent="0.3">
      <c r="B23" s="67">
        <v>9</v>
      </c>
      <c r="C23" s="44" t="s">
        <v>158</v>
      </c>
      <c r="D23" s="44" t="s">
        <v>157</v>
      </c>
      <c r="E23">
        <f>E17/E18</f>
        <v>4.9409914666666674</v>
      </c>
      <c r="N23" t="s">
        <v>89</v>
      </c>
      <c r="O23" t="s">
        <v>161</v>
      </c>
      <c r="AB23">
        <f t="shared" si="0"/>
        <v>3.8375795202171474</v>
      </c>
      <c r="AC23">
        <v>20</v>
      </c>
    </row>
    <row r="24" spans="1:29" ht="15" customHeight="1" x14ac:dyDescent="0.35">
      <c r="B24" s="67">
        <v>9</v>
      </c>
      <c r="C24" t="s">
        <v>162</v>
      </c>
      <c r="D24" t="s">
        <v>172</v>
      </c>
      <c r="E24">
        <f>0.5*E23/(E17-E18*0.5*E23)</f>
        <v>5.7505619916748136</v>
      </c>
      <c r="N24" t="s">
        <v>56</v>
      </c>
      <c r="AB24">
        <f t="shared" si="0"/>
        <v>3.878827698359832</v>
      </c>
      <c r="AC24">
        <v>21</v>
      </c>
    </row>
    <row r="25" spans="1:29" ht="15" customHeight="1" x14ac:dyDescent="0.3">
      <c r="AB25">
        <f t="shared" si="0"/>
        <v>3.9171030950392023</v>
      </c>
      <c r="AC25">
        <v>22</v>
      </c>
    </row>
    <row r="26" spans="1:29" ht="15" customHeight="1" x14ac:dyDescent="0.3">
      <c r="C26" t="s">
        <v>138</v>
      </c>
      <c r="AB26">
        <f t="shared" si="0"/>
        <v>3.9527159074747984</v>
      </c>
      <c r="AC26">
        <v>23</v>
      </c>
    </row>
    <row r="27" spans="1:29" ht="15" customHeight="1" x14ac:dyDescent="0.3">
      <c r="C27" t="s">
        <v>137</v>
      </c>
      <c r="AB27">
        <f t="shared" si="0"/>
        <v>3.9859346264848261</v>
      </c>
      <c r="AC27">
        <v>24</v>
      </c>
    </row>
    <row r="28" spans="1:29" ht="15" customHeight="1" x14ac:dyDescent="0.3">
      <c r="AB28">
        <f t="shared" si="0"/>
        <v>4.0169928178909018</v>
      </c>
      <c r="AC28">
        <v>25</v>
      </c>
    </row>
    <row r="29" spans="1:29" ht="15" customHeight="1" x14ac:dyDescent="0.3">
      <c r="C29" s="55" t="s">
        <v>106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AB29">
        <f t="shared" si="0"/>
        <v>4.046094622420159</v>
      </c>
      <c r="AC29">
        <v>26</v>
      </c>
    </row>
    <row r="30" spans="1:29" ht="15" customHeight="1" x14ac:dyDescent="0.3">
      <c r="C30" s="93" t="s">
        <v>34</v>
      </c>
      <c r="F30" s="39" t="s">
        <v>165</v>
      </c>
      <c r="AB30">
        <f t="shared" si="0"/>
        <v>4.0734192480089959</v>
      </c>
      <c r="AC30">
        <v>27</v>
      </c>
    </row>
    <row r="31" spans="1:29" ht="15" customHeight="1" x14ac:dyDescent="0.3">
      <c r="C31" s="93"/>
      <c r="AB31">
        <f t="shared" si="0"/>
        <v>4.0991246634883494</v>
      </c>
      <c r="AC31">
        <v>28</v>
      </c>
    </row>
    <row r="32" spans="1:29" ht="15" customHeight="1" x14ac:dyDescent="0.3">
      <c r="C32" s="93"/>
      <c r="AB32">
        <f t="shared" si="0"/>
        <v>4.1233506545206664</v>
      </c>
      <c r="AC32">
        <v>29</v>
      </c>
    </row>
    <row r="33" spans="1:30" ht="15" customHeight="1" x14ac:dyDescent="0.3">
      <c r="C33" s="93" t="s">
        <v>33</v>
      </c>
      <c r="AB33">
        <f t="shared" si="0"/>
        <v>4.14622136666042</v>
      </c>
      <c r="AC33">
        <v>30</v>
      </c>
    </row>
    <row r="34" spans="1:30" ht="15" customHeight="1" x14ac:dyDescent="0.3">
      <c r="C34" s="93"/>
      <c r="AB34">
        <f t="shared" si="0"/>
        <v>4.1678474332274096</v>
      </c>
      <c r="AC34">
        <v>31</v>
      </c>
    </row>
    <row r="35" spans="1:30" ht="15" customHeight="1" x14ac:dyDescent="0.3">
      <c r="C35" s="93"/>
      <c r="AB35">
        <f t="shared" si="0"/>
        <v>4.1883277649800803</v>
      </c>
      <c r="AC35">
        <v>32</v>
      </c>
    </row>
    <row r="36" spans="1:30" ht="15" customHeight="1" x14ac:dyDescent="0.3">
      <c r="AB36">
        <f t="shared" si="0"/>
        <v>4.2077510626821448</v>
      </c>
      <c r="AC36">
        <v>33</v>
      </c>
    </row>
    <row r="37" spans="1:30" ht="15" customHeight="1" x14ac:dyDescent="0.35">
      <c r="C37" s="9"/>
      <c r="F37" s="39" t="s">
        <v>72</v>
      </c>
      <c r="AB37">
        <f t="shared" si="0"/>
        <v>4.2261971013604933</v>
      </c>
      <c r="AC37">
        <v>34</v>
      </c>
    </row>
    <row r="38" spans="1:30" ht="15" customHeight="1" x14ac:dyDescent="0.35">
      <c r="C38" s="10"/>
      <c r="F38" s="39" t="s">
        <v>53</v>
      </c>
      <c r="AB38">
        <f t="shared" si="0"/>
        <v>4.2437378254725244</v>
      </c>
      <c r="AC38">
        <v>35</v>
      </c>
    </row>
    <row r="39" spans="1:30" ht="15" customHeight="1" x14ac:dyDescent="0.3">
      <c r="C39" s="10"/>
      <c r="F39" s="39" t="s">
        <v>35</v>
      </c>
      <c r="AB39">
        <f t="shared" si="0"/>
        <v>4.2604382866862718</v>
      </c>
      <c r="AC39">
        <v>36</v>
      </c>
    </row>
    <row r="40" spans="1:30" ht="15" customHeight="1" x14ac:dyDescent="0.3">
      <c r="C40" s="10"/>
      <c r="F40" s="16" t="s">
        <v>36</v>
      </c>
      <c r="AB40">
        <f t="shared" si="0"/>
        <v>4.2763574500440056</v>
      </c>
      <c r="AC40">
        <v>37</v>
      </c>
    </row>
    <row r="41" spans="1:30" s="24" customFormat="1" ht="15" customHeight="1" x14ac:dyDescent="0.3">
      <c r="A41"/>
      <c r="B41"/>
      <c r="C41" s="10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AB41">
        <f t="shared" si="0"/>
        <v>4.2915488895676646</v>
      </c>
      <c r="AC41">
        <v>38</v>
      </c>
      <c r="AD41"/>
    </row>
    <row r="42" spans="1:30" ht="15" customHeight="1" x14ac:dyDescent="0.3">
      <c r="C42" s="10"/>
      <c r="AB42">
        <f t="shared" si="0"/>
        <v>4.3060613905999388</v>
      </c>
      <c r="AC42">
        <v>39</v>
      </c>
    </row>
    <row r="43" spans="1:30" s="24" customFormat="1" ht="15" customHeight="1" x14ac:dyDescent="0.3">
      <c r="A43"/>
      <c r="B43"/>
      <c r="C43" s="10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AB43">
        <f t="shared" si="0"/>
        <v>4.3199394731507557</v>
      </c>
      <c r="AC43">
        <v>40</v>
      </c>
      <c r="AD43"/>
    </row>
    <row r="44" spans="1:30" ht="15" customHeight="1" x14ac:dyDescent="0.3">
      <c r="C44" s="10"/>
      <c r="AB44">
        <f t="shared" si="0"/>
        <v>4.3332238480771261</v>
      </c>
      <c r="AC44">
        <v>41</v>
      </c>
    </row>
    <row r="45" spans="1:30" ht="15" customHeight="1" x14ac:dyDescent="0.3">
      <c r="C45" s="10"/>
      <c r="J45" s="24"/>
      <c r="K45" s="24"/>
      <c r="T45" s="24"/>
      <c r="U45" s="24"/>
      <c r="AB45">
        <f t="shared" si="0"/>
        <v>4.3459518159426249</v>
      </c>
      <c r="AC45">
        <v>42</v>
      </c>
    </row>
    <row r="46" spans="1:30" ht="15" customHeight="1" x14ac:dyDescent="0.3">
      <c r="C46" s="10"/>
      <c r="J46" s="24"/>
      <c r="K46" s="24"/>
      <c r="AB46">
        <f t="shared" si="0"/>
        <v>4.3581576167870466</v>
      </c>
      <c r="AC46">
        <v>43</v>
      </c>
    </row>
    <row r="47" spans="1:30" ht="15" customHeight="1" x14ac:dyDescent="0.3">
      <c r="AB47">
        <f t="shared" si="0"/>
        <v>4.3698727377132611</v>
      </c>
      <c r="AC47">
        <v>44</v>
      </c>
    </row>
    <row r="48" spans="1:30" ht="15" customHeight="1" x14ac:dyDescent="0.3">
      <c r="AB48">
        <f t="shared" si="0"/>
        <v>4.3811261841095215</v>
      </c>
      <c r="AC48">
        <v>45</v>
      </c>
    </row>
    <row r="49" spans="28:29" ht="15" customHeight="1" x14ac:dyDescent="0.3">
      <c r="AB49">
        <f t="shared" si="0"/>
        <v>4.3919447194260517</v>
      </c>
      <c r="AC49">
        <v>46</v>
      </c>
    </row>
    <row r="50" spans="28:29" ht="15" customHeight="1" x14ac:dyDescent="0.3">
      <c r="AB50">
        <f t="shared" si="0"/>
        <v>4.4023530776787512</v>
      </c>
      <c r="AC50">
        <v>47</v>
      </c>
    </row>
    <row r="51" spans="28:29" ht="15" customHeight="1" x14ac:dyDescent="0.3">
      <c r="AB51">
        <f t="shared" si="0"/>
        <v>4.4123741522318198</v>
      </c>
      <c r="AC51">
        <v>48</v>
      </c>
    </row>
    <row r="52" spans="28:29" ht="15" customHeight="1" x14ac:dyDescent="0.3">
      <c r="AB52">
        <f t="shared" si="0"/>
        <v>4.4220291638920699</v>
      </c>
      <c r="AC52">
        <v>49</v>
      </c>
    </row>
    <row r="53" spans="28:29" ht="15" customHeight="1" x14ac:dyDescent="0.3">
      <c r="AB53">
        <f t="shared" si="0"/>
        <v>4.4313378109125621</v>
      </c>
      <c r="AC53">
        <v>50</v>
      </c>
    </row>
    <row r="54" spans="28:29" ht="15" customHeight="1" x14ac:dyDescent="0.3">
      <c r="AB54">
        <f t="shared" si="0"/>
        <v>4.4403184031369856</v>
      </c>
      <c r="AC54">
        <v>51</v>
      </c>
    </row>
    <row r="55" spans="28:29" ht="15" customHeight="1" x14ac:dyDescent="0.3">
      <c r="AB55">
        <f t="shared" si="0"/>
        <v>4.4489879822070879</v>
      </c>
      <c r="AC55">
        <v>52</v>
      </c>
    </row>
    <row r="56" spans="28:29" ht="15" customHeight="1" x14ac:dyDescent="0.3">
      <c r="AB56">
        <f t="shared" si="0"/>
        <v>4.4573624294937249</v>
      </c>
      <c r="AC56">
        <v>53</v>
      </c>
    </row>
    <row r="57" spans="28:29" ht="15" customHeight="1" x14ac:dyDescent="0.3">
      <c r="AB57">
        <f t="shared" si="0"/>
        <v>4.4654565631897452</v>
      </c>
      <c r="AC57">
        <v>54</v>
      </c>
    </row>
    <row r="58" spans="28:29" ht="15" customHeight="1" x14ac:dyDescent="0.3">
      <c r="AB58">
        <f t="shared" si="0"/>
        <v>4.4732842258135426</v>
      </c>
      <c r="AC58">
        <v>55</v>
      </c>
    </row>
    <row r="59" spans="28:29" ht="15" customHeight="1" x14ac:dyDescent="0.3">
      <c r="AB59">
        <f t="shared" si="0"/>
        <v>4.4808583632103192</v>
      </c>
      <c r="AC59">
        <v>56</v>
      </c>
    </row>
    <row r="71" spans="3:11" ht="15" customHeight="1" x14ac:dyDescent="0.3">
      <c r="C71" s="10"/>
      <c r="J71" s="24"/>
      <c r="K71" s="24"/>
    </row>
    <row r="72" spans="3:11" ht="15" customHeight="1" x14ac:dyDescent="0.3">
      <c r="C72" s="10"/>
      <c r="J72" s="24"/>
      <c r="K72" s="24"/>
    </row>
    <row r="73" spans="3:11" ht="15" customHeight="1" x14ac:dyDescent="0.3">
      <c r="C73" s="10"/>
      <c r="J73" s="24"/>
      <c r="K73" s="24"/>
    </row>
    <row r="74" spans="3:11" ht="15" customHeight="1" x14ac:dyDescent="0.3">
      <c r="C74" s="10"/>
      <c r="J74" s="24"/>
      <c r="K74" s="24"/>
    </row>
    <row r="75" spans="3:11" ht="15" customHeight="1" x14ac:dyDescent="0.3">
      <c r="C75" s="10"/>
      <c r="J75" s="24"/>
      <c r="K75" s="24"/>
    </row>
    <row r="76" spans="3:11" ht="15" customHeight="1" x14ac:dyDescent="0.3">
      <c r="C76" s="10"/>
      <c r="J76" s="24"/>
      <c r="K76" s="24"/>
    </row>
    <row r="77" spans="3:11" ht="15" customHeight="1" x14ac:dyDescent="0.3">
      <c r="C77" s="10"/>
      <c r="J77" s="24"/>
      <c r="K77" s="24"/>
    </row>
    <row r="78" spans="3:11" ht="15" customHeight="1" x14ac:dyDescent="0.3">
      <c r="C78" s="10"/>
      <c r="J78" s="24"/>
      <c r="K78" s="24"/>
    </row>
    <row r="79" spans="3:11" ht="15" customHeight="1" x14ac:dyDescent="0.3">
      <c r="C79" s="10"/>
      <c r="J79" s="24"/>
      <c r="K79" s="24"/>
    </row>
    <row r="80" spans="3:11" ht="15" customHeight="1" x14ac:dyDescent="0.3">
      <c r="C80" s="10"/>
      <c r="J80" s="24"/>
      <c r="K80" s="24"/>
    </row>
    <row r="81" spans="3:11" ht="15" customHeight="1" x14ac:dyDescent="0.3">
      <c r="C81" s="10"/>
      <c r="J81" s="24"/>
      <c r="K81" s="24"/>
    </row>
    <row r="82" spans="3:11" ht="15" customHeight="1" x14ac:dyDescent="0.3">
      <c r="C82" s="10"/>
      <c r="J82" s="24"/>
      <c r="K82" s="24"/>
    </row>
    <row r="83" spans="3:11" ht="15" customHeight="1" x14ac:dyDescent="0.3">
      <c r="C83" s="10"/>
      <c r="J83" s="24"/>
      <c r="K83" s="24"/>
    </row>
    <row r="84" spans="3:11" ht="15" customHeight="1" x14ac:dyDescent="0.3">
      <c r="C84" s="10"/>
      <c r="J84" s="24"/>
      <c r="K84" s="24"/>
    </row>
    <row r="85" spans="3:11" ht="15" customHeight="1" x14ac:dyDescent="0.3">
      <c r="C85" s="10"/>
      <c r="J85" s="24"/>
      <c r="K85" s="24"/>
    </row>
    <row r="86" spans="3:11" ht="15" customHeight="1" x14ac:dyDescent="0.3">
      <c r="C86" s="10"/>
      <c r="J86" s="24"/>
      <c r="K86" s="24"/>
    </row>
    <row r="87" spans="3:11" ht="15" customHeight="1" x14ac:dyDescent="0.3">
      <c r="C87" s="10"/>
      <c r="J87" s="24"/>
      <c r="K87" s="24"/>
    </row>
    <row r="88" spans="3:11" ht="15" customHeight="1" x14ac:dyDescent="0.3">
      <c r="C88" s="10"/>
      <c r="J88" s="24"/>
      <c r="K88" s="24"/>
    </row>
    <row r="89" spans="3:11" ht="15" customHeight="1" x14ac:dyDescent="0.3">
      <c r="C89" s="10"/>
      <c r="J89" s="24"/>
      <c r="K89" s="24"/>
    </row>
    <row r="90" spans="3:11" ht="15" customHeight="1" x14ac:dyDescent="0.3">
      <c r="C90" s="10"/>
      <c r="J90" s="24"/>
      <c r="K90" s="24"/>
    </row>
    <row r="91" spans="3:11" ht="15" customHeight="1" x14ac:dyDescent="0.3">
      <c r="C91" s="10"/>
      <c r="J91" s="24"/>
      <c r="K91" s="24"/>
    </row>
    <row r="92" spans="3:11" ht="15" customHeight="1" x14ac:dyDescent="0.3">
      <c r="C92" s="10"/>
      <c r="J92" s="24"/>
      <c r="K92" s="24"/>
    </row>
    <row r="93" spans="3:11" ht="15" customHeight="1" x14ac:dyDescent="0.3">
      <c r="C93" s="10"/>
      <c r="J93" s="24"/>
      <c r="K93" s="24"/>
    </row>
    <row r="94" spans="3:11" ht="15" customHeight="1" x14ac:dyDescent="0.3">
      <c r="C94" s="10"/>
      <c r="J94" s="24"/>
      <c r="K94" s="24"/>
    </row>
    <row r="95" spans="3:11" ht="15" customHeight="1" x14ac:dyDescent="0.3">
      <c r="C95" s="10"/>
      <c r="J95" s="24"/>
      <c r="K95" s="24"/>
    </row>
    <row r="96" spans="3:11" ht="15" customHeight="1" x14ac:dyDescent="0.3">
      <c r="C96" s="10"/>
      <c r="J96" s="24"/>
      <c r="K96" s="24"/>
    </row>
    <row r="97" spans="3:11" ht="15" customHeight="1" x14ac:dyDescent="0.3">
      <c r="C97" s="10"/>
      <c r="J97" s="24"/>
      <c r="K97" s="24"/>
    </row>
    <row r="98" spans="3:11" ht="15" customHeight="1" x14ac:dyDescent="0.3">
      <c r="C98" s="10"/>
      <c r="J98" s="24"/>
      <c r="K98" s="24"/>
    </row>
    <row r="99" spans="3:11" ht="15" customHeight="1" x14ac:dyDescent="0.3">
      <c r="C99" s="10"/>
      <c r="J99" s="24"/>
      <c r="K99" s="24"/>
    </row>
    <row r="100" spans="3:11" ht="15" customHeight="1" x14ac:dyDescent="0.3">
      <c r="C100" s="10"/>
      <c r="J100" s="24"/>
      <c r="K100" s="24"/>
    </row>
    <row r="101" spans="3:11" ht="15" customHeight="1" x14ac:dyDescent="0.3">
      <c r="C101" s="10"/>
      <c r="J101" s="24"/>
      <c r="K101" s="24"/>
    </row>
    <row r="102" spans="3:11" ht="15" customHeight="1" x14ac:dyDescent="0.3">
      <c r="C102" s="10"/>
      <c r="J102" s="24"/>
      <c r="K102" s="24"/>
    </row>
    <row r="103" spans="3:11" ht="15" customHeight="1" x14ac:dyDescent="0.3">
      <c r="C103" s="10"/>
      <c r="J103" s="24"/>
      <c r="K103" s="24"/>
    </row>
    <row r="104" spans="3:11" ht="15" customHeight="1" x14ac:dyDescent="0.3">
      <c r="C104" s="10"/>
      <c r="J104" s="24"/>
      <c r="K104" s="24"/>
    </row>
    <row r="105" spans="3:11" ht="15" customHeight="1" x14ac:dyDescent="0.3">
      <c r="C105" s="10"/>
      <c r="J105" s="24"/>
      <c r="K105" s="24"/>
    </row>
    <row r="106" spans="3:11" ht="15" customHeight="1" x14ac:dyDescent="0.3">
      <c r="C106" s="10"/>
      <c r="J106" s="24"/>
      <c r="K106" s="24"/>
    </row>
    <row r="107" spans="3:11" ht="15" customHeight="1" x14ac:dyDescent="0.3">
      <c r="C107" s="10"/>
      <c r="J107" s="24"/>
      <c r="K107" s="24"/>
    </row>
    <row r="108" spans="3:11" ht="15" customHeight="1" x14ac:dyDescent="0.3">
      <c r="C108" s="10"/>
      <c r="J108" s="24"/>
      <c r="K108" s="24"/>
    </row>
    <row r="109" spans="3:11" ht="15" customHeight="1" x14ac:dyDescent="0.3">
      <c r="C109" s="10"/>
      <c r="J109" s="24"/>
      <c r="K109" s="24"/>
    </row>
    <row r="110" spans="3:11" ht="15" customHeight="1" x14ac:dyDescent="0.3">
      <c r="C110" s="10"/>
      <c r="J110" s="24"/>
      <c r="K110" s="24"/>
    </row>
    <row r="111" spans="3:11" ht="15" customHeight="1" x14ac:dyDescent="0.3">
      <c r="C111" s="10"/>
      <c r="J111" s="24"/>
      <c r="K111" s="24"/>
    </row>
    <row r="112" spans="3:11" ht="15" customHeight="1" x14ac:dyDescent="0.3">
      <c r="C112" s="10"/>
      <c r="J112" s="24"/>
      <c r="K112" s="24"/>
    </row>
    <row r="113" spans="3:11" ht="15" customHeight="1" x14ac:dyDescent="0.3">
      <c r="C113" s="10"/>
      <c r="J113" s="24"/>
      <c r="K113" s="24"/>
    </row>
    <row r="114" spans="3:11" ht="15" customHeight="1" x14ac:dyDescent="0.3">
      <c r="C114" s="10"/>
      <c r="J114" s="24"/>
      <c r="K114" s="24"/>
    </row>
    <row r="115" spans="3:11" ht="15" customHeight="1" x14ac:dyDescent="0.3">
      <c r="C115" s="10"/>
      <c r="J115" s="24"/>
      <c r="K115" s="24"/>
    </row>
    <row r="116" spans="3:11" ht="15" customHeight="1" x14ac:dyDescent="0.3">
      <c r="C116" s="10"/>
      <c r="J116" s="24"/>
      <c r="K116" s="24"/>
    </row>
    <row r="117" spans="3:11" ht="15" customHeight="1" x14ac:dyDescent="0.3">
      <c r="C117" s="10"/>
      <c r="J117" s="24"/>
      <c r="K117" s="24"/>
    </row>
    <row r="118" spans="3:11" ht="15" customHeight="1" x14ac:dyDescent="0.3">
      <c r="C118" s="10"/>
      <c r="J118" s="24"/>
      <c r="K118" s="24"/>
    </row>
    <row r="119" spans="3:11" ht="15" customHeight="1" x14ac:dyDescent="0.3">
      <c r="C119" s="10"/>
      <c r="J119" s="24"/>
      <c r="K119" s="24"/>
    </row>
    <row r="120" spans="3:11" ht="15" customHeight="1" x14ac:dyDescent="0.3">
      <c r="C120" s="10"/>
      <c r="J120" s="24"/>
      <c r="K120" s="24"/>
    </row>
    <row r="121" spans="3:11" ht="15" customHeight="1" x14ac:dyDescent="0.3">
      <c r="C121" s="10"/>
      <c r="J121" s="24"/>
      <c r="K121" s="24"/>
    </row>
    <row r="122" spans="3:11" ht="15" customHeight="1" x14ac:dyDescent="0.3">
      <c r="C122" s="10"/>
      <c r="J122" s="24"/>
      <c r="K122" s="24"/>
    </row>
    <row r="123" spans="3:11" ht="15" customHeight="1" x14ac:dyDescent="0.3">
      <c r="C123" s="10"/>
      <c r="J123" s="24"/>
      <c r="K123" s="24"/>
    </row>
    <row r="124" spans="3:11" ht="15" customHeight="1" x14ac:dyDescent="0.3">
      <c r="C124" s="10"/>
      <c r="J124" s="24"/>
      <c r="K124" s="24"/>
    </row>
    <row r="125" spans="3:11" ht="15" customHeight="1" x14ac:dyDescent="0.3">
      <c r="C125" s="10"/>
      <c r="J125" s="24"/>
      <c r="K125" s="24"/>
    </row>
    <row r="126" spans="3:11" ht="15" customHeight="1" x14ac:dyDescent="0.3">
      <c r="C126" s="10"/>
      <c r="J126" s="24"/>
      <c r="K126" s="24"/>
    </row>
    <row r="127" spans="3:11" ht="15" customHeight="1" x14ac:dyDescent="0.3">
      <c r="C127" s="10"/>
      <c r="J127" s="24"/>
      <c r="K127" s="24"/>
    </row>
    <row r="128" spans="3:11" ht="15" customHeight="1" x14ac:dyDescent="0.3">
      <c r="C128" s="10"/>
      <c r="J128" s="24"/>
      <c r="K128" s="24"/>
    </row>
    <row r="129" spans="3:11" ht="15" customHeight="1" x14ac:dyDescent="0.3">
      <c r="C129" s="10"/>
      <c r="J129" s="24"/>
      <c r="K129" s="24"/>
    </row>
    <row r="130" spans="3:11" ht="15" customHeight="1" x14ac:dyDescent="0.3">
      <c r="C130" s="10"/>
      <c r="J130" s="24"/>
      <c r="K130" s="24"/>
    </row>
    <row r="131" spans="3:11" ht="15" customHeight="1" x14ac:dyDescent="0.3">
      <c r="C131" s="10"/>
      <c r="J131" s="24"/>
      <c r="K131" s="24"/>
    </row>
    <row r="132" spans="3:11" ht="15" customHeight="1" x14ac:dyDescent="0.3">
      <c r="C132" s="10"/>
      <c r="J132" s="24"/>
      <c r="K132" s="24"/>
    </row>
    <row r="133" spans="3:11" ht="15" customHeight="1" x14ac:dyDescent="0.3">
      <c r="C133" s="10"/>
      <c r="J133" s="24"/>
      <c r="K133" s="24"/>
    </row>
    <row r="134" spans="3:11" ht="15" customHeight="1" x14ac:dyDescent="0.3">
      <c r="C134" s="10"/>
      <c r="J134" s="24"/>
      <c r="K134" s="24"/>
    </row>
    <row r="135" spans="3:11" ht="15" customHeight="1" x14ac:dyDescent="0.3">
      <c r="C135" s="10"/>
      <c r="J135" s="24"/>
      <c r="K135" s="24"/>
    </row>
    <row r="136" spans="3:11" ht="15" customHeight="1" x14ac:dyDescent="0.3">
      <c r="C136" s="10"/>
      <c r="J136" s="24"/>
      <c r="K136" s="24"/>
    </row>
    <row r="137" spans="3:11" ht="15" customHeight="1" x14ac:dyDescent="0.3">
      <c r="C137" s="10"/>
      <c r="J137" s="24"/>
      <c r="K137" s="24"/>
    </row>
    <row r="138" spans="3:11" ht="15" customHeight="1" x14ac:dyDescent="0.3">
      <c r="C138" s="10"/>
      <c r="J138" s="24"/>
      <c r="K138" s="24"/>
    </row>
    <row r="139" spans="3:11" ht="15" customHeight="1" x14ac:dyDescent="0.3">
      <c r="C139" s="10"/>
      <c r="J139" s="24"/>
      <c r="K139" s="24"/>
    </row>
    <row r="140" spans="3:11" ht="15" customHeight="1" x14ac:dyDescent="0.3">
      <c r="C140" s="10"/>
      <c r="J140" s="24"/>
      <c r="K140" s="24"/>
    </row>
    <row r="141" spans="3:11" ht="15" customHeight="1" x14ac:dyDescent="0.3">
      <c r="C141" s="10"/>
      <c r="J141" s="24"/>
      <c r="K141" s="24"/>
    </row>
    <row r="142" spans="3:11" ht="15" customHeight="1" x14ac:dyDescent="0.3">
      <c r="C142" s="10"/>
      <c r="J142" s="24"/>
      <c r="K142" s="24"/>
    </row>
    <row r="143" spans="3:11" ht="15" customHeight="1" x14ac:dyDescent="0.3">
      <c r="C143" s="10"/>
      <c r="J143" s="24"/>
      <c r="K143" s="24"/>
    </row>
    <row r="144" spans="3:11" ht="15" customHeight="1" x14ac:dyDescent="0.3">
      <c r="C144" s="10"/>
      <c r="J144" s="24"/>
      <c r="K144" s="24"/>
    </row>
    <row r="145" spans="3:11" ht="15" customHeight="1" x14ac:dyDescent="0.3">
      <c r="C145" s="10"/>
      <c r="J145" s="24"/>
      <c r="K145" s="24"/>
    </row>
    <row r="146" spans="3:11" ht="15" customHeight="1" x14ac:dyDescent="0.3">
      <c r="C146" s="10"/>
      <c r="J146" s="24"/>
      <c r="K146" s="24"/>
    </row>
    <row r="147" spans="3:11" ht="15" customHeight="1" x14ac:dyDescent="0.3">
      <c r="C147" s="10"/>
      <c r="J147" s="24"/>
      <c r="K147" s="24"/>
    </row>
    <row r="148" spans="3:11" ht="15" customHeight="1" x14ac:dyDescent="0.3">
      <c r="C148" s="10"/>
      <c r="J148" s="24"/>
      <c r="K148" s="24"/>
    </row>
    <row r="149" spans="3:11" ht="15" customHeight="1" x14ac:dyDescent="0.3">
      <c r="C149" s="10"/>
      <c r="J149" s="24"/>
      <c r="K149" s="24"/>
    </row>
    <row r="150" spans="3:11" ht="15" customHeight="1" x14ac:dyDescent="0.3">
      <c r="C150" s="10"/>
      <c r="J150" s="24"/>
      <c r="K150" s="24"/>
    </row>
    <row r="151" spans="3:11" ht="15" customHeight="1" x14ac:dyDescent="0.3">
      <c r="C151" s="10"/>
      <c r="J151" s="24"/>
      <c r="K151" s="24"/>
    </row>
    <row r="152" spans="3:11" ht="15" customHeight="1" x14ac:dyDescent="0.3">
      <c r="C152" s="10"/>
      <c r="J152" s="24"/>
      <c r="K152" s="24"/>
    </row>
    <row r="153" spans="3:11" ht="15" customHeight="1" x14ac:dyDescent="0.3">
      <c r="C153" s="10"/>
      <c r="J153" s="24"/>
      <c r="K153" s="24"/>
    </row>
    <row r="154" spans="3:11" ht="15" customHeight="1" x14ac:dyDescent="0.3">
      <c r="C154" s="10"/>
      <c r="J154" s="24"/>
      <c r="K154" s="24"/>
    </row>
    <row r="155" spans="3:11" ht="15" customHeight="1" x14ac:dyDescent="0.3">
      <c r="C155" s="10"/>
      <c r="J155" s="24"/>
      <c r="K155" s="24"/>
    </row>
    <row r="156" spans="3:11" ht="15" customHeight="1" x14ac:dyDescent="0.3">
      <c r="C156" s="10"/>
      <c r="J156" s="24"/>
      <c r="K156" s="24"/>
    </row>
    <row r="157" spans="3:11" ht="15" customHeight="1" x14ac:dyDescent="0.3">
      <c r="C157" s="10"/>
      <c r="J157" s="24"/>
      <c r="K157" s="24"/>
    </row>
    <row r="158" spans="3:11" ht="15" customHeight="1" x14ac:dyDescent="0.3">
      <c r="C158" s="10"/>
      <c r="J158" s="24"/>
      <c r="K158" s="24"/>
    </row>
    <row r="159" spans="3:11" ht="15" customHeight="1" x14ac:dyDescent="0.3">
      <c r="C159" s="10"/>
      <c r="J159" s="24"/>
      <c r="K159" s="24"/>
    </row>
    <row r="160" spans="3:11" ht="15" customHeight="1" x14ac:dyDescent="0.3">
      <c r="C160" s="10"/>
      <c r="J160" s="24"/>
      <c r="K160" s="24"/>
    </row>
    <row r="161" spans="3:11" ht="15" customHeight="1" x14ac:dyDescent="0.3">
      <c r="C161" s="10"/>
      <c r="J161" s="24"/>
      <c r="K161" s="24"/>
    </row>
    <row r="162" spans="3:11" ht="15" customHeight="1" x14ac:dyDescent="0.3">
      <c r="C162" s="10"/>
      <c r="J162" s="24"/>
      <c r="K162" s="24"/>
    </row>
    <row r="163" spans="3:11" ht="15" customHeight="1" x14ac:dyDescent="0.3">
      <c r="C163" s="10"/>
      <c r="J163" s="24"/>
      <c r="K163" s="24"/>
    </row>
    <row r="164" spans="3:11" ht="15" customHeight="1" x14ac:dyDescent="0.3">
      <c r="C164" s="10"/>
      <c r="J164" s="24"/>
      <c r="K164" s="24"/>
    </row>
    <row r="165" spans="3:11" ht="15" customHeight="1" x14ac:dyDescent="0.3">
      <c r="C165" s="10"/>
      <c r="J165" s="24"/>
      <c r="K165" s="24"/>
    </row>
    <row r="166" spans="3:11" ht="15" customHeight="1" x14ac:dyDescent="0.3">
      <c r="C166" s="10"/>
      <c r="J166" s="24"/>
      <c r="K166" s="24"/>
    </row>
    <row r="167" spans="3:11" ht="15" customHeight="1" x14ac:dyDescent="0.3">
      <c r="C167" s="10"/>
      <c r="J167" s="24"/>
      <c r="K167" s="24"/>
    </row>
    <row r="168" spans="3:11" ht="15" customHeight="1" x14ac:dyDescent="0.3">
      <c r="C168" s="10"/>
      <c r="J168" s="24"/>
      <c r="K168" s="24"/>
    </row>
    <row r="169" spans="3:11" ht="15" customHeight="1" x14ac:dyDescent="0.3">
      <c r="C169" s="10"/>
      <c r="J169" s="24"/>
      <c r="K169" s="24"/>
    </row>
    <row r="170" spans="3:11" ht="15" customHeight="1" x14ac:dyDescent="0.3">
      <c r="C170" s="10"/>
      <c r="J170" s="24"/>
      <c r="K170" s="24"/>
    </row>
    <row r="171" spans="3:11" ht="15" customHeight="1" x14ac:dyDescent="0.3">
      <c r="C171" s="10"/>
      <c r="J171" s="24"/>
      <c r="K171" s="24"/>
    </row>
    <row r="172" spans="3:11" ht="15" customHeight="1" x14ac:dyDescent="0.3">
      <c r="C172" s="10"/>
      <c r="J172" s="24"/>
      <c r="K172" s="24"/>
    </row>
    <row r="173" spans="3:11" ht="15" customHeight="1" x14ac:dyDescent="0.3">
      <c r="C173" s="10"/>
      <c r="J173" s="24"/>
      <c r="K173" s="24"/>
    </row>
    <row r="174" spans="3:11" ht="15" customHeight="1" x14ac:dyDescent="0.3">
      <c r="C174" s="10"/>
      <c r="J174" s="24"/>
      <c r="K174" s="24"/>
    </row>
    <row r="175" spans="3:11" ht="15" customHeight="1" x14ac:dyDescent="0.3">
      <c r="C175" s="10"/>
      <c r="J175" s="24"/>
      <c r="K175" s="24"/>
    </row>
    <row r="176" spans="3:11" ht="15" customHeight="1" x14ac:dyDescent="0.3">
      <c r="C176" s="10"/>
      <c r="J176" s="24"/>
      <c r="K176" s="24"/>
    </row>
    <row r="177" spans="3:11" ht="15" customHeight="1" x14ac:dyDescent="0.3">
      <c r="C177" s="10"/>
      <c r="J177" s="24"/>
      <c r="K177" s="24"/>
    </row>
    <row r="178" spans="3:11" ht="15" customHeight="1" x14ac:dyDescent="0.3">
      <c r="C178" s="10"/>
      <c r="J178" s="24"/>
      <c r="K178" s="24"/>
    </row>
    <row r="179" spans="3:11" ht="15" customHeight="1" x14ac:dyDescent="0.3">
      <c r="C179" s="10"/>
      <c r="J179" s="24"/>
      <c r="K179" s="24"/>
    </row>
    <row r="180" spans="3:11" ht="15" customHeight="1" x14ac:dyDescent="0.3">
      <c r="C180" s="10"/>
      <c r="J180" s="24"/>
      <c r="K180" s="24"/>
    </row>
    <row r="181" spans="3:11" ht="15" customHeight="1" x14ac:dyDescent="0.3">
      <c r="C181" s="10"/>
      <c r="J181" s="24"/>
      <c r="K181" s="24"/>
    </row>
    <row r="182" spans="3:11" ht="15" customHeight="1" x14ac:dyDescent="0.3">
      <c r="C182" s="10"/>
      <c r="J182" s="24"/>
      <c r="K182" s="24"/>
    </row>
    <row r="183" spans="3:11" ht="15" customHeight="1" x14ac:dyDescent="0.3">
      <c r="C183" s="10"/>
      <c r="J183" s="24"/>
      <c r="K183" s="24"/>
    </row>
    <row r="184" spans="3:11" ht="15" customHeight="1" x14ac:dyDescent="0.3">
      <c r="C184" s="10"/>
      <c r="J184" s="24"/>
      <c r="K184" s="24"/>
    </row>
    <row r="185" spans="3:11" ht="15" customHeight="1" x14ac:dyDescent="0.3">
      <c r="C185" s="10"/>
      <c r="J185" s="24"/>
      <c r="K185" s="24"/>
    </row>
    <row r="186" spans="3:11" ht="15" customHeight="1" x14ac:dyDescent="0.3">
      <c r="C186" s="10"/>
      <c r="J186" s="24"/>
      <c r="K186" s="24"/>
    </row>
    <row r="187" spans="3:11" ht="15" customHeight="1" x14ac:dyDescent="0.3">
      <c r="C187" s="10"/>
      <c r="J187" s="24"/>
      <c r="K187" s="24"/>
    </row>
    <row r="188" spans="3:11" ht="15" customHeight="1" x14ac:dyDescent="0.3">
      <c r="C188" s="10"/>
      <c r="J188" s="24"/>
      <c r="K188" s="24"/>
    </row>
    <row r="189" spans="3:11" ht="15" customHeight="1" x14ac:dyDescent="0.3">
      <c r="C189" s="10"/>
      <c r="J189" s="24"/>
      <c r="K189" s="24"/>
    </row>
    <row r="190" spans="3:11" ht="15" customHeight="1" x14ac:dyDescent="0.3">
      <c r="C190" s="10"/>
      <c r="J190" s="24"/>
      <c r="K190" s="24"/>
    </row>
    <row r="191" spans="3:11" ht="15" customHeight="1" x14ac:dyDescent="0.3">
      <c r="C191" s="10"/>
      <c r="J191" s="24"/>
      <c r="K191" s="24"/>
    </row>
    <row r="192" spans="3:11" ht="15" customHeight="1" x14ac:dyDescent="0.3">
      <c r="C192" s="10"/>
      <c r="J192" s="24"/>
      <c r="K192" s="24"/>
    </row>
    <row r="193" spans="3:11" ht="15" customHeight="1" x14ac:dyDescent="0.3">
      <c r="C193" s="10"/>
      <c r="J193" s="24"/>
      <c r="K193" s="24"/>
    </row>
    <row r="194" spans="3:11" ht="15" customHeight="1" x14ac:dyDescent="0.3">
      <c r="C194" s="10"/>
      <c r="J194" s="24"/>
      <c r="K194" s="24"/>
    </row>
    <row r="195" spans="3:11" ht="15" customHeight="1" x14ac:dyDescent="0.3">
      <c r="C195" s="10"/>
      <c r="J195" s="24"/>
      <c r="K195" s="24"/>
    </row>
    <row r="196" spans="3:11" ht="15" customHeight="1" x14ac:dyDescent="0.3">
      <c r="C196" s="10"/>
      <c r="J196" s="24"/>
      <c r="K196" s="24"/>
    </row>
    <row r="197" spans="3:11" ht="15" customHeight="1" x14ac:dyDescent="0.3">
      <c r="C197" s="10"/>
      <c r="J197" s="24"/>
      <c r="K197" s="24"/>
    </row>
    <row r="198" spans="3:11" ht="15" customHeight="1" x14ac:dyDescent="0.3">
      <c r="C198" s="10"/>
      <c r="J198" s="24"/>
      <c r="K198" s="24"/>
    </row>
    <row r="199" spans="3:11" ht="15" customHeight="1" x14ac:dyDescent="0.3">
      <c r="C199" s="10"/>
      <c r="J199" s="24"/>
      <c r="K199" s="24"/>
    </row>
    <row r="200" spans="3:11" ht="15" customHeight="1" x14ac:dyDescent="0.3">
      <c r="C200" s="10"/>
      <c r="J200" s="24"/>
      <c r="K200" s="24"/>
    </row>
    <row r="201" spans="3:11" ht="15" customHeight="1" x14ac:dyDescent="0.3">
      <c r="C201" s="10"/>
      <c r="J201" s="24"/>
      <c r="K201" s="24"/>
    </row>
    <row r="202" spans="3:11" ht="15" customHeight="1" x14ac:dyDescent="0.3">
      <c r="C202" s="10"/>
      <c r="J202" s="24"/>
      <c r="K202" s="24"/>
    </row>
    <row r="203" spans="3:11" ht="15" customHeight="1" x14ac:dyDescent="0.3">
      <c r="C203" s="10"/>
      <c r="J203" s="24"/>
      <c r="K203" s="24"/>
    </row>
    <row r="204" spans="3:11" ht="15" customHeight="1" x14ac:dyDescent="0.3">
      <c r="C204" s="10"/>
      <c r="J204" s="24"/>
      <c r="K204" s="24"/>
    </row>
    <row r="205" spans="3:11" ht="15" customHeight="1" x14ac:dyDescent="0.3">
      <c r="C205" s="10"/>
      <c r="J205" s="24"/>
      <c r="K205" s="24"/>
    </row>
    <row r="206" spans="3:11" ht="15" customHeight="1" x14ac:dyDescent="0.3">
      <c r="C206" s="10"/>
      <c r="J206" s="24"/>
      <c r="K206" s="24"/>
    </row>
    <row r="207" spans="3:11" ht="15" customHeight="1" x14ac:dyDescent="0.3">
      <c r="C207" s="10"/>
      <c r="J207" s="24"/>
      <c r="K207" s="24"/>
    </row>
    <row r="208" spans="3:11" ht="15" customHeight="1" x14ac:dyDescent="0.3">
      <c r="C208" s="10"/>
      <c r="J208" s="24"/>
      <c r="K208" s="24"/>
    </row>
    <row r="209" spans="3:11" ht="15" customHeight="1" x14ac:dyDescent="0.3">
      <c r="C209" s="10"/>
      <c r="J209" s="24"/>
      <c r="K209" s="24"/>
    </row>
    <row r="210" spans="3:11" ht="15" customHeight="1" x14ac:dyDescent="0.3">
      <c r="C210" s="10"/>
      <c r="J210" s="24"/>
      <c r="K210" s="24"/>
    </row>
    <row r="211" spans="3:11" ht="15" customHeight="1" x14ac:dyDescent="0.3">
      <c r="C211" s="10"/>
      <c r="J211" s="24"/>
      <c r="K211" s="24"/>
    </row>
    <row r="212" spans="3:11" ht="15" customHeight="1" x14ac:dyDescent="0.3">
      <c r="C212" s="10"/>
      <c r="J212" s="24"/>
      <c r="K212" s="24"/>
    </row>
    <row r="213" spans="3:11" ht="15" customHeight="1" x14ac:dyDescent="0.3">
      <c r="C213" s="10"/>
      <c r="J213" s="24"/>
      <c r="K213" s="24"/>
    </row>
    <row r="214" spans="3:11" ht="15" customHeight="1" x14ac:dyDescent="0.3">
      <c r="C214" s="10"/>
      <c r="J214" s="24"/>
      <c r="K214" s="24"/>
    </row>
    <row r="215" spans="3:11" ht="15" customHeight="1" x14ac:dyDescent="0.3">
      <c r="C215" s="10"/>
      <c r="J215" s="24"/>
      <c r="K215" s="24"/>
    </row>
    <row r="216" spans="3:11" ht="15" customHeight="1" x14ac:dyDescent="0.3">
      <c r="C216" s="10"/>
      <c r="J216" s="24"/>
      <c r="K216" s="24"/>
    </row>
    <row r="217" spans="3:11" ht="15" customHeight="1" x14ac:dyDescent="0.3">
      <c r="C217" s="10"/>
      <c r="J217" s="24"/>
      <c r="K217" s="24"/>
    </row>
    <row r="218" spans="3:11" ht="15" customHeight="1" x14ac:dyDescent="0.3">
      <c r="C218" s="10"/>
      <c r="J218" s="24"/>
      <c r="K218" s="24"/>
    </row>
    <row r="219" spans="3:11" ht="15" customHeight="1" x14ac:dyDescent="0.3">
      <c r="C219" s="10"/>
      <c r="J219" s="24"/>
      <c r="K219" s="24"/>
    </row>
    <row r="220" spans="3:11" ht="15" customHeight="1" x14ac:dyDescent="0.3">
      <c r="C220" s="10"/>
      <c r="J220" s="24"/>
      <c r="K220" s="24"/>
    </row>
    <row r="221" spans="3:11" ht="15" customHeight="1" x14ac:dyDescent="0.3">
      <c r="C221" s="10"/>
      <c r="J221" s="24"/>
      <c r="K221" s="24"/>
    </row>
    <row r="222" spans="3:11" ht="15" customHeight="1" x14ac:dyDescent="0.3">
      <c r="C222" s="10"/>
      <c r="J222" s="24"/>
      <c r="K222" s="24"/>
    </row>
    <row r="223" spans="3:11" ht="15" customHeight="1" x14ac:dyDescent="0.3">
      <c r="C223" s="10"/>
      <c r="J223" s="24"/>
      <c r="K223" s="24"/>
    </row>
    <row r="224" spans="3:11" ht="15" customHeight="1" x14ac:dyDescent="0.3">
      <c r="C224" s="10"/>
      <c r="J224" s="24"/>
      <c r="K224" s="24"/>
    </row>
    <row r="225" spans="3:11" ht="15" customHeight="1" x14ac:dyDescent="0.3">
      <c r="C225" s="10"/>
      <c r="J225" s="24"/>
      <c r="K225" s="24"/>
    </row>
    <row r="226" spans="3:11" ht="15" customHeight="1" x14ac:dyDescent="0.3">
      <c r="C226" s="10"/>
      <c r="J226" s="24"/>
      <c r="K226" s="24"/>
    </row>
    <row r="227" spans="3:11" ht="15" customHeight="1" x14ac:dyDescent="0.3">
      <c r="C227" s="10"/>
      <c r="J227" s="24"/>
      <c r="K227" s="24"/>
    </row>
    <row r="228" spans="3:11" ht="15" customHeight="1" x14ac:dyDescent="0.3">
      <c r="C228" s="10"/>
      <c r="J228" s="24"/>
      <c r="K228" s="24"/>
    </row>
    <row r="229" spans="3:11" ht="15" customHeight="1" x14ac:dyDescent="0.3">
      <c r="C229" s="10"/>
      <c r="J229" s="24"/>
      <c r="K229" s="24"/>
    </row>
    <row r="230" spans="3:11" ht="15" customHeight="1" x14ac:dyDescent="0.3">
      <c r="C230" s="10"/>
      <c r="J230" s="24"/>
      <c r="K230" s="24"/>
    </row>
    <row r="231" spans="3:11" ht="15" customHeight="1" x14ac:dyDescent="0.3">
      <c r="C231" s="10"/>
      <c r="J231" s="24"/>
      <c r="K231" s="24"/>
    </row>
    <row r="232" spans="3:11" ht="15" customHeight="1" x14ac:dyDescent="0.3">
      <c r="C232" s="10"/>
      <c r="J232" s="24"/>
      <c r="K232" s="24"/>
    </row>
    <row r="233" spans="3:11" ht="15" customHeight="1" x14ac:dyDescent="0.3">
      <c r="C233" s="10"/>
      <c r="J233" s="24"/>
      <c r="K233" s="24"/>
    </row>
    <row r="234" spans="3:11" ht="15" customHeight="1" x14ac:dyDescent="0.3">
      <c r="C234" s="10"/>
      <c r="J234" s="24"/>
      <c r="K234" s="24"/>
    </row>
    <row r="235" spans="3:11" ht="15" customHeight="1" x14ac:dyDescent="0.3">
      <c r="C235" s="10"/>
      <c r="J235" s="24"/>
      <c r="K235" s="24"/>
    </row>
    <row r="236" spans="3:11" ht="15" customHeight="1" x14ac:dyDescent="0.3">
      <c r="C236" s="10"/>
      <c r="J236" s="24"/>
      <c r="K236" s="24"/>
    </row>
    <row r="237" spans="3:11" ht="15" customHeight="1" x14ac:dyDescent="0.3">
      <c r="C237" s="10"/>
      <c r="J237" s="24"/>
      <c r="K237" s="24"/>
    </row>
    <row r="238" spans="3:11" ht="15" customHeight="1" x14ac:dyDescent="0.3">
      <c r="C238" s="10"/>
      <c r="J238" s="24"/>
      <c r="K238" s="24"/>
    </row>
    <row r="239" spans="3:11" ht="15" customHeight="1" x14ac:dyDescent="0.3">
      <c r="C239" s="10"/>
      <c r="J239" s="24"/>
      <c r="K239" s="24"/>
    </row>
    <row r="240" spans="3:11" ht="15" customHeight="1" x14ac:dyDescent="0.3">
      <c r="C240" s="10"/>
      <c r="J240" s="24"/>
      <c r="K240" s="24"/>
    </row>
    <row r="241" spans="3:11" ht="15" customHeight="1" x14ac:dyDescent="0.3">
      <c r="C241" s="10"/>
      <c r="J241" s="24"/>
      <c r="K241" s="24"/>
    </row>
    <row r="242" spans="3:11" ht="15" customHeight="1" x14ac:dyDescent="0.3">
      <c r="C242" s="10"/>
      <c r="J242" s="24"/>
      <c r="K242" s="24"/>
    </row>
    <row r="243" spans="3:11" ht="15" customHeight="1" x14ac:dyDescent="0.3">
      <c r="C243" s="10"/>
      <c r="J243" s="24"/>
      <c r="K243" s="24"/>
    </row>
    <row r="244" spans="3:11" ht="15" customHeight="1" x14ac:dyDescent="0.3">
      <c r="C244" s="10"/>
      <c r="J244" s="24"/>
      <c r="K244" s="24"/>
    </row>
    <row r="245" spans="3:11" ht="15" customHeight="1" x14ac:dyDescent="0.3">
      <c r="C245" s="10"/>
      <c r="J245" s="24"/>
      <c r="K245" s="24"/>
    </row>
    <row r="246" spans="3:11" ht="15" customHeight="1" x14ac:dyDescent="0.3">
      <c r="C246" s="10"/>
      <c r="J246" s="24"/>
      <c r="K246" s="24"/>
    </row>
    <row r="247" spans="3:11" ht="15" customHeight="1" x14ac:dyDescent="0.3">
      <c r="C247" s="10"/>
      <c r="J247" s="24"/>
      <c r="K247" s="24"/>
    </row>
    <row r="248" spans="3:11" ht="15" customHeight="1" x14ac:dyDescent="0.3">
      <c r="C248" s="10"/>
      <c r="J248" s="24"/>
      <c r="K248" s="24"/>
    </row>
    <row r="249" spans="3:11" ht="15" customHeight="1" x14ac:dyDescent="0.3">
      <c r="C249" s="10"/>
      <c r="J249" s="24"/>
      <c r="K249" s="24"/>
    </row>
    <row r="250" spans="3:11" ht="15" customHeight="1" x14ac:dyDescent="0.3">
      <c r="C250" s="10"/>
      <c r="J250" s="24"/>
      <c r="K250" s="24"/>
    </row>
    <row r="251" spans="3:11" ht="15" customHeight="1" x14ac:dyDescent="0.3">
      <c r="C251" s="10"/>
      <c r="J251" s="24"/>
      <c r="K251" s="24"/>
    </row>
    <row r="252" spans="3:11" ht="15" customHeight="1" x14ac:dyDescent="0.3">
      <c r="C252" s="10"/>
      <c r="J252" s="24"/>
      <c r="K252" s="24"/>
    </row>
    <row r="253" spans="3:11" ht="15" customHeight="1" x14ac:dyDescent="0.3">
      <c r="C253" s="10"/>
      <c r="J253" s="24"/>
      <c r="K253" s="24"/>
    </row>
    <row r="254" spans="3:11" ht="15" customHeight="1" x14ac:dyDescent="0.3">
      <c r="C254" s="10"/>
      <c r="J254" s="24"/>
      <c r="K254" s="24"/>
    </row>
    <row r="255" spans="3:11" ht="15" customHeight="1" x14ac:dyDescent="0.3">
      <c r="C255" s="10"/>
      <c r="J255" s="24"/>
      <c r="K255" s="24"/>
    </row>
    <row r="256" spans="3:11" ht="15" customHeight="1" x14ac:dyDescent="0.3">
      <c r="C256" s="10"/>
      <c r="J256" s="24"/>
      <c r="K256" s="24"/>
    </row>
    <row r="257" spans="3:11" ht="15" customHeight="1" x14ac:dyDescent="0.3">
      <c r="C257" s="10"/>
      <c r="J257" s="24"/>
      <c r="K257" s="24"/>
    </row>
    <row r="258" spans="3:11" ht="15" customHeight="1" x14ac:dyDescent="0.3">
      <c r="C258" s="10"/>
      <c r="J258" s="24"/>
      <c r="K258" s="24"/>
    </row>
    <row r="259" spans="3:11" ht="15" customHeight="1" x14ac:dyDescent="0.3">
      <c r="C259" s="10"/>
      <c r="J259" s="24"/>
      <c r="K259" s="24"/>
    </row>
    <row r="260" spans="3:11" ht="15" customHeight="1" x14ac:dyDescent="0.3">
      <c r="C260" s="10"/>
      <c r="J260" s="24"/>
      <c r="K260" s="24"/>
    </row>
    <row r="261" spans="3:11" ht="15" customHeight="1" x14ac:dyDescent="0.3">
      <c r="C261" s="10"/>
      <c r="J261" s="24"/>
      <c r="K261" s="24"/>
    </row>
    <row r="262" spans="3:11" ht="15" customHeight="1" x14ac:dyDescent="0.3">
      <c r="C262" s="10"/>
      <c r="J262" s="24"/>
      <c r="K262" s="24"/>
    </row>
    <row r="263" spans="3:11" ht="15" customHeight="1" x14ac:dyDescent="0.3">
      <c r="C263" s="10"/>
      <c r="J263" s="24"/>
      <c r="K263" s="24"/>
    </row>
    <row r="264" spans="3:11" ht="15" customHeight="1" x14ac:dyDescent="0.3">
      <c r="C264" s="10"/>
      <c r="J264" s="24"/>
      <c r="K264" s="24"/>
    </row>
    <row r="265" spans="3:11" ht="15" customHeight="1" x14ac:dyDescent="0.3">
      <c r="C265" s="10"/>
      <c r="J265" s="24"/>
      <c r="K265" s="24"/>
    </row>
    <row r="266" spans="3:11" ht="15" customHeight="1" x14ac:dyDescent="0.3">
      <c r="C266" s="10"/>
      <c r="J266" s="24"/>
      <c r="K266" s="24"/>
    </row>
    <row r="267" spans="3:11" ht="15" customHeight="1" x14ac:dyDescent="0.3">
      <c r="C267" s="10"/>
      <c r="J267" s="24"/>
      <c r="K267" s="24"/>
    </row>
    <row r="268" spans="3:11" ht="15" customHeight="1" x14ac:dyDescent="0.3">
      <c r="C268" s="10"/>
      <c r="J268" s="24"/>
      <c r="K268" s="24"/>
    </row>
    <row r="269" spans="3:11" ht="15" customHeight="1" x14ac:dyDescent="0.3">
      <c r="C269" s="10"/>
      <c r="J269" s="24"/>
      <c r="K269" s="24"/>
    </row>
    <row r="270" spans="3:11" ht="15" customHeight="1" x14ac:dyDescent="0.3">
      <c r="C270" s="10"/>
      <c r="J270" s="24"/>
      <c r="K270" s="24"/>
    </row>
    <row r="271" spans="3:11" ht="15" customHeight="1" x14ac:dyDescent="0.3">
      <c r="C271" s="10"/>
      <c r="J271" s="24"/>
      <c r="K271" s="24"/>
    </row>
    <row r="272" spans="3:11" ht="15" customHeight="1" x14ac:dyDescent="0.3">
      <c r="C272" s="10"/>
      <c r="J272" s="24"/>
      <c r="K272" s="24"/>
    </row>
    <row r="273" spans="3:11" ht="15" customHeight="1" x14ac:dyDescent="0.3">
      <c r="C273" s="10"/>
      <c r="J273" s="24"/>
      <c r="K273" s="24"/>
    </row>
    <row r="274" spans="3:11" ht="15" customHeight="1" x14ac:dyDescent="0.3">
      <c r="C274" s="10"/>
      <c r="J274" s="24"/>
      <c r="K274" s="24"/>
    </row>
    <row r="275" spans="3:11" ht="15" customHeight="1" x14ac:dyDescent="0.3">
      <c r="C275" s="10"/>
      <c r="J275" s="24"/>
      <c r="K275" s="24"/>
    </row>
    <row r="276" spans="3:11" ht="15" customHeight="1" x14ac:dyDescent="0.3">
      <c r="C276" s="10"/>
      <c r="J276" s="24"/>
      <c r="K276" s="24"/>
    </row>
    <row r="277" spans="3:11" ht="15" customHeight="1" x14ac:dyDescent="0.3">
      <c r="C277" s="10"/>
      <c r="J277" s="24"/>
      <c r="K277" s="24"/>
    </row>
    <row r="278" spans="3:11" ht="15" customHeight="1" x14ac:dyDescent="0.3">
      <c r="C278" s="10"/>
      <c r="J278" s="24"/>
      <c r="K278" s="24"/>
    </row>
    <row r="279" spans="3:11" ht="15" customHeight="1" x14ac:dyDescent="0.3">
      <c r="C279" s="10"/>
      <c r="J279" s="24"/>
      <c r="K279" s="24"/>
    </row>
    <row r="280" spans="3:11" ht="15" customHeight="1" x14ac:dyDescent="0.3">
      <c r="C280" s="10"/>
      <c r="J280" s="24"/>
      <c r="K280" s="24"/>
    </row>
    <row r="281" spans="3:11" ht="15" customHeight="1" x14ac:dyDescent="0.3">
      <c r="C281" s="10"/>
      <c r="J281" s="24"/>
      <c r="K281" s="24"/>
    </row>
    <row r="282" spans="3:11" ht="15" customHeight="1" x14ac:dyDescent="0.3">
      <c r="C282" s="10"/>
      <c r="J282" s="24"/>
      <c r="K282" s="24"/>
    </row>
    <row r="283" spans="3:11" ht="15" customHeight="1" x14ac:dyDescent="0.3">
      <c r="C283" s="10"/>
      <c r="J283" s="24"/>
      <c r="K283" s="24"/>
    </row>
    <row r="284" spans="3:11" ht="15" customHeight="1" x14ac:dyDescent="0.3">
      <c r="C284" s="10"/>
      <c r="J284" s="24"/>
      <c r="K284" s="24"/>
    </row>
    <row r="285" spans="3:11" ht="15" customHeight="1" x14ac:dyDescent="0.3">
      <c r="C285" s="10"/>
      <c r="J285" s="24"/>
      <c r="K285" s="24"/>
    </row>
    <row r="286" spans="3:11" ht="15" customHeight="1" x14ac:dyDescent="0.3">
      <c r="C286" s="10"/>
      <c r="J286" s="24"/>
      <c r="K286" s="24"/>
    </row>
    <row r="287" spans="3:11" ht="15" customHeight="1" x14ac:dyDescent="0.3">
      <c r="C287" s="10"/>
      <c r="J287" s="24"/>
      <c r="K287" s="24"/>
    </row>
    <row r="288" spans="3:11" ht="15" customHeight="1" x14ac:dyDescent="0.3">
      <c r="C288" s="10"/>
      <c r="J288" s="24"/>
      <c r="K288" s="24"/>
    </row>
    <row r="289" spans="3:11" ht="15" customHeight="1" x14ac:dyDescent="0.3">
      <c r="C289" s="10"/>
      <c r="J289" s="24"/>
      <c r="K289" s="24"/>
    </row>
    <row r="290" spans="3:11" ht="15" customHeight="1" x14ac:dyDescent="0.3">
      <c r="C290" s="10"/>
      <c r="J290" s="24"/>
      <c r="K290" s="24"/>
    </row>
    <row r="291" spans="3:11" ht="15" customHeight="1" x14ac:dyDescent="0.3">
      <c r="C291" s="10"/>
      <c r="J291" s="24"/>
      <c r="K291" s="24"/>
    </row>
    <row r="292" spans="3:11" ht="15" customHeight="1" x14ac:dyDescent="0.3">
      <c r="C292" s="10"/>
      <c r="J292" s="24"/>
      <c r="K292" s="24"/>
    </row>
    <row r="293" spans="3:11" ht="15" customHeight="1" x14ac:dyDescent="0.3">
      <c r="C293" s="10"/>
      <c r="J293" s="24"/>
      <c r="K293" s="24"/>
    </row>
    <row r="294" spans="3:11" ht="15" customHeight="1" x14ac:dyDescent="0.3">
      <c r="C294" s="10"/>
      <c r="J294" s="24"/>
      <c r="K294" s="24"/>
    </row>
    <row r="295" spans="3:11" ht="15" customHeight="1" x14ac:dyDescent="0.3">
      <c r="C295" s="10"/>
    </row>
    <row r="296" spans="3:11" ht="15" customHeight="1" x14ac:dyDescent="0.3">
      <c r="C296" s="10"/>
    </row>
    <row r="297" spans="3:11" ht="15" customHeight="1" x14ac:dyDescent="0.3">
      <c r="C297" s="10"/>
    </row>
    <row r="298" spans="3:11" ht="15" customHeight="1" x14ac:dyDescent="0.3">
      <c r="C298" s="10"/>
    </row>
    <row r="299" spans="3:11" ht="15" customHeight="1" x14ac:dyDescent="0.3">
      <c r="C299" s="10"/>
    </row>
    <row r="300" spans="3:11" ht="15" customHeight="1" x14ac:dyDescent="0.3">
      <c r="C300" s="10"/>
    </row>
    <row r="301" spans="3:11" ht="15" customHeight="1" x14ac:dyDescent="0.3">
      <c r="C301" s="10"/>
    </row>
    <row r="302" spans="3:11" ht="15" customHeight="1" x14ac:dyDescent="0.3">
      <c r="C302" s="10"/>
    </row>
    <row r="303" spans="3:11" ht="15" customHeight="1" x14ac:dyDescent="0.3">
      <c r="C303" s="10"/>
    </row>
    <row r="304" spans="3:11" ht="15" customHeight="1" x14ac:dyDescent="0.3">
      <c r="C304" s="10"/>
    </row>
    <row r="305" spans="3:3" ht="15" customHeight="1" x14ac:dyDescent="0.3">
      <c r="C305" s="10"/>
    </row>
    <row r="306" spans="3:3" ht="15" customHeight="1" x14ac:dyDescent="0.3">
      <c r="C306" s="10"/>
    </row>
    <row r="307" spans="3:3" ht="15" customHeight="1" x14ac:dyDescent="0.3">
      <c r="C307" s="10"/>
    </row>
    <row r="308" spans="3:3" ht="15" customHeight="1" x14ac:dyDescent="0.3">
      <c r="C308" s="10"/>
    </row>
    <row r="309" spans="3:3" ht="15" customHeight="1" x14ac:dyDescent="0.3">
      <c r="C309" s="10"/>
    </row>
    <row r="310" spans="3:3" ht="15" customHeight="1" x14ac:dyDescent="0.3">
      <c r="C310" s="10"/>
    </row>
    <row r="311" spans="3:3" ht="15" customHeight="1" x14ac:dyDescent="0.3">
      <c r="C311" s="10"/>
    </row>
    <row r="312" spans="3:3" ht="15" customHeight="1" x14ac:dyDescent="0.3">
      <c r="C312" s="10"/>
    </row>
    <row r="313" spans="3:3" ht="15" customHeight="1" x14ac:dyDescent="0.3">
      <c r="C313" s="10"/>
    </row>
    <row r="314" spans="3:3" ht="15" customHeight="1" x14ac:dyDescent="0.3">
      <c r="C314" s="10"/>
    </row>
    <row r="315" spans="3:3" ht="15" customHeight="1" x14ac:dyDescent="0.3">
      <c r="C315" s="10"/>
    </row>
    <row r="316" spans="3:3" ht="15" customHeight="1" x14ac:dyDescent="0.3">
      <c r="C316" s="10"/>
    </row>
    <row r="317" spans="3:3" ht="15" customHeight="1" x14ac:dyDescent="0.3">
      <c r="C317" s="10"/>
    </row>
    <row r="318" spans="3:3" ht="15" customHeight="1" x14ac:dyDescent="0.3">
      <c r="C318" s="10"/>
    </row>
    <row r="319" spans="3:3" ht="15" customHeight="1" x14ac:dyDescent="0.3">
      <c r="C319" s="10"/>
    </row>
    <row r="320" spans="3:3" ht="15" customHeight="1" x14ac:dyDescent="0.3">
      <c r="C320" s="10"/>
    </row>
    <row r="321" spans="3:3" ht="15" customHeight="1" x14ac:dyDescent="0.3">
      <c r="C321" s="10"/>
    </row>
    <row r="322" spans="3:3" ht="15" customHeight="1" x14ac:dyDescent="0.3">
      <c r="C322" s="10"/>
    </row>
    <row r="323" spans="3:3" ht="15" customHeight="1" x14ac:dyDescent="0.3">
      <c r="C323" s="10"/>
    </row>
    <row r="324" spans="3:3" ht="15" customHeight="1" x14ac:dyDescent="0.3">
      <c r="C324" s="10"/>
    </row>
    <row r="325" spans="3:3" ht="15" customHeight="1" x14ac:dyDescent="0.3">
      <c r="C325" s="10"/>
    </row>
    <row r="326" spans="3:3" ht="15" customHeight="1" x14ac:dyDescent="0.3">
      <c r="C326" s="10"/>
    </row>
    <row r="327" spans="3:3" ht="15" customHeight="1" x14ac:dyDescent="0.3">
      <c r="C327" s="10"/>
    </row>
    <row r="328" spans="3:3" ht="15" customHeight="1" x14ac:dyDescent="0.3">
      <c r="C328" s="10"/>
    </row>
    <row r="329" spans="3:3" ht="15" customHeight="1" x14ac:dyDescent="0.3">
      <c r="C329" s="10"/>
    </row>
    <row r="330" spans="3:3" ht="15" customHeight="1" x14ac:dyDescent="0.3">
      <c r="C330" s="10"/>
    </row>
    <row r="331" spans="3:3" ht="15" customHeight="1" x14ac:dyDescent="0.3">
      <c r="C331" s="10"/>
    </row>
    <row r="332" spans="3:3" ht="15" customHeight="1" x14ac:dyDescent="0.3">
      <c r="C332" s="10"/>
    </row>
    <row r="333" spans="3:3" ht="15" customHeight="1" x14ac:dyDescent="0.3">
      <c r="C333" s="10"/>
    </row>
    <row r="334" spans="3:3" ht="15" customHeight="1" x14ac:dyDescent="0.3">
      <c r="C334" s="10"/>
    </row>
    <row r="335" spans="3:3" ht="15" customHeight="1" x14ac:dyDescent="0.3">
      <c r="C335" s="10"/>
    </row>
    <row r="336" spans="3:3" ht="15" customHeight="1" x14ac:dyDescent="0.3">
      <c r="C336" s="10"/>
    </row>
    <row r="337" spans="3:3" ht="15" customHeight="1" x14ac:dyDescent="0.3">
      <c r="C337" s="10"/>
    </row>
    <row r="338" spans="3:3" ht="15" customHeight="1" x14ac:dyDescent="0.3">
      <c r="C338" s="10"/>
    </row>
    <row r="339" spans="3:3" ht="15" customHeight="1" x14ac:dyDescent="0.3">
      <c r="C339" s="10"/>
    </row>
    <row r="340" spans="3:3" ht="15" customHeight="1" x14ac:dyDescent="0.3">
      <c r="C340" s="10"/>
    </row>
    <row r="341" spans="3:3" ht="15" customHeight="1" x14ac:dyDescent="0.3">
      <c r="C341" s="10"/>
    </row>
    <row r="342" spans="3:3" ht="15" customHeight="1" x14ac:dyDescent="0.3">
      <c r="C342" s="10"/>
    </row>
    <row r="343" spans="3:3" ht="15" customHeight="1" x14ac:dyDescent="0.3">
      <c r="C343" s="10"/>
    </row>
    <row r="344" spans="3:3" ht="15" customHeight="1" x14ac:dyDescent="0.3">
      <c r="C344" s="10"/>
    </row>
    <row r="345" spans="3:3" ht="15" customHeight="1" x14ac:dyDescent="0.3">
      <c r="C345" s="10"/>
    </row>
    <row r="346" spans="3:3" ht="15" customHeight="1" x14ac:dyDescent="0.3">
      <c r="C346" s="10"/>
    </row>
    <row r="347" spans="3:3" ht="15" customHeight="1" x14ac:dyDescent="0.3">
      <c r="C347" s="10"/>
    </row>
    <row r="348" spans="3:3" ht="15" customHeight="1" x14ac:dyDescent="0.3">
      <c r="C348" s="10"/>
    </row>
    <row r="349" spans="3:3" ht="15" customHeight="1" x14ac:dyDescent="0.3">
      <c r="C349" s="10"/>
    </row>
    <row r="350" spans="3:3" ht="15" customHeight="1" x14ac:dyDescent="0.3">
      <c r="C350" s="10"/>
    </row>
    <row r="351" spans="3:3" ht="15" customHeight="1" x14ac:dyDescent="0.3">
      <c r="C351" s="10"/>
    </row>
    <row r="352" spans="3:3" ht="15" customHeight="1" x14ac:dyDescent="0.3">
      <c r="C352" s="10"/>
    </row>
    <row r="353" spans="3:3" ht="15" customHeight="1" x14ac:dyDescent="0.3">
      <c r="C353" s="10"/>
    </row>
    <row r="354" spans="3:3" ht="15" customHeight="1" x14ac:dyDescent="0.3">
      <c r="C354" s="10"/>
    </row>
    <row r="355" spans="3:3" ht="15" customHeight="1" x14ac:dyDescent="0.3">
      <c r="C355" s="10"/>
    </row>
    <row r="356" spans="3:3" ht="15" customHeight="1" x14ac:dyDescent="0.3">
      <c r="C356" s="10"/>
    </row>
    <row r="357" spans="3:3" ht="15" customHeight="1" x14ac:dyDescent="0.3">
      <c r="C357" s="10"/>
    </row>
    <row r="358" spans="3:3" ht="15" customHeight="1" x14ac:dyDescent="0.3">
      <c r="C358" s="10"/>
    </row>
    <row r="359" spans="3:3" ht="15" customHeight="1" x14ac:dyDescent="0.3">
      <c r="C359" s="10"/>
    </row>
    <row r="360" spans="3:3" ht="15" customHeight="1" x14ac:dyDescent="0.3">
      <c r="C360" s="10"/>
    </row>
    <row r="361" spans="3:3" ht="15" customHeight="1" x14ac:dyDescent="0.3">
      <c r="C361" s="10"/>
    </row>
    <row r="362" spans="3:3" ht="15" customHeight="1" x14ac:dyDescent="0.3">
      <c r="C362" s="10"/>
    </row>
    <row r="363" spans="3:3" ht="15" customHeight="1" x14ac:dyDescent="0.3">
      <c r="C363" s="10"/>
    </row>
    <row r="364" spans="3:3" ht="15" customHeight="1" x14ac:dyDescent="0.3">
      <c r="C364" s="10"/>
    </row>
    <row r="365" spans="3:3" ht="15" customHeight="1" x14ac:dyDescent="0.3">
      <c r="C365" s="10"/>
    </row>
    <row r="366" spans="3:3" ht="15" customHeight="1" x14ac:dyDescent="0.3">
      <c r="C366" s="10"/>
    </row>
    <row r="367" spans="3:3" ht="15" customHeight="1" x14ac:dyDescent="0.3">
      <c r="C367" s="10"/>
    </row>
    <row r="368" spans="3:3" ht="15" customHeight="1" x14ac:dyDescent="0.3">
      <c r="C368" s="10"/>
    </row>
    <row r="369" spans="3:3" ht="15" customHeight="1" x14ac:dyDescent="0.3">
      <c r="C369" s="10"/>
    </row>
    <row r="370" spans="3:3" ht="15" customHeight="1" x14ac:dyDescent="0.3">
      <c r="C370" s="10"/>
    </row>
    <row r="371" spans="3:3" ht="15" customHeight="1" x14ac:dyDescent="0.3">
      <c r="C371" s="10"/>
    </row>
    <row r="372" spans="3:3" ht="15" customHeight="1" x14ac:dyDescent="0.3">
      <c r="C372" s="10"/>
    </row>
    <row r="373" spans="3:3" ht="15" customHeight="1" x14ac:dyDescent="0.3">
      <c r="C373" s="10"/>
    </row>
    <row r="374" spans="3:3" ht="15" customHeight="1" x14ac:dyDescent="0.3">
      <c r="C374" s="10"/>
    </row>
    <row r="375" spans="3:3" ht="15" customHeight="1" x14ac:dyDescent="0.3">
      <c r="C375" s="10"/>
    </row>
    <row r="376" spans="3:3" ht="15" customHeight="1" x14ac:dyDescent="0.3">
      <c r="C376" s="10"/>
    </row>
    <row r="377" spans="3:3" ht="15" customHeight="1" x14ac:dyDescent="0.3">
      <c r="C377" s="10"/>
    </row>
    <row r="378" spans="3:3" ht="15" customHeight="1" x14ac:dyDescent="0.3">
      <c r="C378" s="10"/>
    </row>
    <row r="379" spans="3:3" ht="15" customHeight="1" x14ac:dyDescent="0.3">
      <c r="C379" s="10"/>
    </row>
    <row r="380" spans="3:3" ht="15" customHeight="1" x14ac:dyDescent="0.3">
      <c r="C380" s="10"/>
    </row>
    <row r="381" spans="3:3" ht="15" customHeight="1" x14ac:dyDescent="0.3">
      <c r="C381" s="10"/>
    </row>
    <row r="382" spans="3:3" ht="15" customHeight="1" x14ac:dyDescent="0.3">
      <c r="C382" s="10"/>
    </row>
    <row r="383" spans="3:3" ht="15" customHeight="1" x14ac:dyDescent="0.3">
      <c r="C383" s="10"/>
    </row>
    <row r="384" spans="3:3" ht="15" customHeight="1" x14ac:dyDescent="0.3">
      <c r="C384" s="10"/>
    </row>
    <row r="385" spans="3:3" ht="15" customHeight="1" x14ac:dyDescent="0.3">
      <c r="C385" s="10"/>
    </row>
    <row r="386" spans="3:3" ht="15" customHeight="1" x14ac:dyDescent="0.3">
      <c r="C386" s="10"/>
    </row>
    <row r="387" spans="3:3" ht="15" customHeight="1" x14ac:dyDescent="0.3">
      <c r="C387" s="10"/>
    </row>
    <row r="388" spans="3:3" ht="15" customHeight="1" x14ac:dyDescent="0.3">
      <c r="C388" s="10"/>
    </row>
    <row r="389" spans="3:3" ht="15" customHeight="1" x14ac:dyDescent="0.3">
      <c r="C389" s="10"/>
    </row>
    <row r="390" spans="3:3" ht="15" customHeight="1" x14ac:dyDescent="0.3">
      <c r="C390" s="10"/>
    </row>
    <row r="391" spans="3:3" ht="15" customHeight="1" x14ac:dyDescent="0.3">
      <c r="C391" s="10"/>
    </row>
    <row r="392" spans="3:3" ht="15" customHeight="1" x14ac:dyDescent="0.3">
      <c r="C392" s="10"/>
    </row>
    <row r="393" spans="3:3" ht="15" customHeight="1" x14ac:dyDescent="0.3">
      <c r="C393" s="10"/>
    </row>
    <row r="394" spans="3:3" ht="15" customHeight="1" x14ac:dyDescent="0.3">
      <c r="C394" s="10"/>
    </row>
    <row r="395" spans="3:3" ht="15" customHeight="1" x14ac:dyDescent="0.3">
      <c r="C395" s="10"/>
    </row>
    <row r="396" spans="3:3" ht="15" customHeight="1" x14ac:dyDescent="0.3">
      <c r="C396" s="10"/>
    </row>
    <row r="397" spans="3:3" ht="15" customHeight="1" x14ac:dyDescent="0.3">
      <c r="C397" s="10"/>
    </row>
    <row r="398" spans="3:3" ht="15" customHeight="1" x14ac:dyDescent="0.3">
      <c r="C398" s="10"/>
    </row>
    <row r="399" spans="3:3" ht="15" customHeight="1" x14ac:dyDescent="0.3">
      <c r="C399" s="10"/>
    </row>
    <row r="400" spans="3:3" ht="15" customHeight="1" x14ac:dyDescent="0.3">
      <c r="C400" s="10"/>
    </row>
    <row r="401" spans="3:3" ht="15" customHeight="1" x14ac:dyDescent="0.3">
      <c r="C401" s="10"/>
    </row>
    <row r="402" spans="3:3" ht="15" customHeight="1" x14ac:dyDescent="0.3">
      <c r="C402" s="10"/>
    </row>
    <row r="403" spans="3:3" ht="15" customHeight="1" x14ac:dyDescent="0.3">
      <c r="C403" s="10"/>
    </row>
    <row r="404" spans="3:3" ht="15" customHeight="1" x14ac:dyDescent="0.3">
      <c r="C404" s="10"/>
    </row>
    <row r="405" spans="3:3" ht="15" customHeight="1" x14ac:dyDescent="0.3">
      <c r="C405" s="10"/>
    </row>
    <row r="406" spans="3:3" ht="15" customHeight="1" x14ac:dyDescent="0.3">
      <c r="C406" s="10"/>
    </row>
    <row r="407" spans="3:3" ht="15" customHeight="1" x14ac:dyDescent="0.3">
      <c r="C407" s="10"/>
    </row>
    <row r="408" spans="3:3" ht="15" customHeight="1" x14ac:dyDescent="0.3">
      <c r="C408" s="10"/>
    </row>
    <row r="409" spans="3:3" ht="15" customHeight="1" x14ac:dyDescent="0.3">
      <c r="C409" s="10"/>
    </row>
    <row r="410" spans="3:3" ht="15" customHeight="1" x14ac:dyDescent="0.3">
      <c r="C410" s="10"/>
    </row>
    <row r="411" spans="3:3" ht="15" customHeight="1" x14ac:dyDescent="0.3">
      <c r="C411" s="10"/>
    </row>
    <row r="412" spans="3:3" ht="15" customHeight="1" x14ac:dyDescent="0.3">
      <c r="C412" s="10"/>
    </row>
    <row r="413" spans="3:3" ht="15" customHeight="1" x14ac:dyDescent="0.3">
      <c r="C413" s="10"/>
    </row>
    <row r="414" spans="3:3" ht="15" customHeight="1" x14ac:dyDescent="0.3">
      <c r="C414" s="10"/>
    </row>
    <row r="415" spans="3:3" ht="15" customHeight="1" x14ac:dyDescent="0.3">
      <c r="C415" s="10"/>
    </row>
    <row r="416" spans="3:3" ht="15" customHeight="1" x14ac:dyDescent="0.3">
      <c r="C416" s="10"/>
    </row>
    <row r="417" spans="3:3" ht="15" customHeight="1" x14ac:dyDescent="0.3">
      <c r="C417" s="10"/>
    </row>
    <row r="418" spans="3:3" ht="15" customHeight="1" x14ac:dyDescent="0.3">
      <c r="C418" s="10"/>
    </row>
    <row r="419" spans="3:3" ht="15" customHeight="1" x14ac:dyDescent="0.3">
      <c r="C419" s="10"/>
    </row>
    <row r="420" spans="3:3" ht="15" customHeight="1" x14ac:dyDescent="0.3">
      <c r="C420" s="10"/>
    </row>
    <row r="421" spans="3:3" ht="15" customHeight="1" x14ac:dyDescent="0.3">
      <c r="C421" s="10"/>
    </row>
    <row r="422" spans="3:3" ht="15" customHeight="1" x14ac:dyDescent="0.3">
      <c r="C422" s="10"/>
    </row>
    <row r="423" spans="3:3" ht="15" customHeight="1" x14ac:dyDescent="0.3">
      <c r="C423" s="10"/>
    </row>
    <row r="424" spans="3:3" ht="15" customHeight="1" x14ac:dyDescent="0.3">
      <c r="C424" s="10"/>
    </row>
    <row r="425" spans="3:3" ht="15" customHeight="1" x14ac:dyDescent="0.3">
      <c r="C425" s="10"/>
    </row>
    <row r="426" spans="3:3" ht="15" customHeight="1" x14ac:dyDescent="0.3">
      <c r="C426" s="10"/>
    </row>
    <row r="427" spans="3:3" ht="15" customHeight="1" x14ac:dyDescent="0.3">
      <c r="C427" s="10"/>
    </row>
    <row r="428" spans="3:3" ht="15" customHeight="1" x14ac:dyDescent="0.3">
      <c r="C428" s="10"/>
    </row>
    <row r="429" spans="3:3" ht="15" customHeight="1" x14ac:dyDescent="0.3">
      <c r="C429" s="10"/>
    </row>
    <row r="430" spans="3:3" ht="15" customHeight="1" x14ac:dyDescent="0.3">
      <c r="C430" s="10"/>
    </row>
    <row r="431" spans="3:3" ht="15" customHeight="1" x14ac:dyDescent="0.3">
      <c r="C431" s="10"/>
    </row>
    <row r="432" spans="3:3" ht="15" customHeight="1" x14ac:dyDescent="0.3">
      <c r="C432" s="10"/>
    </row>
    <row r="433" spans="3:3" ht="15" customHeight="1" x14ac:dyDescent="0.3">
      <c r="C433" s="10"/>
    </row>
    <row r="434" spans="3:3" ht="15" customHeight="1" x14ac:dyDescent="0.3">
      <c r="C434" s="10"/>
    </row>
    <row r="435" spans="3:3" ht="15" customHeight="1" x14ac:dyDescent="0.3">
      <c r="C435" s="10"/>
    </row>
    <row r="436" spans="3:3" ht="15" customHeight="1" x14ac:dyDescent="0.3">
      <c r="C436" s="10"/>
    </row>
    <row r="437" spans="3:3" ht="15" customHeight="1" x14ac:dyDescent="0.3">
      <c r="C437" s="10"/>
    </row>
    <row r="438" spans="3:3" ht="15" customHeight="1" x14ac:dyDescent="0.3">
      <c r="C438" s="10"/>
    </row>
    <row r="439" spans="3:3" ht="15" customHeight="1" x14ac:dyDescent="0.3">
      <c r="C439" s="10"/>
    </row>
    <row r="440" spans="3:3" ht="15" customHeight="1" x14ac:dyDescent="0.3">
      <c r="C440" s="10"/>
    </row>
    <row r="441" spans="3:3" ht="15" customHeight="1" x14ac:dyDescent="0.3">
      <c r="C441" s="10"/>
    </row>
    <row r="442" spans="3:3" ht="15" customHeight="1" x14ac:dyDescent="0.3">
      <c r="C442" s="10"/>
    </row>
    <row r="443" spans="3:3" ht="15" customHeight="1" x14ac:dyDescent="0.3">
      <c r="C443" s="10"/>
    </row>
    <row r="444" spans="3:3" ht="15" customHeight="1" x14ac:dyDescent="0.3">
      <c r="C444" s="10"/>
    </row>
    <row r="445" spans="3:3" ht="15" customHeight="1" x14ac:dyDescent="0.3">
      <c r="C445" s="10"/>
    </row>
    <row r="446" spans="3:3" ht="15" customHeight="1" x14ac:dyDescent="0.3">
      <c r="C446" s="10"/>
    </row>
    <row r="447" spans="3:3" ht="15" customHeight="1" x14ac:dyDescent="0.3">
      <c r="C447" s="10"/>
    </row>
    <row r="448" spans="3:3" ht="15" customHeight="1" x14ac:dyDescent="0.3">
      <c r="C448" s="10"/>
    </row>
    <row r="449" spans="3:3" ht="15" customHeight="1" x14ac:dyDescent="0.3">
      <c r="C449" s="10"/>
    </row>
    <row r="450" spans="3:3" ht="15" customHeight="1" x14ac:dyDescent="0.3">
      <c r="C450" s="10"/>
    </row>
    <row r="451" spans="3:3" ht="15" customHeight="1" x14ac:dyDescent="0.3">
      <c r="C451" s="10"/>
    </row>
    <row r="452" spans="3:3" ht="15" customHeight="1" x14ac:dyDescent="0.3">
      <c r="C452" s="10"/>
    </row>
    <row r="453" spans="3:3" ht="15" customHeight="1" x14ac:dyDescent="0.3">
      <c r="C453" s="10"/>
    </row>
    <row r="454" spans="3:3" ht="15" customHeight="1" x14ac:dyDescent="0.3">
      <c r="C454" s="10"/>
    </row>
    <row r="455" spans="3:3" ht="15" customHeight="1" x14ac:dyDescent="0.3">
      <c r="C455" s="10"/>
    </row>
    <row r="456" spans="3:3" ht="15" customHeight="1" x14ac:dyDescent="0.3">
      <c r="C456" s="10"/>
    </row>
    <row r="457" spans="3:3" ht="15" customHeight="1" x14ac:dyDescent="0.3">
      <c r="C457" s="10"/>
    </row>
  </sheetData>
  <mergeCells count="6">
    <mergeCell ref="C30:C32"/>
    <mergeCell ref="C33:C35"/>
    <mergeCell ref="A1:A5"/>
    <mergeCell ref="A11:A14"/>
    <mergeCell ref="A7:A9"/>
    <mergeCell ref="A16:A18"/>
  </mergeCells>
  <hyperlinks>
    <hyperlink ref="F40" r:id="rId1"/>
  </hyperlink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D551"/>
  <sheetViews>
    <sheetView workbookViewId="0">
      <selection activeCell="E6" sqref="E6"/>
    </sheetView>
  </sheetViews>
  <sheetFormatPr defaultRowHeight="15" customHeight="1" x14ac:dyDescent="0.3"/>
  <cols>
    <col min="1" max="1" width="32.33203125" customWidth="1"/>
    <col min="3" max="3" width="30.33203125" customWidth="1"/>
    <col min="4" max="4" width="11.33203125" customWidth="1"/>
    <col min="5" max="5" width="9.109375" customWidth="1"/>
    <col min="14" max="14" width="12.109375" customWidth="1"/>
  </cols>
  <sheetData>
    <row r="1" spans="1:29" ht="15" customHeight="1" x14ac:dyDescent="0.3">
      <c r="A1" s="94" t="s">
        <v>163</v>
      </c>
      <c r="AB1" t="s">
        <v>54</v>
      </c>
      <c r="AC1" t="s">
        <v>55</v>
      </c>
    </row>
    <row r="2" spans="1:29" ht="15" customHeight="1" x14ac:dyDescent="0.3">
      <c r="A2" s="94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86</v>
      </c>
      <c r="N2" t="s">
        <v>2</v>
      </c>
      <c r="O2" t="s">
        <v>15</v>
      </c>
      <c r="AB2">
        <f>$E$17*AC2/(1+$E$18*AC2)</f>
        <v>8.4453279423370956E-2</v>
      </c>
      <c r="AC2">
        <v>0.1</v>
      </c>
    </row>
    <row r="3" spans="1:29" ht="15" customHeight="1" x14ac:dyDescent="0.3">
      <c r="A3" s="94"/>
      <c r="C3" t="s">
        <v>26</v>
      </c>
      <c r="D3" s="1" t="s">
        <v>11</v>
      </c>
      <c r="E3" s="2">
        <f>phi0!E3</f>
        <v>0.52868749999999987</v>
      </c>
      <c r="F3" s="2">
        <f>phi0!F3</f>
        <v>0.91743750000000002</v>
      </c>
      <c r="G3" s="2">
        <f>phi0!G3</f>
        <v>1.2655000000000001</v>
      </c>
      <c r="H3" s="2">
        <f>phi0!H3</f>
        <v>1.6353958333333327</v>
      </c>
      <c r="I3" s="2">
        <f>phi0!I3</f>
        <v>1.9437291666666665</v>
      </c>
      <c r="J3" s="2">
        <f>phi0!J3</f>
        <v>2.2155416666666663</v>
      </c>
      <c r="K3" s="2">
        <f>phi0!K3</f>
        <v>2.5180416666666665</v>
      </c>
      <c r="L3" s="2">
        <f>phi0!L3</f>
        <v>2.7956041666666671</v>
      </c>
      <c r="M3" s="2">
        <f>phi0!M3</f>
        <v>3.1556875000000009</v>
      </c>
      <c r="N3" s="1" t="s">
        <v>87</v>
      </c>
      <c r="O3" t="s">
        <v>37</v>
      </c>
      <c r="AB3">
        <f t="shared" ref="AB3:AB59" si="0">$E$17*AC3/(1+$E$18*AC3)</f>
        <v>0.39524377753933354</v>
      </c>
      <c r="AC3">
        <v>0.5</v>
      </c>
    </row>
    <row r="4" spans="1:29" ht="15" customHeight="1" x14ac:dyDescent="0.3">
      <c r="A4" s="94"/>
      <c r="C4" s="3" t="s">
        <v>5</v>
      </c>
      <c r="D4" s="3" t="s">
        <v>12</v>
      </c>
      <c r="E4" s="2">
        <f>phi0!E4</f>
        <v>0.18988256328527628</v>
      </c>
      <c r="F4" s="2">
        <f>phi0!F4</f>
        <v>0.51525951357153688</v>
      </c>
      <c r="G4" s="2">
        <f>phi0!G4</f>
        <v>0.83071831606934499</v>
      </c>
      <c r="H4" s="2">
        <f>phi0!H4</f>
        <v>0.94003787933985505</v>
      </c>
      <c r="I4" s="2">
        <f>phi0!I4</f>
        <v>0.97565145415800825</v>
      </c>
      <c r="J4" s="2">
        <f>phi0!J4</f>
        <v>0.9890409620488283</v>
      </c>
      <c r="K4" s="2">
        <f>phi0!K4</f>
        <v>0.99470052453844637</v>
      </c>
      <c r="L4" s="2">
        <f>phi0!L4</f>
        <v>0.99730049511242003</v>
      </c>
      <c r="M4" s="2">
        <f>phi0!M4</f>
        <v>0.99856953956468197</v>
      </c>
      <c r="N4" s="5" t="s">
        <v>4</v>
      </c>
      <c r="O4" t="s">
        <v>37</v>
      </c>
      <c r="AB4">
        <f t="shared" si="0"/>
        <v>0.73193779610648491</v>
      </c>
      <c r="AC4">
        <v>1</v>
      </c>
    </row>
    <row r="5" spans="1:29" ht="15" customHeight="1" thickBot="1" x14ac:dyDescent="0.35">
      <c r="C5" s="1" t="s">
        <v>6</v>
      </c>
      <c r="D5" s="1" t="s">
        <v>8</v>
      </c>
      <c r="E5" s="2">
        <v>0.2</v>
      </c>
      <c r="F5" s="2">
        <f>E5</f>
        <v>0.2</v>
      </c>
      <c r="G5" s="2">
        <f t="shared" ref="G5:M5" si="1">F5</f>
        <v>0.2</v>
      </c>
      <c r="H5" s="2">
        <f t="shared" si="1"/>
        <v>0.2</v>
      </c>
      <c r="I5" s="2">
        <f t="shared" si="1"/>
        <v>0.2</v>
      </c>
      <c r="J5" s="2">
        <f t="shared" si="1"/>
        <v>0.2</v>
      </c>
      <c r="K5" s="2">
        <f t="shared" si="1"/>
        <v>0.2</v>
      </c>
      <c r="L5" s="2">
        <f t="shared" si="1"/>
        <v>0.2</v>
      </c>
      <c r="M5" s="2">
        <f t="shared" si="1"/>
        <v>0.2</v>
      </c>
      <c r="N5" s="4" t="s">
        <v>4</v>
      </c>
      <c r="O5" t="s">
        <v>38</v>
      </c>
      <c r="AB5">
        <f t="shared" si="0"/>
        <v>1.2750021151947388</v>
      </c>
      <c r="AC5">
        <v>2</v>
      </c>
    </row>
    <row r="6" spans="1:29" ht="15" customHeight="1" thickBot="1" x14ac:dyDescent="0.4">
      <c r="A6" s="37" t="s">
        <v>39</v>
      </c>
      <c r="B6" s="74">
        <v>0.1</v>
      </c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2">F6*EXP(-F5)</f>
        <v>0.67032004603563922</v>
      </c>
      <c r="H6">
        <f t="shared" si="2"/>
        <v>0.54881163609402639</v>
      </c>
      <c r="I6">
        <f t="shared" si="2"/>
        <v>0.44932896411722151</v>
      </c>
      <c r="J6">
        <f t="shared" si="2"/>
        <v>0.36787944117144222</v>
      </c>
      <c r="K6">
        <f t="shared" si="2"/>
        <v>0.30119421191220203</v>
      </c>
      <c r="L6">
        <f t="shared" si="2"/>
        <v>0.24659696394160641</v>
      </c>
      <c r="M6" s="20">
        <f>L6*EXP(-L5)/(1-EXP(-M5))</f>
        <v>1.1137935497768741</v>
      </c>
      <c r="N6" s="7" t="s">
        <v>4</v>
      </c>
      <c r="O6" t="s">
        <v>16</v>
      </c>
      <c r="AB6">
        <f t="shared" si="0"/>
        <v>1.6939454190602172</v>
      </c>
      <c r="AC6">
        <v>3</v>
      </c>
    </row>
    <row r="7" spans="1:29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88</v>
      </c>
      <c r="AB7">
        <f t="shared" si="0"/>
        <v>2.0269565880963025</v>
      </c>
      <c r="AC7">
        <v>4</v>
      </c>
    </row>
    <row r="8" spans="1:29" ht="15" customHeight="1" x14ac:dyDescent="0.3">
      <c r="C8" s="3" t="s">
        <v>3</v>
      </c>
      <c r="D8" s="3" t="s">
        <v>13</v>
      </c>
      <c r="E8" s="2">
        <f>'phiF SPR YPR'!E8</f>
        <v>4.0436359999999998E-3</v>
      </c>
      <c r="F8" s="2">
        <f>'phiF SPR YPR'!F8</f>
        <v>4.8546620999999998E-2</v>
      </c>
      <c r="G8" s="2">
        <f>'phiF SPR YPR'!G8</f>
        <v>0.35489582200000003</v>
      </c>
      <c r="H8" s="2">
        <f>'phiF SPR YPR'!H8</f>
        <v>0.72466872699999996</v>
      </c>
      <c r="I8" s="2">
        <f>'phiF SPR YPR'!I8</f>
        <v>0.90894166899999995</v>
      </c>
      <c r="J8" s="2">
        <f>'phiF SPR YPR'!J8</f>
        <v>0.97144023599999996</v>
      </c>
      <c r="K8" s="2">
        <f>'phiF SPR YPR'!K8</f>
        <v>0.98972695300000002</v>
      </c>
      <c r="L8" s="2">
        <f>'phiF SPR YPR'!L8</f>
        <v>0.99659088699999998</v>
      </c>
      <c r="M8" s="2">
        <f>'phiF SPR YPR'!M8</f>
        <v>0.99806452199999995</v>
      </c>
      <c r="N8" s="4" t="s">
        <v>4</v>
      </c>
      <c r="O8" t="s">
        <v>40</v>
      </c>
      <c r="AB8">
        <f t="shared" si="0"/>
        <v>2.2980154295621702</v>
      </c>
      <c r="AC8">
        <v>5</v>
      </c>
    </row>
    <row r="9" spans="1:29" ht="15" customHeight="1" x14ac:dyDescent="0.3">
      <c r="C9" t="s">
        <v>20</v>
      </c>
      <c r="D9" t="s">
        <v>19</v>
      </c>
      <c r="E9" s="6">
        <f>B6</f>
        <v>0.1</v>
      </c>
      <c r="N9" s="4" t="s">
        <v>4</v>
      </c>
      <c r="AB9">
        <f t="shared" si="0"/>
        <v>2.5229388025018666</v>
      </c>
      <c r="AC9">
        <v>6</v>
      </c>
    </row>
    <row r="10" spans="1:29" ht="15" customHeight="1" thickBot="1" x14ac:dyDescent="0.4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L10" si="3">F10*EXP(-F5-$E$9*F8)</f>
        <v>0.66680406909640177</v>
      </c>
      <c r="H10">
        <f t="shared" si="3"/>
        <v>0.52689783648290989</v>
      </c>
      <c r="I10">
        <f t="shared" si="3"/>
        <v>0.40123199388411179</v>
      </c>
      <c r="J10">
        <f t="shared" si="3"/>
        <v>0.29995894985656085</v>
      </c>
      <c r="K10">
        <f t="shared" si="3"/>
        <v>0.22285060358771858</v>
      </c>
      <c r="L10">
        <f t="shared" si="3"/>
        <v>0.16526147434211816</v>
      </c>
      <c r="M10" s="20">
        <f>L10*EXP(-L5-$E$9*L8)/(1-EXP(-M5-$E$9*M8))</f>
        <v>0.47278883928200716</v>
      </c>
      <c r="N10" s="4" t="s">
        <v>4</v>
      </c>
      <c r="AB10">
        <f t="shared" si="0"/>
        <v>2.7125816328134724</v>
      </c>
      <c r="AC10">
        <v>7</v>
      </c>
    </row>
    <row r="11" spans="1:29" ht="15" customHeight="1" thickBot="1" x14ac:dyDescent="0.4">
      <c r="C11" s="14" t="s">
        <v>18</v>
      </c>
      <c r="D11" s="14" t="s">
        <v>22</v>
      </c>
      <c r="E11" s="73">
        <f>SUMPRODUCT(E10:M10,E3:M3,E4:M4)</f>
        <v>5.9252300739334878</v>
      </c>
      <c r="N11" s="1" t="s">
        <v>88</v>
      </c>
      <c r="AB11">
        <f t="shared" si="0"/>
        <v>2.8746411788307462</v>
      </c>
      <c r="AC11">
        <v>8</v>
      </c>
    </row>
    <row r="12" spans="1:29" ht="15" customHeight="1" thickBot="1" x14ac:dyDescent="0.35">
      <c r="C12" s="14" t="s">
        <v>46</v>
      </c>
      <c r="D12" s="14" t="s">
        <v>25</v>
      </c>
      <c r="E12" s="73">
        <f>E11/E7</f>
        <v>0.68533628984063166</v>
      </c>
      <c r="N12" s="4" t="s">
        <v>4</v>
      </c>
      <c r="AB12">
        <f t="shared" si="0"/>
        <v>3.0147273863259021</v>
      </c>
      <c r="AC12">
        <v>9</v>
      </c>
    </row>
    <row r="13" spans="1:29" ht="15" customHeight="1" thickBot="1" x14ac:dyDescent="0.35">
      <c r="C13" s="14" t="s">
        <v>49</v>
      </c>
      <c r="D13" s="14" t="s">
        <v>48</v>
      </c>
      <c r="E13">
        <f>E10*E3*$E$9*E8*(1-EXP(-$E$9*E8-E5))/($E$9*E8+E5)</f>
        <v>1.9372262843376736E-4</v>
      </c>
      <c r="F13">
        <f t="shared" ref="F13:M13" si="4">F10*F3*$E$9*F8*(1-EXP(-$E$9*F8-F5))/($E$9*F8+F5)</f>
        <v>3.2959186610397725E-3</v>
      </c>
      <c r="G13">
        <f t="shared" si="4"/>
        <v>2.6682615564540248E-2</v>
      </c>
      <c r="H13">
        <f t="shared" si="4"/>
        <v>5.4659536821670462E-2</v>
      </c>
      <c r="I13">
        <f t="shared" si="4"/>
        <v>6.1507859870212421E-2</v>
      </c>
      <c r="J13">
        <f t="shared" si="4"/>
        <v>5.5850928657019398E-2</v>
      </c>
      <c r="K13">
        <f t="shared" si="4"/>
        <v>4.8005090742236592E-2</v>
      </c>
      <c r="L13">
        <f t="shared" si="4"/>
        <v>3.9784853213727378E-2</v>
      </c>
      <c r="M13">
        <f t="shared" si="4"/>
        <v>0.12865982806513587</v>
      </c>
      <c r="N13" t="s">
        <v>87</v>
      </c>
      <c r="AB13">
        <f t="shared" si="0"/>
        <v>3.1370255037745949</v>
      </c>
      <c r="AC13">
        <v>10</v>
      </c>
    </row>
    <row r="14" spans="1:29" ht="15" customHeight="1" thickBot="1" x14ac:dyDescent="0.35">
      <c r="C14" s="14" t="s">
        <v>45</v>
      </c>
      <c r="D14" s="14" t="s">
        <v>47</v>
      </c>
      <c r="E14" s="73">
        <f>SUM(E13:M13)</f>
        <v>0.41864035422401591</v>
      </c>
      <c r="N14" t="s">
        <v>87</v>
      </c>
      <c r="AB14">
        <f t="shared" si="0"/>
        <v>3.2447213508625108</v>
      </c>
      <c r="AC14">
        <v>11</v>
      </c>
    </row>
    <row r="15" spans="1:29" ht="15" customHeight="1" x14ac:dyDescent="0.35">
      <c r="C15" s="18" t="s">
        <v>58</v>
      </c>
      <c r="D15" s="18" t="s">
        <v>159</v>
      </c>
      <c r="E15" s="17">
        <f>'SRR and Yield'!E15</f>
        <v>4.2758580000000004</v>
      </c>
      <c r="N15" t="s">
        <v>89</v>
      </c>
      <c r="O15" t="s">
        <v>40</v>
      </c>
      <c r="U15" s="24" t="s">
        <v>19</v>
      </c>
      <c r="V15" s="24" t="s">
        <v>65</v>
      </c>
      <c r="W15" s="24"/>
      <c r="X15" s="24" t="s">
        <v>93</v>
      </c>
      <c r="AB15">
        <f t="shared" si="0"/>
        <v>3.3402828388086236</v>
      </c>
      <c r="AC15">
        <v>12</v>
      </c>
    </row>
    <row r="16" spans="1:29" ht="15" customHeight="1" x14ac:dyDescent="0.3">
      <c r="C16" t="s">
        <v>27</v>
      </c>
      <c r="D16" s="1" t="s">
        <v>28</v>
      </c>
      <c r="E16" s="17">
        <v>0.65</v>
      </c>
      <c r="N16" s="7" t="s">
        <v>4</v>
      </c>
      <c r="O16" t="s">
        <v>38</v>
      </c>
      <c r="U16" t="str">
        <f>D20</f>
        <v>Eq_recF</v>
      </c>
      <c r="V16">
        <f>VLOOKUP(E27,A44:E294,5,FALSE)</f>
        <v>3.3534640209256543</v>
      </c>
      <c r="W16">
        <v>0</v>
      </c>
      <c r="X16">
        <f>E15</f>
        <v>4.2758580000000004</v>
      </c>
      <c r="AB16">
        <f t="shared" si="0"/>
        <v>3.425651406885077</v>
      </c>
      <c r="AC16">
        <v>13</v>
      </c>
    </row>
    <row r="17" spans="2:29" ht="15" customHeight="1" x14ac:dyDescent="0.3">
      <c r="C17" s="1" t="s">
        <v>29</v>
      </c>
      <c r="D17" s="1" t="s">
        <v>31</v>
      </c>
      <c r="E17">
        <f>4*E16/(E7*(1-E16))</f>
        <v>0.85921888570540139</v>
      </c>
      <c r="N17" s="7" t="s">
        <v>90</v>
      </c>
      <c r="U17" t="str">
        <f>D21</f>
        <v>Eq_SSBF</v>
      </c>
      <c r="V17">
        <f>E28</f>
        <v>12.147382264741063</v>
      </c>
      <c r="W17">
        <v>0</v>
      </c>
      <c r="X17">
        <f>E19</f>
        <v>36.967898517909518</v>
      </c>
      <c r="AB17">
        <f t="shared" si="0"/>
        <v>3.5023753026618314</v>
      </c>
      <c r="AC17">
        <v>14</v>
      </c>
    </row>
    <row r="18" spans="2:29" ht="15" customHeight="1" x14ac:dyDescent="0.3">
      <c r="C18" s="1" t="s">
        <v>30</v>
      </c>
      <c r="D18" s="1" t="s">
        <v>32</v>
      </c>
      <c r="E18">
        <f>1/E15*(E17-1/E7)</f>
        <v>0.17389604728159039</v>
      </c>
      <c r="N18" s="7" t="s">
        <v>91</v>
      </c>
      <c r="U18" t="str">
        <f>CONCATENATE("(",U17,",",U16,") at F",V15)</f>
        <v>(Eq_SSBF,Eq_recF) at FMSY</v>
      </c>
      <c r="AB18">
        <f t="shared" si="0"/>
        <v>3.5717043244291462</v>
      </c>
      <c r="AC18">
        <v>15</v>
      </c>
    </row>
    <row r="19" spans="2:29" ht="15" customHeight="1" thickBot="1" x14ac:dyDescent="0.4">
      <c r="C19" s="18" t="s">
        <v>60</v>
      </c>
      <c r="D19" s="11" t="s">
        <v>57</v>
      </c>
      <c r="E19">
        <f>E15/(E17-E18*E15)</f>
        <v>36.967898517909518</v>
      </c>
      <c r="F19" s="42">
        <v>0</v>
      </c>
      <c r="N19" t="s">
        <v>56</v>
      </c>
      <c r="AB19">
        <f t="shared" si="0"/>
        <v>3.6346584284546708</v>
      </c>
      <c r="AC19">
        <v>16</v>
      </c>
    </row>
    <row r="20" spans="2:29" ht="15" customHeight="1" thickBot="1" x14ac:dyDescent="0.4">
      <c r="C20" s="43" t="s">
        <v>59</v>
      </c>
      <c r="D20" s="13" t="s">
        <v>61</v>
      </c>
      <c r="E20" s="73">
        <f>1/E18*(E17-1/E11)</f>
        <v>3.9704701670849145</v>
      </c>
      <c r="N20" t="s">
        <v>89</v>
      </c>
      <c r="AB20">
        <f t="shared" si="0"/>
        <v>3.6920782424658598</v>
      </c>
      <c r="AC20">
        <v>17</v>
      </c>
    </row>
    <row r="21" spans="2:29" ht="15" customHeight="1" thickBot="1" x14ac:dyDescent="0.4">
      <c r="B21" s="41"/>
      <c r="C21" s="43" t="s">
        <v>62</v>
      </c>
      <c r="D21" s="13" t="s">
        <v>63</v>
      </c>
      <c r="E21" s="73">
        <f>E20/(E17-E20*E18)</f>
        <v>23.525949241667259</v>
      </c>
      <c r="N21" t="s">
        <v>56</v>
      </c>
      <c r="AB21">
        <f t="shared" si="0"/>
        <v>3.7446628181335258</v>
      </c>
      <c r="AC21">
        <v>18</v>
      </c>
    </row>
    <row r="22" spans="2:29" ht="15" customHeight="1" thickBot="1" x14ac:dyDescent="0.35">
      <c r="C22" s="44" t="s">
        <v>64</v>
      </c>
      <c r="D22" s="40" t="s">
        <v>64</v>
      </c>
      <c r="E22" s="73">
        <f>MAX(E14*E20,0)</f>
        <v>1.6621990371843163</v>
      </c>
      <c r="N22" t="s">
        <v>56</v>
      </c>
      <c r="AB22">
        <f t="shared" si="0"/>
        <v>3.7929982316459756</v>
      </c>
      <c r="AC22">
        <v>19</v>
      </c>
    </row>
    <row r="23" spans="2:29" ht="15" customHeight="1" x14ac:dyDescent="0.3">
      <c r="C23" s="44" t="s">
        <v>158</v>
      </c>
      <c r="D23" s="44" t="s">
        <v>157</v>
      </c>
      <c r="E23">
        <f>E17/E18</f>
        <v>4.9409914666666674</v>
      </c>
      <c r="N23" t="s">
        <v>89</v>
      </c>
      <c r="O23" t="s">
        <v>166</v>
      </c>
      <c r="AB23">
        <f t="shared" si="0"/>
        <v>3.8375795202171474</v>
      </c>
      <c r="AC23">
        <v>20</v>
      </c>
    </row>
    <row r="24" spans="2:29" ht="15" customHeight="1" x14ac:dyDescent="0.35">
      <c r="C24" t="s">
        <v>162</v>
      </c>
      <c r="D24" t="s">
        <v>160</v>
      </c>
      <c r="E24">
        <f>0.5*E23/(E17-E18*0.5*E23)</f>
        <v>5.7505619916748136</v>
      </c>
      <c r="N24" t="s">
        <v>56</v>
      </c>
      <c r="AB24">
        <f t="shared" si="0"/>
        <v>3.878827698359832</v>
      </c>
      <c r="AC24">
        <v>21</v>
      </c>
    </row>
    <row r="25" spans="2:29" ht="15" customHeight="1" x14ac:dyDescent="0.3">
      <c r="AB25">
        <f t="shared" si="0"/>
        <v>3.9171030950392023</v>
      </c>
      <c r="AC25">
        <v>22</v>
      </c>
    </row>
    <row r="26" spans="2:29" ht="15" customHeight="1" x14ac:dyDescent="0.3">
      <c r="B26" s="67">
        <v>10</v>
      </c>
      <c r="C26" t="s">
        <v>65</v>
      </c>
      <c r="D26" s="10" t="s">
        <v>65</v>
      </c>
      <c r="E26">
        <f>MAX(G43:G294)</f>
        <v>2.3203287897058655</v>
      </c>
      <c r="N26" s="7" t="s">
        <v>4</v>
      </c>
      <c r="O26" t="s">
        <v>95</v>
      </c>
      <c r="AB26">
        <f t="shared" si="0"/>
        <v>3.9527159074747984</v>
      </c>
      <c r="AC26">
        <v>23</v>
      </c>
    </row>
    <row r="27" spans="2:29" ht="15" customHeight="1" x14ac:dyDescent="0.3">
      <c r="B27" s="67">
        <v>10</v>
      </c>
      <c r="C27" t="s">
        <v>68</v>
      </c>
      <c r="D27" s="10" t="s">
        <v>66</v>
      </c>
      <c r="E27">
        <f>VLOOKUP(E26,G43:K544,5,FALSE)</f>
        <v>0.34</v>
      </c>
      <c r="N27" t="s">
        <v>56</v>
      </c>
      <c r="O27" t="s">
        <v>97</v>
      </c>
      <c r="AB27">
        <f t="shared" si="0"/>
        <v>3.9859346264848261</v>
      </c>
      <c r="AC27">
        <v>24</v>
      </c>
    </row>
    <row r="28" spans="2:29" ht="15" customHeight="1" x14ac:dyDescent="0.35">
      <c r="B28" s="67">
        <v>10</v>
      </c>
      <c r="C28" t="s">
        <v>69</v>
      </c>
      <c r="D28" s="10" t="s">
        <v>67</v>
      </c>
      <c r="E28">
        <f>VLOOKUP(E27,A43:F544,6,FALSE)</f>
        <v>12.147382264741063</v>
      </c>
      <c r="N28" t="s">
        <v>56</v>
      </c>
      <c r="O28" t="s">
        <v>96</v>
      </c>
      <c r="AB28">
        <f t="shared" si="0"/>
        <v>4.0169928178909018</v>
      </c>
      <c r="AC28">
        <v>25</v>
      </c>
    </row>
    <row r="29" spans="2:29" ht="15" customHeight="1" x14ac:dyDescent="0.3">
      <c r="AB29">
        <f t="shared" si="0"/>
        <v>4.046094622420159</v>
      </c>
      <c r="AC29">
        <v>26</v>
      </c>
    </row>
    <row r="30" spans="2:29" ht="15" customHeight="1" x14ac:dyDescent="0.35">
      <c r="C30" t="s">
        <v>169</v>
      </c>
      <c r="D30" t="s">
        <v>170</v>
      </c>
      <c r="E30">
        <f>E28/E19</f>
        <v>0.32859271832441667</v>
      </c>
      <c r="AB30">
        <f t="shared" si="0"/>
        <v>4.0734192480089959</v>
      </c>
      <c r="AC30">
        <v>27</v>
      </c>
    </row>
    <row r="31" spans="2:29" ht="15" customHeight="1" x14ac:dyDescent="0.3">
      <c r="AB31">
        <f t="shared" si="0"/>
        <v>4.0991246634883494</v>
      </c>
      <c r="AC31">
        <v>28</v>
      </c>
    </row>
    <row r="32" spans="2:29" ht="15" customHeight="1" x14ac:dyDescent="0.3">
      <c r="F32" s="39"/>
      <c r="AB32">
        <f t="shared" si="0"/>
        <v>4.1233506545206664</v>
      </c>
      <c r="AC32">
        <v>29</v>
      </c>
    </row>
    <row r="33" spans="1:30" ht="15" customHeight="1" x14ac:dyDescent="0.3">
      <c r="C33" t="s">
        <v>140</v>
      </c>
      <c r="F33" s="39"/>
      <c r="AB33">
        <f t="shared" si="0"/>
        <v>4.14622136666042</v>
      </c>
      <c r="AC33">
        <v>30</v>
      </c>
    </row>
    <row r="34" spans="1:30" ht="15" customHeight="1" x14ac:dyDescent="0.3">
      <c r="C34" t="s">
        <v>141</v>
      </c>
      <c r="F34" s="39"/>
      <c r="AB34">
        <f t="shared" si="0"/>
        <v>4.1678474332274096</v>
      </c>
      <c r="AC34">
        <v>31</v>
      </c>
    </row>
    <row r="35" spans="1:30" ht="15" customHeight="1" x14ac:dyDescent="0.3">
      <c r="C35" t="s">
        <v>142</v>
      </c>
      <c r="F35" s="16"/>
      <c r="AB35">
        <f t="shared" si="0"/>
        <v>4.1883277649800803</v>
      </c>
      <c r="AC35">
        <v>32</v>
      </c>
    </row>
    <row r="36" spans="1:30" ht="15" customHeight="1" x14ac:dyDescent="0.35">
      <c r="C36" t="s">
        <v>143</v>
      </c>
      <c r="AB36">
        <f t="shared" si="0"/>
        <v>4.2077510626821448</v>
      </c>
      <c r="AC36">
        <v>33</v>
      </c>
    </row>
    <row r="37" spans="1:30" ht="15" customHeight="1" x14ac:dyDescent="0.3">
      <c r="C37" s="10"/>
      <c r="AB37">
        <f t="shared" si="0"/>
        <v>4.2261971013604933</v>
      </c>
      <c r="AC37">
        <v>34</v>
      </c>
    </row>
    <row r="38" spans="1:30" ht="15" customHeight="1" x14ac:dyDescent="0.3">
      <c r="C38" s="10"/>
      <c r="AB38">
        <f t="shared" si="0"/>
        <v>4.2437378254725244</v>
      </c>
      <c r="AC38">
        <v>35</v>
      </c>
    </row>
    <row r="39" spans="1:30" ht="15" customHeight="1" x14ac:dyDescent="0.3">
      <c r="C39" s="10"/>
      <c r="AB39">
        <f t="shared" si="0"/>
        <v>4.2604382866862718</v>
      </c>
      <c r="AC39">
        <v>36</v>
      </c>
    </row>
    <row r="40" spans="1:30" ht="15" customHeight="1" x14ac:dyDescent="0.3">
      <c r="C40" s="10"/>
      <c r="AB40">
        <f t="shared" si="0"/>
        <v>4.2763574500440056</v>
      </c>
      <c r="AC40">
        <v>37</v>
      </c>
    </row>
    <row r="41" spans="1:30" s="24" customFormat="1" ht="15" customHeight="1" x14ac:dyDescent="0.3">
      <c r="A41" s="95" t="s">
        <v>139</v>
      </c>
      <c r="B41" s="96"/>
      <c r="C41" s="96"/>
      <c r="D41" s="96"/>
      <c r="E41" s="96"/>
      <c r="F41" s="96"/>
      <c r="G41" s="96"/>
      <c r="AB41">
        <f t="shared" si="0"/>
        <v>4.2915488895676646</v>
      </c>
      <c r="AC41">
        <v>38</v>
      </c>
      <c r="AD41"/>
    </row>
    <row r="42" spans="1:30" ht="15" customHeight="1" thickBot="1" x14ac:dyDescent="0.4">
      <c r="A42" s="34" t="s">
        <v>19</v>
      </c>
      <c r="B42" s="70" t="s">
        <v>25</v>
      </c>
      <c r="C42" s="70" t="s">
        <v>47</v>
      </c>
      <c r="D42" s="70" t="s">
        <v>22</v>
      </c>
      <c r="E42" s="75" t="s">
        <v>61</v>
      </c>
      <c r="F42" s="75" t="s">
        <v>63</v>
      </c>
      <c r="G42" s="76" t="s">
        <v>64</v>
      </c>
      <c r="K42" t="s">
        <v>19</v>
      </c>
      <c r="AB42">
        <f t="shared" si="0"/>
        <v>4.3060613905999388</v>
      </c>
      <c r="AC42">
        <v>39</v>
      </c>
    </row>
    <row r="43" spans="1:30" s="24" customFormat="1" ht="15" customHeight="1" thickBot="1" x14ac:dyDescent="0.35">
      <c r="A43" s="45"/>
      <c r="B43" s="71">
        <f>E12</f>
        <v>0.68533628984063166</v>
      </c>
      <c r="C43" s="71">
        <f>E14</f>
        <v>0.41864035422401591</v>
      </c>
      <c r="D43" s="71">
        <f>E11</f>
        <v>5.9252300739334878</v>
      </c>
      <c r="E43" s="71">
        <f>E20</f>
        <v>3.9704701670849145</v>
      </c>
      <c r="F43" s="71">
        <f>E21</f>
        <v>23.525949241667259</v>
      </c>
      <c r="G43" s="71">
        <f>E22</f>
        <v>1.6621990371843163</v>
      </c>
      <c r="K43" s="24">
        <f>A43</f>
        <v>0</v>
      </c>
      <c r="AB43">
        <f t="shared" si="0"/>
        <v>4.3199394731507557</v>
      </c>
      <c r="AC43">
        <v>40</v>
      </c>
      <c r="AD43"/>
    </row>
    <row r="44" spans="1:30" ht="15" customHeight="1" x14ac:dyDescent="0.3">
      <c r="A44" s="28">
        <v>9.9999999999999995E-7</v>
      </c>
      <c r="B44" s="29">
        <f t="dataTable" ref="B44:G547" dt2D="0" dtr="0" r1="B6"/>
        <v>0.9999952134662361</v>
      </c>
      <c r="C44" s="29">
        <v>6.8168912694935867E-6</v>
      </c>
      <c r="D44" s="29">
        <v>8.6456850460925221</v>
      </c>
      <c r="E44" s="29">
        <v>4.2758548163009662</v>
      </c>
      <c r="F44" s="29">
        <v>36.967694044555962</v>
      </c>
      <c r="G44" s="30">
        <v>2.914803736686416E-5</v>
      </c>
      <c r="J44" s="24"/>
      <c r="K44" s="24">
        <f t="shared" ref="K44:K107" si="5">A44</f>
        <v>9.9999999999999995E-7</v>
      </c>
      <c r="AB44">
        <f t="shared" si="0"/>
        <v>4.3332238480771261</v>
      </c>
      <c r="AC44">
        <v>41</v>
      </c>
    </row>
    <row r="45" spans="1:30" ht="15" customHeight="1" x14ac:dyDescent="0.3">
      <c r="A45" s="28">
        <v>0.01</v>
      </c>
      <c r="B45" s="29">
        <v>0.95448419702497456</v>
      </c>
      <c r="C45" s="29">
        <v>6.43343462730398E-2</v>
      </c>
      <c r="D45" s="29">
        <v>8.2522092484286453</v>
      </c>
      <c r="E45" s="29">
        <v>4.2441402576683238</v>
      </c>
      <c r="F45" s="29">
        <v>35.023533485958886</v>
      </c>
      <c r="G45" s="30">
        <v>0.27304398896818233</v>
      </c>
      <c r="J45" s="24"/>
      <c r="K45" s="24">
        <f t="shared" si="5"/>
        <v>0.01</v>
      </c>
      <c r="AB45">
        <f t="shared" si="0"/>
        <v>4.3459518159426249</v>
      </c>
      <c r="AC45">
        <v>42</v>
      </c>
    </row>
    <row r="46" spans="1:30" ht="15" customHeight="1" x14ac:dyDescent="0.3">
      <c r="A46" s="28">
        <v>0.02</v>
      </c>
      <c r="B46" s="29">
        <v>0.91323765685305125</v>
      </c>
      <c r="C46" s="29">
        <v>0.12173192642859101</v>
      </c>
      <c r="D46" s="29">
        <v>7.8956029459530868</v>
      </c>
      <c r="E46" s="29">
        <v>4.2126668496566033</v>
      </c>
      <c r="F46" s="29">
        <v>33.261544788467582</v>
      </c>
      <c r="G46" s="30">
        <v>0.51281605101056194</v>
      </c>
      <c r="J46" s="24"/>
      <c r="K46" s="24">
        <f t="shared" si="5"/>
        <v>0.02</v>
      </c>
      <c r="AB46">
        <f t="shared" si="0"/>
        <v>4.3581576167870466</v>
      </c>
      <c r="AC46">
        <v>43</v>
      </c>
    </row>
    <row r="47" spans="1:30" ht="15" customHeight="1" x14ac:dyDescent="0.3">
      <c r="A47" s="28">
        <v>0.03</v>
      </c>
      <c r="B47" s="29">
        <v>0.87569913806345145</v>
      </c>
      <c r="C47" s="29">
        <v>0.17314724253319588</v>
      </c>
      <c r="D47" s="29">
        <v>7.5710551819425493</v>
      </c>
      <c r="E47" s="29">
        <v>4.1814458216434645</v>
      </c>
      <c r="F47" s="29">
        <v>31.65795705596577</v>
      </c>
      <c r="G47" s="30">
        <v>0.72400581381951945</v>
      </c>
      <c r="J47" s="24"/>
      <c r="K47" s="24">
        <f t="shared" si="5"/>
        <v>0.03</v>
      </c>
      <c r="AB47">
        <f t="shared" si="0"/>
        <v>4.3698727377132611</v>
      </c>
      <c r="AC47">
        <v>44</v>
      </c>
    </row>
    <row r="48" spans="1:30" ht="15" customHeight="1" x14ac:dyDescent="0.3">
      <c r="A48" s="28">
        <v>0.04</v>
      </c>
      <c r="B48" s="29">
        <v>0.84140098817357856</v>
      </c>
      <c r="C48" s="29">
        <v>0.21937345502736541</v>
      </c>
      <c r="D48" s="29">
        <v>7.2745227609685905</v>
      </c>
      <c r="E48" s="29">
        <v>4.1504843529176494</v>
      </c>
      <c r="F48" s="29">
        <v>30.192792894343413</v>
      </c>
      <c r="G48" s="30">
        <v>0.91050609253656378</v>
      </c>
      <c r="J48" s="24"/>
      <c r="K48" s="24">
        <f t="shared" si="5"/>
        <v>0.04</v>
      </c>
      <c r="AB48">
        <f t="shared" si="0"/>
        <v>4.3811261841095215</v>
      </c>
      <c r="AC48">
        <v>45</v>
      </c>
    </row>
    <row r="49" spans="1:29" ht="15" customHeight="1" x14ac:dyDescent="0.3">
      <c r="A49" s="28">
        <v>0.05</v>
      </c>
      <c r="B49" s="29">
        <v>0.80995044719986264</v>
      </c>
      <c r="C49" s="29">
        <v>0.26107472664256853</v>
      </c>
      <c r="D49" s="29">
        <v>7.0026099876609447</v>
      </c>
      <c r="E49" s="29">
        <v>4.1197888005453667</v>
      </c>
      <c r="F49" s="29">
        <v>28.849274201752682</v>
      </c>
      <c r="G49" s="30">
        <v>1.0755727349274968</v>
      </c>
      <c r="J49" s="24"/>
      <c r="K49" s="24">
        <f t="shared" si="5"/>
        <v>0.05</v>
      </c>
      <c r="AB49">
        <f t="shared" si="0"/>
        <v>4.3919447194260517</v>
      </c>
      <c r="AC49">
        <v>46</v>
      </c>
    </row>
    <row r="50" spans="1:29" ht="15" customHeight="1" x14ac:dyDescent="0.3">
      <c r="A50" s="28">
        <v>0.06</v>
      </c>
      <c r="B50" s="29">
        <v>0.78101525965315455</v>
      </c>
      <c r="C50" s="29">
        <v>0.29881110713728715</v>
      </c>
      <c r="D50" s="29">
        <v>6.7524442719558433</v>
      </c>
      <c r="E50" s="29">
        <v>4.0893647430581561</v>
      </c>
      <c r="F50" s="29">
        <v>27.613207535201237</v>
      </c>
      <c r="G50" s="30">
        <v>1.2219476063613954</v>
      </c>
      <c r="J50" s="24"/>
      <c r="K50" s="24">
        <f t="shared" si="5"/>
        <v>0.06</v>
      </c>
      <c r="AB50">
        <f t="shared" si="0"/>
        <v>4.4023530776787512</v>
      </c>
      <c r="AC50">
        <v>47</v>
      </c>
    </row>
    <row r="51" spans="1:29" ht="15" customHeight="1" x14ac:dyDescent="0.3">
      <c r="A51" s="28">
        <v>7.0000000000000007E-2</v>
      </c>
      <c r="B51" s="29">
        <v>0.75431247955756053</v>
      </c>
      <c r="C51" s="29">
        <v>0.33305789025881521</v>
      </c>
      <c r="D51" s="29">
        <v>6.5215793403514786</v>
      </c>
      <c r="E51" s="29">
        <v>4.0592170234587295</v>
      </c>
      <c r="F51" s="29">
        <v>26.472505878191477</v>
      </c>
      <c r="G51" s="30">
        <v>1.3519542579358321</v>
      </c>
      <c r="J51" s="24"/>
      <c r="K51" s="24">
        <f t="shared" si="5"/>
        <v>7.0000000000000007E-2</v>
      </c>
      <c r="AB51">
        <f t="shared" si="0"/>
        <v>4.4123741522318198</v>
      </c>
      <c r="AC51">
        <v>48</v>
      </c>
    </row>
    <row r="52" spans="1:29" ht="15" customHeight="1" x14ac:dyDescent="0.3">
      <c r="A52" s="28">
        <v>0.08</v>
      </c>
      <c r="B52" s="29">
        <v>0.72959967133015535</v>
      </c>
      <c r="C52" s="29">
        <v>0.36422082325420319</v>
      </c>
      <c r="D52" s="29">
        <v>6.3079191611211876</v>
      </c>
      <c r="E52" s="29">
        <v>4.0293497913708958</v>
      </c>
      <c r="F52" s="29">
        <v>25.416812755848127</v>
      </c>
      <c r="G52" s="30">
        <v>1.4675730981922595</v>
      </c>
      <c r="J52" s="24"/>
      <c r="K52" s="24">
        <f t="shared" si="5"/>
        <v>0.08</v>
      </c>
      <c r="AB52">
        <f t="shared" si="0"/>
        <v>4.4220291638920699</v>
      </c>
      <c r="AC52">
        <v>49</v>
      </c>
    </row>
    <row r="53" spans="1:29" ht="15" customHeight="1" x14ac:dyDescent="0.3">
      <c r="A53" s="28">
        <v>0.09</v>
      </c>
      <c r="B53" s="29">
        <v>0.7066679289726443</v>
      </c>
      <c r="C53" s="29">
        <v>0.39264816896870791</v>
      </c>
      <c r="D53" s="29">
        <v>6.1096575901543044</v>
      </c>
      <c r="E53" s="29">
        <v>3.9997665441862602</v>
      </c>
      <c r="F53" s="29">
        <v>24.437204025532836</v>
      </c>
      <c r="G53" s="30">
        <v>1.5705010098770316</v>
      </c>
      <c r="J53" s="24"/>
      <c r="K53" s="24">
        <f t="shared" si="5"/>
        <v>0.09</v>
      </c>
      <c r="AB53">
        <f t="shared" si="0"/>
        <v>4.4313378109125621</v>
      </c>
      <c r="AC53">
        <v>50</v>
      </c>
    </row>
    <row r="54" spans="1:29" ht="15" customHeight="1" x14ac:dyDescent="0.3">
      <c r="A54" s="28">
        <v>0.1</v>
      </c>
      <c r="B54" s="29">
        <v>0.68533628984063166</v>
      </c>
      <c r="C54" s="29">
        <v>0.41864035422401591</v>
      </c>
      <c r="D54" s="29">
        <v>5.9252300739334878</v>
      </c>
      <c r="E54" s="29">
        <v>3.9704701670849145</v>
      </c>
      <c r="F54" s="29">
        <v>23.525949241667259</v>
      </c>
      <c r="G54" s="30">
        <v>1.6621990371843163</v>
      </c>
      <c r="J54" s="24"/>
      <c r="K54" s="24">
        <f t="shared" si="5"/>
        <v>0.1</v>
      </c>
      <c r="AB54">
        <f t="shared" si="0"/>
        <v>4.4403184031369856</v>
      </c>
      <c r="AC54">
        <v>51</v>
      </c>
    </row>
    <row r="55" spans="1:29" ht="15" customHeight="1" x14ac:dyDescent="0.3">
      <c r="A55" s="28">
        <v>0.11</v>
      </c>
      <c r="B55" s="29">
        <v>0.66544722847070559</v>
      </c>
      <c r="C55" s="29">
        <v>0.44245774905277546</v>
      </c>
      <c r="D55" s="29">
        <v>5.7532746903964522</v>
      </c>
      <c r="E55" s="29">
        <v>3.941462971829834</v>
      </c>
      <c r="F55" s="29">
        <v>22.676319158963373</v>
      </c>
      <c r="G55" s="30">
        <v>1.7439308344906912</v>
      </c>
      <c r="J55" s="24"/>
      <c r="K55" s="24">
        <f t="shared" si="5"/>
        <v>0.11</v>
      </c>
      <c r="AB55">
        <f t="shared" si="0"/>
        <v>4.4489879822070879</v>
      </c>
      <c r="AC55">
        <v>52</v>
      </c>
    </row>
    <row r="56" spans="1:29" ht="15" customHeight="1" x14ac:dyDescent="0.3">
      <c r="A56" s="28">
        <v>0.12</v>
      </c>
      <c r="B56" s="29">
        <v>0.64686299448063744</v>
      </c>
      <c r="C56" s="29">
        <v>0.46432698537526651</v>
      </c>
      <c r="D56" s="29">
        <v>5.5926004874229376</v>
      </c>
      <c r="E56" s="29">
        <v>3.912746734255133</v>
      </c>
      <c r="F56" s="29">
        <v>21.88242929315776</v>
      </c>
      <c r="G56" s="30">
        <v>1.8167938956536049</v>
      </c>
      <c r="J56" s="24"/>
      <c r="K56" s="24">
        <f t="shared" si="5"/>
        <v>0.12</v>
      </c>
      <c r="AB56">
        <f t="shared" si="0"/>
        <v>4.4573624294937249</v>
      </c>
      <c r="AC56">
        <v>53</v>
      </c>
    </row>
    <row r="57" spans="1:29" ht="15" customHeight="1" x14ac:dyDescent="0.3">
      <c r="A57" s="28">
        <v>0.13</v>
      </c>
      <c r="B57" s="29">
        <v>0.62946261569958595</v>
      </c>
      <c r="C57" s="29">
        <v>0.48444612475875548</v>
      </c>
      <c r="D57" s="29">
        <v>5.4421615727183106</v>
      </c>
      <c r="E57" s="29">
        <v>3.8843227303868546</v>
      </c>
      <c r="F57" s="29">
        <v>21.139111899347601</v>
      </c>
      <c r="G57" s="30">
        <v>1.8817450940482598</v>
      </c>
      <c r="J57" s="24"/>
      <c r="K57" s="24">
        <f t="shared" si="5"/>
        <v>0.13</v>
      </c>
      <c r="AB57">
        <f t="shared" si="0"/>
        <v>4.4654565631897452</v>
      </c>
      <c r="AC57">
        <v>54</v>
      </c>
    </row>
    <row r="58" spans="1:29" ht="15" customHeight="1" x14ac:dyDescent="0.3">
      <c r="A58" s="28">
        <v>0.14000000000000001</v>
      </c>
      <c r="B58" s="29">
        <v>0.6131394297182754</v>
      </c>
      <c r="C58" s="29">
        <v>0.50298891211688024</v>
      </c>
      <c r="D58" s="29">
        <v>5.3010357722716979</v>
      </c>
      <c r="E58" s="29">
        <v>3.8561917711516003</v>
      </c>
      <c r="F58" s="29">
        <v>20.441810523614382</v>
      </c>
      <c r="G58" s="30">
        <v>1.9396217038856089</v>
      </c>
      <c r="J58" s="24"/>
      <c r="K58" s="24">
        <f t="shared" si="5"/>
        <v>0.14000000000000001</v>
      </c>
      <c r="AB58">
        <f t="shared" si="0"/>
        <v>4.4732842258135426</v>
      </c>
      <c r="AC58">
        <v>55</v>
      </c>
    </row>
    <row r="59" spans="1:29" ht="15" customHeight="1" x14ac:dyDescent="0.3">
      <c r="A59" s="28">
        <v>0.15</v>
      </c>
      <c r="B59" s="29">
        <v>0.59779903828564174</v>
      </c>
      <c r="C59" s="29">
        <v>0.52010829811866577</v>
      </c>
      <c r="D59" s="29">
        <v>5.1684069446290097</v>
      </c>
      <c r="E59" s="29">
        <v>3.8283542356431353</v>
      </c>
      <c r="F59" s="29">
        <v>19.786492617997865</v>
      </c>
      <c r="G59" s="30">
        <v>1.9911588060957366</v>
      </c>
      <c r="J59" s="24"/>
      <c r="K59" s="24">
        <f t="shared" si="5"/>
        <v>0.15</v>
      </c>
      <c r="AB59">
        <f t="shared" si="0"/>
        <v>4.4808583632103192</v>
      </c>
      <c r="AC59">
        <v>56</v>
      </c>
    </row>
    <row r="60" spans="1:29" ht="15" customHeight="1" x14ac:dyDescent="0.3">
      <c r="A60" s="28">
        <v>0.16</v>
      </c>
      <c r="B60" s="29">
        <v>0.58335760241424339</v>
      </c>
      <c r="C60" s="29">
        <v>0.53593937249685797</v>
      </c>
      <c r="D60" s="29">
        <v>5.0435502408407284</v>
      </c>
      <c r="E60" s="29">
        <v>3.8008101029302708</v>
      </c>
      <c r="F60" s="29">
        <v>19.169576710023843</v>
      </c>
      <c r="G60" s="30">
        <v>2.0370037815441675</v>
      </c>
      <c r="J60" s="24"/>
      <c r="K60" s="24">
        <f t="shared" si="5"/>
        <v>0.16</v>
      </c>
    </row>
    <row r="61" spans="1:29" ht="15" customHeight="1" x14ac:dyDescent="0.3">
      <c r="A61" s="28">
        <v>0.17</v>
      </c>
      <c r="B61" s="29">
        <v>0.56974041379787388</v>
      </c>
      <c r="C61" s="29">
        <v>0.55060181972622135</v>
      </c>
      <c r="D61" s="29">
        <v>4.9258197533294084</v>
      </c>
      <c r="E61" s="29">
        <v>3.7735589824008846</v>
      </c>
      <c r="F61" s="29">
        <v>18.587871375863898</v>
      </c>
      <c r="G61" s="30">
        <v>2.0777284425541551</v>
      </c>
      <c r="J61" s="24"/>
      <c r="K61" s="24">
        <f t="shared" si="5"/>
        <v>0.17</v>
      </c>
    </row>
    <row r="62" spans="1:29" ht="15" customHeight="1" x14ac:dyDescent="0.3">
      <c r="A62" s="28">
        <v>0.18</v>
      </c>
      <c r="B62" s="29">
        <v>0.55688069168838961</v>
      </c>
      <c r="C62" s="29">
        <v>0.56420198509193298</v>
      </c>
      <c r="D62" s="29">
        <v>4.8146381140158638</v>
      </c>
      <c r="E62" s="29">
        <v>3.7466001426470301</v>
      </c>
      <c r="F62" s="29">
        <v>18.03852384476566</v>
      </c>
      <c r="G62" s="30">
        <v>2.1138392378271735</v>
      </c>
      <c r="J62" s="24"/>
      <c r="K62" s="24">
        <f t="shared" si="5"/>
        <v>0.18</v>
      </c>
    </row>
    <row r="63" spans="1:29" ht="15" customHeight="1" x14ac:dyDescent="0.3">
      <c r="A63" s="28">
        <v>0.19</v>
      </c>
      <c r="B63" s="29">
        <v>0.54471856479999958</v>
      </c>
      <c r="C63" s="29">
        <v>0.57683462112432093</v>
      </c>
      <c r="D63" s="29">
        <v>4.7094876921421855</v>
      </c>
      <c r="E63" s="29">
        <v>3.719932538904807</v>
      </c>
      <c r="F63" s="29">
        <v>17.51897650757142</v>
      </c>
      <c r="G63" s="30">
        <v>2.1457858766871878</v>
      </c>
      <c r="J63" s="24"/>
      <c r="K63" s="24">
        <f t="shared" si="5"/>
        <v>0.19</v>
      </c>
    </row>
    <row r="64" spans="1:29" ht="15" customHeight="1" x14ac:dyDescent="0.3">
      <c r="A64" s="28">
        <v>0.2</v>
      </c>
      <c r="B64" s="29">
        <v>0.53320020588797934</v>
      </c>
      <c r="C64" s="29">
        <v>0.5885843703885929</v>
      </c>
      <c r="D64" s="29">
        <v>4.6099031120760507</v>
      </c>
      <c r="E64" s="29">
        <v>3.6935548390701554</v>
      </c>
      <c r="F64" s="29">
        <v>17.02692994725307</v>
      </c>
      <c r="G64" s="30">
        <v>2.173968649449848</v>
      </c>
      <c r="J64" s="24"/>
      <c r="K64" s="24">
        <f t="shared" si="5"/>
        <v>0.2</v>
      </c>
    </row>
    <row r="65" spans="1:11" ht="15" customHeight="1" x14ac:dyDescent="0.3">
      <c r="A65" s="28">
        <v>0.21</v>
      </c>
      <c r="B65" s="29">
        <v>0.52227709295577129</v>
      </c>
      <c r="C65" s="29">
        <v>0.59952702969842908</v>
      </c>
      <c r="D65" s="29">
        <v>4.5154648659094265</v>
      </c>
      <c r="E65" s="29">
        <v>3.6674654483180258</v>
      </c>
      <c r="F65" s="29">
        <v>16.560311378816806</v>
      </c>
      <c r="G65" s="30">
        <v>2.1987446667517236</v>
      </c>
      <c r="J65" s="24"/>
      <c r="K65" s="24">
        <f t="shared" si="5"/>
        <v>0.21</v>
      </c>
    </row>
    <row r="66" spans="1:11" ht="15" customHeight="1" x14ac:dyDescent="0.3">
      <c r="A66" s="28">
        <v>0.22</v>
      </c>
      <c r="B66" s="29">
        <v>0.51190537600119057</v>
      </c>
      <c r="C66" s="29">
        <v>0.60973063224063184</v>
      </c>
      <c r="D66" s="29">
        <v>4.4257938385195033</v>
      </c>
      <c r="E66" s="29">
        <v>3.6416625323576834</v>
      </c>
      <c r="F66" s="29">
        <v>16.11724759767597</v>
      </c>
      <c r="G66" s="30">
        <v>2.2204331982614707</v>
      </c>
      <c r="J66" s="24"/>
      <c r="K66" s="24">
        <f t="shared" si="5"/>
        <v>0.22</v>
      </c>
    </row>
    <row r="67" spans="1:11" ht="15" customHeight="1" x14ac:dyDescent="0.3">
      <c r="A67" s="28">
        <v>0.23</v>
      </c>
      <c r="B67" s="29">
        <v>0.50204533213265934</v>
      </c>
      <c r="C67" s="29">
        <v>0.6192563773111408</v>
      </c>
      <c r="D67" s="29">
        <v>4.3405465966527252</v>
      </c>
      <c r="E67" s="29">
        <v>3.6161440393612114</v>
      </c>
      <c r="F67" s="29">
        <v>15.696041703055343</v>
      </c>
      <c r="G67" s="30">
        <v>2.2393202576500992</v>
      </c>
      <c r="J67" s="24"/>
      <c r="K67" s="24">
        <f t="shared" si="5"/>
        <v>0.23</v>
      </c>
    </row>
    <row r="68" spans="1:11" ht="15" customHeight="1" x14ac:dyDescent="0.3">
      <c r="A68" s="28">
        <v>0.24</v>
      </c>
      <c r="B68" s="29">
        <v>0.4926608950054514</v>
      </c>
      <c r="C68" s="29">
        <v>0.62815943196308066</v>
      </c>
      <c r="D68" s="29">
        <v>4.2594113205592894</v>
      </c>
      <c r="E68" s="29">
        <v>3.5909077206057849</v>
      </c>
      <c r="F68" s="29">
        <v>15.29515299623203</v>
      </c>
      <c r="G68" s="30">
        <v>2.2556625540075705</v>
      </c>
      <c r="J68" s="24"/>
      <c r="K68" s="24">
        <f t="shared" si="5"/>
        <v>0.24</v>
      </c>
    </row>
    <row r="69" spans="1:11" ht="15" customHeight="1" x14ac:dyDescent="0.3">
      <c r="A69" s="28">
        <v>0.25</v>
      </c>
      <c r="B69" s="29">
        <v>0.48371924702369723</v>
      </c>
      <c r="C69" s="29">
        <v>0.63648962454709368</v>
      </c>
      <c r="D69" s="29">
        <v>4.182104278283246</v>
      </c>
      <c r="E69" s="29">
        <v>3.5659511498729834</v>
      </c>
      <c r="F69" s="29">
        <v>14.913179560032866</v>
      </c>
      <c r="G69" s="30">
        <v>2.269690908535932</v>
      </c>
      <c r="J69" s="24"/>
      <c r="K69" s="24">
        <f t="shared" si="5"/>
        <v>0.25</v>
      </c>
    </row>
    <row r="70" spans="1:11" ht="15" customHeight="1" x14ac:dyDescent="0.3">
      <c r="A70" s="28">
        <v>0.26</v>
      </c>
      <c r="B70" s="29">
        <v>0.47519046476178278</v>
      </c>
      <c r="C70" s="29">
        <v>0.64429204664858242</v>
      </c>
      <c r="D70" s="29">
        <v>4.1083667600729123</v>
      </c>
      <c r="E70" s="29">
        <v>3.5412717416505011</v>
      </c>
      <c r="F70" s="29">
        <v>14.54884311178243</v>
      </c>
      <c r="G70" s="30">
        <v>2.2816132181667914</v>
      </c>
      <c r="J70" s="24"/>
      <c r="K70" s="24">
        <f t="shared" si="5"/>
        <v>0.26</v>
      </c>
    </row>
    <row r="71" spans="1:11" ht="15" customHeight="1" x14ac:dyDescent="0.3">
      <c r="A71" s="28">
        <v>0.27</v>
      </c>
      <c r="B71" s="29">
        <v>0.46704720968245955</v>
      </c>
      <c r="C71" s="29">
        <v>0.65160757711605088</v>
      </c>
      <c r="D71" s="29">
        <v>4.037962404414265</v>
      </c>
      <c r="E71" s="29">
        <v>3.5168667681830086</v>
      </c>
      <c r="F71" s="29">
        <v>14.200975791256885</v>
      </c>
      <c r="G71" s="30">
        <v>2.2916170338556863</v>
      </c>
      <c r="J71" s="24"/>
      <c r="K71" s="24">
        <f t="shared" si="5"/>
        <v>0.27</v>
      </c>
    </row>
    <row r="72" spans="1:11" ht="15" customHeight="1" x14ac:dyDescent="0.3">
      <c r="A72" s="28">
        <v>0.28000000000000003</v>
      </c>
      <c r="B72" s="29">
        <v>0.45926445754849993</v>
      </c>
      <c r="C72" s="29">
        <v>0.65847333959100185</v>
      </c>
      <c r="D72" s="29">
        <v>3.970674858598136</v>
      </c>
      <c r="E72" s="29">
        <v>3.4927333754199124</v>
      </c>
      <c r="F72" s="29">
        <v>13.86850860156645</v>
      </c>
      <c r="G72" s="30">
        <v>2.2998718100137019</v>
      </c>
      <c r="J72" s="24"/>
      <c r="K72" s="24">
        <f t="shared" si="5"/>
        <v>0.28000000000000003</v>
      </c>
    </row>
    <row r="73" spans="1:11" ht="15" customHeight="1" x14ac:dyDescent="0.3">
      <c r="A73" s="28">
        <v>0.28999999999999998</v>
      </c>
      <c r="B73" s="29">
        <v>0.45181926100204461</v>
      </c>
      <c r="C73" s="29">
        <v>0.66492310308541891</v>
      </c>
      <c r="D73" s="29">
        <v>3.9063057260462011</v>
      </c>
      <c r="E73" s="29">
        <v>3.4688685979081861</v>
      </c>
      <c r="F73" s="29">
        <v>13.550461266910602</v>
      </c>
      <c r="G73" s="30">
        <v>2.3065308723166775</v>
      </c>
      <c r="J73" s="24"/>
      <c r="K73" s="24">
        <f t="shared" si="5"/>
        <v>0.28999999999999998</v>
      </c>
    </row>
    <row r="74" spans="1:11" ht="15" customHeight="1" x14ac:dyDescent="0.3">
      <c r="A74" s="28">
        <v>0.3</v>
      </c>
      <c r="B74" s="29">
        <v>0.44469054066934505</v>
      </c>
      <c r="C74" s="29">
        <v>0.67098763362390867</v>
      </c>
      <c r="D74" s="29">
        <v>3.844672760259733</v>
      </c>
      <c r="E74" s="29">
        <v>3.4452693726785366</v>
      </c>
      <c r="F74" s="29">
        <v>13.245933308894308</v>
      </c>
      <c r="G74" s="30">
        <v>2.3117331435704997</v>
      </c>
      <c r="J74" s="24"/>
      <c r="K74" s="24">
        <f t="shared" si="5"/>
        <v>0.3</v>
      </c>
    </row>
    <row r="75" spans="1:11" ht="15" customHeight="1" x14ac:dyDescent="0.3">
      <c r="A75" s="28">
        <v>0.31</v>
      </c>
      <c r="B75" s="29">
        <v>0.43785890087636159</v>
      </c>
      <c r="C75" s="29">
        <v>0.67669500370839575</v>
      </c>
      <c r="D75" s="29">
        <v>3.7856082715470758</v>
      </c>
      <c r="E75" s="29">
        <v>3.4219325521729305</v>
      </c>
      <c r="F75" s="29">
        <v>12.954096174182045</v>
      </c>
      <c r="G75" s="30">
        <v>2.3156046610825411</v>
      </c>
      <c r="J75" s="24"/>
      <c r="K75" s="24">
        <f t="shared" si="5"/>
        <v>0.31</v>
      </c>
    </row>
    <row r="76" spans="1:11" ht="15" customHeight="1" x14ac:dyDescent="0.3">
      <c r="A76" s="28">
        <v>0.32</v>
      </c>
      <c r="B76" s="29">
        <v>0.43130646666254246</v>
      </c>
      <c r="C76" s="29">
        <v>0.68207086532196659</v>
      </c>
      <c r="D76" s="29">
        <v>3.7289577178893669</v>
      </c>
      <c r="E76" s="29">
        <v>3.3988549162609152</v>
      </c>
      <c r="F76" s="29">
        <v>12.674186271977357</v>
      </c>
      <c r="G76" s="30">
        <v>2.3182599138379025</v>
      </c>
      <c r="J76" s="24"/>
      <c r="K76" s="24">
        <f t="shared" si="5"/>
        <v>0.32</v>
      </c>
    </row>
    <row r="77" spans="1:11" ht="15" customHeight="1" x14ac:dyDescent="0.3">
      <c r="A77" s="28">
        <v>0.33</v>
      </c>
      <c r="B77" s="29">
        <v>0.42501673927986727</v>
      </c>
      <c r="C77" s="29">
        <v>0.68713869132399574</v>
      </c>
      <c r="D77" s="29">
        <v>3.6745784556247987</v>
      </c>
      <c r="E77" s="29">
        <v>3.3760331833914146</v>
      </c>
      <c r="F77" s="29">
        <v>12.405498801164498</v>
      </c>
      <c r="G77" s="30">
        <v>2.3198030235019598</v>
      </c>
      <c r="J77" s="24"/>
      <c r="K77" s="24">
        <f t="shared" si="5"/>
        <v>0.33</v>
      </c>
    </row>
    <row r="78" spans="1:11" ht="15" customHeight="1" x14ac:dyDescent="0.3">
      <c r="A78" s="28">
        <v>0.34</v>
      </c>
      <c r="B78" s="29">
        <v>0.41897446778074526</v>
      </c>
      <c r="C78" s="29">
        <v>0.69191998936830301</v>
      </c>
      <c r="D78" s="29">
        <v>3.6223386292327158</v>
      </c>
      <c r="E78" s="29">
        <v>3.3534640209256543</v>
      </c>
      <c r="F78" s="29">
        <v>12.147382264741063</v>
      </c>
      <c r="G78" s="30">
        <v>2.3203287897058655</v>
      </c>
      <c r="J78" s="24"/>
      <c r="K78" s="24">
        <f t="shared" si="5"/>
        <v>0.34</v>
      </c>
    </row>
    <row r="79" spans="1:11" ht="15" customHeight="1" x14ac:dyDescent="0.3">
      <c r="A79" s="28">
        <v>0.35</v>
      </c>
      <c r="B79" s="29">
        <v>0.41316553464675532</v>
      </c>
      <c r="C79" s="29">
        <v>0.69643449187361295</v>
      </c>
      <c r="D79" s="29">
        <v>3.5721161825109902</v>
      </c>
      <c r="E79" s="29">
        <v>3.331144054695732</v>
      </c>
      <c r="F79" s="29">
        <v>11.899233584053899</v>
      </c>
      <c r="G79" s="30">
        <v>2.3199236170898287</v>
      </c>
      <c r="J79" s="24"/>
      <c r="K79" s="24">
        <f t="shared" si="5"/>
        <v>0.35</v>
      </c>
    </row>
    <row r="80" spans="1:11" ht="15" customHeight="1" x14ac:dyDescent="0.3">
      <c r="A80" s="28">
        <v>0.36</v>
      </c>
      <c r="B80" s="29">
        <v>0.40757685370266106</v>
      </c>
      <c r="C80" s="29">
        <v>0.70070032506996671</v>
      </c>
      <c r="D80" s="29">
        <v>3.5237979759685256</v>
      </c>
      <c r="E80" s="29">
        <v>3.309069877832036</v>
      </c>
      <c r="F80" s="29">
        <v>11.660493737842945</v>
      </c>
      <c r="G80" s="30">
        <v>2.3186663390761426</v>
      </c>
      <c r="J80" s="24"/>
      <c r="K80" s="24">
        <f t="shared" si="5"/>
        <v>0.36</v>
      </c>
    </row>
    <row r="81" spans="1:11" ht="15" customHeight="1" x14ac:dyDescent="0.3">
      <c r="A81" s="28">
        <v>0.37</v>
      </c>
      <c r="B81" s="29">
        <v>0.40219627880642972</v>
      </c>
      <c r="C81" s="29">
        <v>0.70473415971899789</v>
      </c>
      <c r="D81" s="29">
        <v>3.4772789973841358</v>
      </c>
      <c r="E81" s="29">
        <v>3.2872380589013401</v>
      </c>
      <c r="F81" s="29">
        <v>11.430643861619425</v>
      </c>
      <c r="G81" s="30">
        <v>2.3166289512361455</v>
      </c>
      <c r="J81" s="24"/>
      <c r="K81" s="24">
        <f t="shared" si="5"/>
        <v>0.37</v>
      </c>
    </row>
    <row r="82" spans="1:11" ht="15" customHeight="1" x14ac:dyDescent="0.3">
      <c r="A82" s="28">
        <v>0.38</v>
      </c>
      <c r="B82" s="29">
        <v>0.39701252201407877</v>
      </c>
      <c r="C82" s="29">
        <v>0.70855134574633194</v>
      </c>
      <c r="D82" s="29">
        <v>3.4324616542822004</v>
      </c>
      <c r="E82" s="29">
        <v>3.2656451493958984</v>
      </c>
      <c r="F82" s="29">
        <v>11.209201751794087</v>
      </c>
      <c r="G82" s="30">
        <v>2.3138772653344453</v>
      </c>
      <c r="J82" s="24"/>
      <c r="K82" s="24">
        <f t="shared" si="5"/>
        <v>0.38</v>
      </c>
    </row>
    <row r="83" spans="1:11" ht="15" customHeight="1" x14ac:dyDescent="0.3">
      <c r="A83" s="28">
        <v>0.39</v>
      </c>
      <c r="B83" s="29">
        <v>0.3920150800945556</v>
      </c>
      <c r="C83" s="29">
        <v>0.71216603271964074</v>
      </c>
      <c r="D83" s="29">
        <v>3.3892551386004168</v>
      </c>
      <c r="E83" s="29">
        <v>3.2442876906123534</v>
      </c>
      <c r="F83" s="29">
        <v>10.995718726505999</v>
      </c>
      <c r="G83" s="30">
        <v>2.3104714936245649</v>
      </c>
      <c r="J83" s="24"/>
      <c r="K83" s="24">
        <f t="shared" si="5"/>
        <v>0.39</v>
      </c>
    </row>
    <row r="84" spans="1:11" ht="15" customHeight="1" x14ac:dyDescent="0.3">
      <c r="A84" s="28">
        <v>0.4</v>
      </c>
      <c r="B84" s="29">
        <v>0.38719416841978377</v>
      </c>
      <c r="C84" s="29">
        <v>0.71559127784690002</v>
      </c>
      <c r="D84" s="29">
        <v>3.3475748551212252</v>
      </c>
      <c r="E84" s="29">
        <v>3.2231622199576879</v>
      </c>
      <c r="F84" s="29">
        <v>10.789776801507063</v>
      </c>
      <c r="G84" s="30">
        <v>2.306466771687373</v>
      </c>
      <c r="J84" s="24"/>
      <c r="K84" s="24">
        <f t="shared" si="5"/>
        <v>0.4</v>
      </c>
    </row>
    <row r="85" spans="1:11" ht="15" customHeight="1" x14ac:dyDescent="0.3">
      <c r="A85" s="28">
        <v>0.41</v>
      </c>
      <c r="B85" s="29">
        <v>0.3825406613828321</v>
      </c>
      <c r="C85" s="29">
        <v>0.71883914294866724</v>
      </c>
      <c r="D85" s="29">
        <v>3.307341906343598</v>
      </c>
      <c r="E85" s="29">
        <v>3.2022652767178648</v>
      </c>
      <c r="F85" s="29">
        <v>10.590986144917974</v>
      </c>
      <c r="G85" s="30">
        <v>2.3019136270101468</v>
      </c>
      <c r="J85" s="24"/>
      <c r="K85" s="24">
        <f t="shared" si="5"/>
        <v>0.41</v>
      </c>
    </row>
    <row r="86" spans="1:11" ht="15" customHeight="1" x14ac:dyDescent="0.3">
      <c r="A86" s="28">
        <v>0.42</v>
      </c>
      <c r="B86" s="29">
        <v>0.37804603860644587</v>
      </c>
      <c r="C86" s="29">
        <v>0.72192078166957041</v>
      </c>
      <c r="D86" s="29">
        <v>3.2684826274167182</v>
      </c>
      <c r="E86" s="29">
        <v>3.1815934073231986</v>
      </c>
      <c r="F86" s="29">
        <v>10.398982779339436</v>
      </c>
      <c r="G86" s="30">
        <v>2.2968583995695155</v>
      </c>
      <c r="J86" s="24"/>
      <c r="K86" s="24">
        <f t="shared" si="5"/>
        <v>0.42</v>
      </c>
    </row>
    <row r="87" spans="1:11" ht="15" customHeight="1" x14ac:dyDescent="0.3">
      <c r="A87" s="28">
        <v>0.43</v>
      </c>
      <c r="B87" s="29">
        <v>0.37370233629784722</v>
      </c>
      <c r="C87" s="29">
        <v>0.72484651803252975</v>
      </c>
      <c r="D87" s="29">
        <v>3.2309281655668896</v>
      </c>
      <c r="E87" s="29">
        <v>3.1611431701429229</v>
      </c>
      <c r="F87" s="29">
        <v>10.213426503804175</v>
      </c>
      <c r="G87" s="30">
        <v>2.2913436198804105</v>
      </c>
      <c r="J87" s="24"/>
      <c r="K87" s="24">
        <f t="shared" si="5"/>
        <v>0.43</v>
      </c>
    </row>
    <row r="88" spans="1:11" ht="15" customHeight="1" x14ac:dyDescent="0.3">
      <c r="A88" s="28">
        <v>0.44</v>
      </c>
      <c r="B88" s="29">
        <v>0.36950210318622317</v>
      </c>
      <c r="C88" s="29">
        <v>0.72762591730038206</v>
      </c>
      <c r="D88" s="29">
        <v>3.194614099145114</v>
      </c>
      <c r="E88" s="29">
        <v>3.1409111398398122</v>
      </c>
      <c r="F88" s="29">
        <v>10.033999011494213</v>
      </c>
      <c r="G88" s="30">
        <v>2.285408349284932</v>
      </c>
      <c r="J88" s="24"/>
      <c r="K88" s="24">
        <f t="shared" si="5"/>
        <v>0.44</v>
      </c>
    </row>
    <row r="89" spans="1:11" ht="15" customHeight="1" x14ac:dyDescent="0.3">
      <c r="A89" s="28">
        <v>0.45</v>
      </c>
      <c r="B89" s="29">
        <v>0.36543836054868317</v>
      </c>
      <c r="C89" s="29">
        <v>0.73026784998995797</v>
      </c>
      <c r="D89" s="29">
        <v>3.1594800920224544</v>
      </c>
      <c r="E89" s="29">
        <v>3.1208939113142136</v>
      </c>
      <c r="F89" s="29">
        <v>9.8604021821113488</v>
      </c>
      <c r="G89" s="30">
        <v>2.2790884866621814</v>
      </c>
      <c r="J89" s="24"/>
      <c r="K89" s="24">
        <f t="shared" si="5"/>
        <v>0.45</v>
      </c>
    </row>
    <row r="90" spans="1:11" ht="15" customHeight="1" x14ac:dyDescent="0.3">
      <c r="A90" s="28">
        <v>0.46</v>
      </c>
      <c r="B90" s="29">
        <v>0.36150456589037933</v>
      </c>
      <c r="C90" s="29">
        <v>0.73278054978041451</v>
      </c>
      <c r="D90" s="29">
        <v>3.1254695795782919</v>
      </c>
      <c r="E90" s="29">
        <v>3.1010881032652815</v>
      </c>
      <c r="F90" s="29">
        <v>9.6923565303477819</v>
      </c>
      <c r="G90" s="30">
        <v>2.2724170452282357</v>
      </c>
      <c r="J90" s="24"/>
      <c r="K90" s="24">
        <f t="shared" si="5"/>
        <v>0.46</v>
      </c>
    </row>
    <row r="91" spans="1:11" ht="15" customHeight="1" x14ac:dyDescent="0.3">
      <c r="A91" s="28">
        <v>0.47</v>
      </c>
      <c r="B91" s="29">
        <v>0.35769457989634645</v>
      </c>
      <c r="C91" s="29">
        <v>0.73517166596827765</v>
      </c>
      <c r="D91" s="29">
        <v>3.0925294829749754</v>
      </c>
      <c r="E91" s="29">
        <v>3.0814903613957667</v>
      </c>
      <c r="F91" s="29">
        <v>9.5295997941196227</v>
      </c>
      <c r="G91" s="30">
        <v>2.2654244026525157</v>
      </c>
      <c r="J91" s="24"/>
      <c r="K91" s="24">
        <f t="shared" si="5"/>
        <v>0.47</v>
      </c>
    </row>
    <row r="92" spans="1:11" ht="15" customHeight="1" x14ac:dyDescent="0.3">
      <c r="A92" s="28">
        <v>0.48</v>
      </c>
      <c r="B92" s="29">
        <v>0.35400263631762141</v>
      </c>
      <c r="C92" s="29">
        <v>0.73744831104416164</v>
      </c>
      <c r="D92" s="29">
        <v>3.0606099488014471</v>
      </c>
      <c r="E92" s="29">
        <v>3.0620973612852325</v>
      </c>
      <c r="F92" s="29">
        <v>9.3718856481482433</v>
      </c>
      <c r="G92" s="30">
        <v>2.2581385273325787</v>
      </c>
      <c r="J92" s="24"/>
      <c r="K92" s="24">
        <f t="shared" si="5"/>
        <v>0.48</v>
      </c>
    </row>
    <row r="93" spans="1:11" ht="15" customHeight="1" x14ac:dyDescent="0.3">
      <c r="A93" s="28">
        <v>0.49</v>
      </c>
      <c r="B93" s="29">
        <v>0.35042331449334041</v>
      </c>
      <c r="C93" s="29">
        <v>0.73961710389878788</v>
      </c>
      <c r="D93" s="29">
        <v>3.029664111506813</v>
      </c>
      <c r="E93" s="29">
        <v>3.0429058109552307</v>
      </c>
      <c r="F93" s="29">
        <v>9.2189825301465955</v>
      </c>
      <c r="G93" s="30">
        <v>2.2505851833355002</v>
      </c>
      <c r="J93" s="24"/>
      <c r="K93" s="24">
        <f t="shared" si="5"/>
        <v>0.49</v>
      </c>
    </row>
    <row r="94" spans="1:11" ht="15" customHeight="1" x14ac:dyDescent="0.3">
      <c r="A94" s="28">
        <v>0.5</v>
      </c>
      <c r="B94" s="29">
        <v>0.34695151424461262</v>
      </c>
      <c r="C94" s="29">
        <v>0.7416842091072724</v>
      </c>
      <c r="D94" s="29">
        <v>2.9996478763396439</v>
      </c>
      <c r="E94" s="29">
        <v>3.023912453148585</v>
      </c>
      <c r="F94" s="29">
        <v>9.0706725683241558</v>
      </c>
      <c r="G94" s="30">
        <v>2.24278811622314</v>
      </c>
      <c r="J94" s="24"/>
      <c r="K94" s="24">
        <f t="shared" si="5"/>
        <v>0.5</v>
      </c>
    </row>
    <row r="95" spans="1:11" ht="15" customHeight="1" x14ac:dyDescent="0.3">
      <c r="A95" s="28">
        <v>0.51</v>
      </c>
      <c r="B95" s="29">
        <v>0.34358243290575535</v>
      </c>
      <c r="C95" s="29">
        <v>0.74365537268946535</v>
      </c>
      <c r="D95" s="29">
        <v>2.9705197207663159</v>
      </c>
      <c r="E95" s="29">
        <v>3.0051140673436554</v>
      </c>
      <c r="F95" s="29">
        <v>8.9267506001966002</v>
      </c>
      <c r="G95" s="30">
        <v>2.2347692217248012</v>
      </c>
      <c r="J95" s="24"/>
      <c r="K95" s="24">
        <f t="shared" si="5"/>
        <v>0.51</v>
      </c>
    </row>
    <row r="96" spans="1:11" ht="15" customHeight="1" x14ac:dyDescent="0.3">
      <c r="A96" s="28">
        <v>0.52</v>
      </c>
      <c r="B96" s="29">
        <v>0.34031154428453309</v>
      </c>
      <c r="C96" s="29">
        <v>0.74553595469935863</v>
      </c>
      <c r="D96" s="29">
        <v>2.9422405125669959</v>
      </c>
      <c r="E96" s="29">
        <v>2.9865074715232311</v>
      </c>
      <c r="F96" s="29">
        <v>8.7870232737996758</v>
      </c>
      <c r="G96" s="30">
        <v>2.2265486989988399</v>
      </c>
      <c r="J96" s="24"/>
      <c r="K96" s="24">
        <f t="shared" si="5"/>
        <v>0.52</v>
      </c>
    </row>
    <row r="97" spans="1:11" ht="15" customHeight="1" x14ac:dyDescent="0.3">
      <c r="A97" s="28">
        <v>0.53</v>
      </c>
      <c r="B97" s="29">
        <v>0.33713457936589597</v>
      </c>
      <c r="C97" s="29">
        <v>0.74733095895737112</v>
      </c>
      <c r="D97" s="29">
        <v>2.9147733430054399</v>
      </c>
      <c r="E97" s="29">
        <v>2.968089523716491</v>
      </c>
      <c r="F97" s="29">
        <v>8.6513082233825429</v>
      </c>
      <c r="G97" s="30">
        <v>2.2181451900303721</v>
      </c>
      <c r="J97" s="24"/>
      <c r="K97" s="24">
        <f t="shared" si="5"/>
        <v>0.53</v>
      </c>
    </row>
    <row r="98" spans="1:11" ht="15" customHeight="1" x14ac:dyDescent="0.3">
      <c r="A98" s="28">
        <v>0.54</v>
      </c>
      <c r="B98" s="29">
        <v>0.3340475085937758</v>
      </c>
      <c r="C98" s="29">
        <v>0.74904506020489758</v>
      </c>
      <c r="D98" s="29">
        <v>2.8880833736422518</v>
      </c>
      <c r="E98" s="29">
        <v>2.9498571233313493</v>
      </c>
      <c r="F98" s="29">
        <v>8.5194333125134314</v>
      </c>
      <c r="G98" s="30">
        <v>2.2095759065415765</v>
      </c>
      <c r="J98" s="24"/>
      <c r="K98" s="24">
        <f t="shared" si="5"/>
        <v>0.54</v>
      </c>
    </row>
    <row r="99" spans="1:11" ht="15" customHeight="1" x14ac:dyDescent="0.3">
      <c r="A99" s="28">
        <v>0.55000000000000004</v>
      </c>
      <c r="B99" s="29">
        <v>0.33104652558316783</v>
      </c>
      <c r="C99" s="29">
        <v>0.75068262893023951</v>
      </c>
      <c r="D99" s="29">
        <v>2.8621376955139963</v>
      </c>
      <c r="E99" s="29">
        <v>2.9318072122934336</v>
      </c>
      <c r="F99" s="29">
        <v>8.39123593828484</v>
      </c>
      <c r="G99" s="30">
        <v>2.2008567456410715</v>
      </c>
      <c r="J99" s="24"/>
      <c r="K99" s="24">
        <f t="shared" si="5"/>
        <v>0.55000000000000004</v>
      </c>
    </row>
    <row r="100" spans="1:11" ht="15" customHeight="1" x14ac:dyDescent="0.3">
      <c r="A100" s="28">
        <v>0.56000000000000005</v>
      </c>
      <c r="B100" s="29">
        <v>0.32812803213029046</v>
      </c>
      <c r="C100" s="29">
        <v>0.75224775408838829</v>
      </c>
      <c r="D100" s="29">
        <v>2.8369051995351415</v>
      </c>
      <c r="E100" s="29">
        <v>2.9139367760068922</v>
      </c>
      <c r="F100" s="29">
        <v>8.2665623909706198</v>
      </c>
      <c r="G100" s="30">
        <v>2.1920023953067438</v>
      </c>
      <c r="J100" s="24"/>
      <c r="K100" s="24">
        <f t="shared" si="5"/>
        <v>0.56000000000000005</v>
      </c>
    </row>
    <row r="101" spans="1:11" ht="15" customHeight="1" x14ac:dyDescent="0.3">
      <c r="A101" s="28">
        <v>0.56999999999999995</v>
      </c>
      <c r="B101" s="29">
        <v>0.32528862440236567</v>
      </c>
      <c r="C101" s="29">
        <v>0.75374426391359517</v>
      </c>
      <c r="D101" s="29">
        <v>2.8123564570986779</v>
      </c>
      <c r="E101" s="29">
        <v>2.8962428441512666</v>
      </c>
      <c r="F101" s="29">
        <v>8.145267264074656</v>
      </c>
      <c r="G101" s="30">
        <v>2.1830264306798139</v>
      </c>
      <c r="J101" s="24"/>
      <c r="K101" s="24">
        <f t="shared" si="5"/>
        <v>0.56999999999999995</v>
      </c>
    </row>
    <row r="102" spans="1:11" ht="15" customHeight="1" x14ac:dyDescent="0.3">
      <c r="A102" s="28">
        <v>0.57999999999999996</v>
      </c>
      <c r="B102" s="29">
        <v>0.32252508020073262</v>
      </c>
      <c r="C102" s="29">
        <v>0.75517574500289719</v>
      </c>
      <c r="D102" s="29">
        <v>2.7884636099564837</v>
      </c>
      <c r="E102" s="29">
        <v>2.8787224913277503</v>
      </c>
      <c r="F102" s="29">
        <v>8.0272129102307002</v>
      </c>
      <c r="G102" s="30">
        <v>2.1739414020450298</v>
      </c>
      <c r="J102" s="24"/>
      <c r="K102" s="24">
        <f t="shared" si="5"/>
        <v>0.57999999999999996</v>
      </c>
    </row>
    <row r="103" spans="1:11" ht="15" customHeight="1" x14ac:dyDescent="0.3">
      <c r="A103" s="28">
        <v>0.59</v>
      </c>
      <c r="B103" s="29">
        <v>0.31983434720177595</v>
      </c>
      <c r="C103" s="29">
        <v>0.75654555983034633</v>
      </c>
      <c r="D103" s="29">
        <v>2.7652002685536075</v>
      </c>
      <c r="E103" s="29">
        <v>2.8613728375672429</v>
      </c>
      <c r="F103" s="29">
        <v>7.9122689388729395</v>
      </c>
      <c r="G103" s="30">
        <v>2.1647589152806566</v>
      </c>
      <c r="J103" s="24"/>
      <c r="K103" s="24">
        <f t="shared" si="5"/>
        <v>0.59</v>
      </c>
    </row>
    <row r="104" spans="1:11" ht="15" customHeight="1" x14ac:dyDescent="0.3">
      <c r="A104" s="28">
        <v>0.6</v>
      </c>
      <c r="B104" s="29">
        <v>0.31721353208972275</v>
      </c>
      <c r="C104" s="29">
        <v>0.75785686283539866</v>
      </c>
      <c r="D104" s="29">
        <v>2.7425414180734027</v>
      </c>
      <c r="E104" s="29">
        <v>2.8441910487118114</v>
      </c>
      <c r="F104" s="29">
        <v>7.8003117520057694</v>
      </c>
      <c r="G104" s="30">
        <v>2.1554897054812558</v>
      </c>
      <c r="J104" s="24"/>
      <c r="K104" s="24">
        <f t="shared" si="5"/>
        <v>0.6</v>
      </c>
    </row>
    <row r="105" spans="1:11" ht="15" customHeight="1" x14ac:dyDescent="0.3">
      <c r="A105" s="28">
        <v>0.61</v>
      </c>
      <c r="B105" s="29">
        <v>0.31465989050385901</v>
      </c>
      <c r="C105" s="29">
        <v>0.75911261521442286</v>
      </c>
      <c r="D105" s="29">
        <v>2.7204633315239142</v>
      </c>
      <c r="E105" s="29">
        <v>2.8271743366803799</v>
      </c>
      <c r="F105" s="29">
        <v>7.6912241147644185</v>
      </c>
      <c r="G105" s="30">
        <v>2.1461437043845444</v>
      </c>
      <c r="J105" s="24"/>
      <c r="K105" s="24">
        <f t="shared" si="5"/>
        <v>0.61</v>
      </c>
    </row>
    <row r="106" spans="1:11" ht="15" customHeight="1" x14ac:dyDescent="0.3">
      <c r="A106" s="28">
        <v>0.62</v>
      </c>
      <c r="B106" s="29">
        <v>0.31217081773028965</v>
      </c>
      <c r="C106" s="29">
        <v>0.76031559853142527</v>
      </c>
      <c r="D106" s="29">
        <v>2.6989434892613779</v>
      </c>
      <c r="E106" s="29">
        <v>2.8103199596287132</v>
      </c>
      <c r="F106" s="29">
        <v>7.584894757781214</v>
      </c>
      <c r="G106" s="30">
        <v>2.1367301021699161</v>
      </c>
      <c r="J106" s="24"/>
      <c r="K106" s="24">
        <f t="shared" si="5"/>
        <v>0.62</v>
      </c>
    </row>
    <row r="107" spans="1:11" ht="15" customHeight="1" x14ac:dyDescent="0.3">
      <c r="A107" s="28">
        <v>0.630000000000001</v>
      </c>
      <c r="B107" s="29">
        <v>0.30974384007510924</v>
      </c>
      <c r="C107" s="29">
        <v>0.76146842725260622</v>
      </c>
      <c r="D107" s="29">
        <v>2.6779605044050183</v>
      </c>
      <c r="E107" s="29">
        <v>2.7936252220130862</v>
      </c>
      <c r="F107" s="29">
        <v>7.4812180086607452</v>
      </c>
      <c r="G107" s="30">
        <v>2.1272574041395176</v>
      </c>
      <c r="J107" s="24"/>
      <c r="K107" s="24">
        <f t="shared" si="5"/>
        <v>0.630000000000001</v>
      </c>
    </row>
    <row r="108" spans="1:11" ht="15" customHeight="1" x14ac:dyDescent="0.3">
      <c r="A108" s="28">
        <v>0.64000000000000101</v>
      </c>
      <c r="B108" s="29">
        <v>0.30737660686187851</v>
      </c>
      <c r="C108" s="29">
        <v>0.76257356029915868</v>
      </c>
      <c r="D108" s="29">
        <v>2.6574940536494185</v>
      </c>
      <c r="E108" s="29">
        <v>2.7770874745663563</v>
      </c>
      <c r="F108" s="29">
        <v>7.3800934501243711</v>
      </c>
      <c r="G108" s="30">
        <v>2.1177334827422656</v>
      </c>
      <c r="J108" s="24"/>
      <c r="K108" s="24">
        <f t="shared" ref="K108:K171" si="6">A108</f>
        <v>0.64000000000000101</v>
      </c>
    </row>
    <row r="109" spans="1:11" ht="15" customHeight="1" x14ac:dyDescent="0.3">
      <c r="A109" s="28">
        <v>0.65000000000000102</v>
      </c>
      <c r="B109" s="29">
        <v>0.30506688300168533</v>
      </c>
      <c r="C109" s="29">
        <v>0.76363331170357784</v>
      </c>
      <c r="D109" s="29">
        <v>2.6375248130272984</v>
      </c>
      <c r="E109" s="29">
        <v>2.7607041141945463</v>
      </c>
      <c r="F109" s="29">
        <v>7.2814256026146635</v>
      </c>
      <c r="G109" s="30">
        <v>2.1081656253560737</v>
      </c>
      <c r="J109" s="24"/>
      <c r="K109" s="24">
        <f t="shared" si="6"/>
        <v>0.65000000000000102</v>
      </c>
    </row>
    <row r="110" spans="1:11" ht="15" customHeight="1" x14ac:dyDescent="0.3">
      <c r="A110" s="28">
        <v>0.66000000000000103</v>
      </c>
      <c r="B110" s="29">
        <v>0.30281254208889358</v>
      </c>
      <c r="C110" s="29">
        <v>0.76464986044659866</v>
      </c>
      <c r="D110" s="29">
        <v>2.6180343982172518</v>
      </c>
      <c r="E110" s="29">
        <v>2.7444725838014707</v>
      </c>
      <c r="F110" s="29">
        <v>7.1851236293564282</v>
      </c>
      <c r="G110" s="30">
        <v>2.0985605782033105</v>
      </c>
      <c r="J110" s="24"/>
      <c r="K110" s="24">
        <f t="shared" si="6"/>
        <v>0.66000000000000103</v>
      </c>
    </row>
    <row r="111" spans="1:11" ht="15" customHeight="1" x14ac:dyDescent="0.3">
      <c r="A111" s="28">
        <v>0.67000000000000104</v>
      </c>
      <c r="B111" s="29">
        <v>0.30061155998000538</v>
      </c>
      <c r="C111" s="29">
        <v>0.76562525954456939</v>
      </c>
      <c r="D111" s="29">
        <v>2.599005309028342</v>
      </c>
      <c r="E111" s="29">
        <v>2.7283903720483935</v>
      </c>
      <c r="F111" s="29">
        <v>7.0911010620555874</v>
      </c>
      <c r="G111" s="30">
        <v>2.0889245867384556</v>
      </c>
      <c r="J111" s="24"/>
      <c r="K111" s="24">
        <f t="shared" si="6"/>
        <v>0.67000000000000104</v>
      </c>
    </row>
    <row r="112" spans="1:11" ht="15" customHeight="1" x14ac:dyDescent="0.3">
      <c r="A112" s="28">
        <v>0.68000000000000105</v>
      </c>
      <c r="B112" s="29">
        <v>0.29846200881694057</v>
      </c>
      <c r="C112" s="29">
        <v>0.76656144445053243</v>
      </c>
      <c r="D112" s="29">
        <v>2.5804208777270139</v>
      </c>
      <c r="E112" s="29">
        <v>2.712455013055175</v>
      </c>
      <c r="F112" s="29">
        <v>6.9992755455828739</v>
      </c>
      <c r="G112" s="30">
        <v>2.0792634328146629</v>
      </c>
      <c r="J112" s="24"/>
      <c r="K112" s="24">
        <f t="shared" si="6"/>
        <v>0.68000000000000105</v>
      </c>
    </row>
    <row r="113" spans="1:11" ht="15" customHeight="1" x14ac:dyDescent="0.3">
      <c r="A113" s="28">
        <v>0.69000000000000095</v>
      </c>
      <c r="B113" s="29">
        <v>0.29636205145952887</v>
      </c>
      <c r="C113" s="29">
        <v>0.76746024082639375</v>
      </c>
      <c r="D113" s="29">
        <v>2.562265220901943</v>
      </c>
      <c r="E113" s="29">
        <v>2.6966640860489188</v>
      </c>
      <c r="F113" s="29">
        <v>6.9095686001384689</v>
      </c>
      <c r="G113" s="30">
        <v>2.0695824689069902</v>
      </c>
      <c r="J113" s="24"/>
      <c r="K113" s="24">
        <f t="shared" si="6"/>
        <v>0.69000000000000095</v>
      </c>
    </row>
    <row r="114" spans="1:11" ht="15" customHeight="1" x14ac:dyDescent="0.3">
      <c r="A114" s="28">
        <v>0.70000000000000095</v>
      </c>
      <c r="B114" s="29">
        <v>0.2943099362951469</v>
      </c>
      <c r="C114" s="29">
        <v>0.76832337173830079</v>
      </c>
      <c r="D114" s="29">
        <v>2.5445231945895781</v>
      </c>
      <c r="E114" s="29">
        <v>2.6810152149656652</v>
      </c>
      <c r="F114" s="29">
        <v>6.8219053995276981</v>
      </c>
      <c r="G114" s="30">
        <v>2.0598866496441053</v>
      </c>
      <c r="J114" s="24"/>
      <c r="K114" s="24">
        <f t="shared" si="6"/>
        <v>0.70000000000000095</v>
      </c>
    </row>
    <row r="115" spans="1:11" ht="15" customHeight="1" x14ac:dyDescent="0.3">
      <c r="A115" s="28">
        <v>0.71000000000000096</v>
      </c>
      <c r="B115" s="29">
        <v>0.29230399239626098</v>
      </c>
      <c r="C115" s="29">
        <v>0.76915246432259832</v>
      </c>
      <c r="D115" s="29">
        <v>2.52718035240758</v>
      </c>
      <c r="E115" s="29">
        <v>2.6655060680102549</v>
      </c>
      <c r="F115" s="29">
        <v>6.7362145642986979</v>
      </c>
      <c r="G115" s="30">
        <v>2.0501805608769268</v>
      </c>
      <c r="J115" s="24"/>
      <c r="K115" s="24">
        <f t="shared" si="6"/>
        <v>0.71000000000000096</v>
      </c>
    </row>
    <row r="116" spans="1:11" ht="15" customHeight="1" x14ac:dyDescent="0.3">
      <c r="A116" s="28">
        <v>0.72000000000000097</v>
      </c>
      <c r="B116" s="29">
        <v>0.29034262499918528</v>
      </c>
      <c r="C116" s="29">
        <v>0.7699490559654496</v>
      </c>
      <c r="D116" s="29">
        <v>2.5102229064654016</v>
      </c>
      <c r="E116" s="29">
        <v>2.6501343571790983</v>
      </c>
      <c r="F116" s="29">
        <v>6.652427968601935</v>
      </c>
      <c r="G116" s="30">
        <v>2.0404684464916505</v>
      </c>
      <c r="J116" s="24"/>
      <c r="K116" s="24">
        <f t="shared" si="6"/>
        <v>0.72000000000000097</v>
      </c>
    </row>
    <row r="117" spans="1:11" ht="15" customHeight="1" x14ac:dyDescent="0.3">
      <c r="A117" s="28">
        <v>0.73000000000000098</v>
      </c>
      <c r="B117" s="29">
        <v>0.28842431127967422</v>
      </c>
      <c r="C117" s="29">
        <v>0.77071460003537218</v>
      </c>
      <c r="D117" s="29">
        <v>2.4936376908412163</v>
      </c>
      <c r="E117" s="29">
        <v>2.6348978377502346</v>
      </c>
      <c r="F117" s="29">
        <v>6.5704805597300089</v>
      </c>
      <c r="G117" s="30">
        <v>2.0307542331557391</v>
      </c>
      <c r="J117" s="24"/>
      <c r="K117" s="24">
        <f t="shared" si="6"/>
        <v>0.73000000000000098</v>
      </c>
    </row>
    <row r="118" spans="1:11" ht="15" customHeight="1" x14ac:dyDescent="0.3">
      <c r="A118" s="28">
        <v>0.74000000000000099</v>
      </c>
      <c r="B118" s="29">
        <v>0.28654759640304583</v>
      </c>
      <c r="C118" s="29">
        <v>0.77145047120445087</v>
      </c>
      <c r="D118" s="29">
        <v>2.4774121274323639</v>
      </c>
      <c r="E118" s="29">
        <v>2.6197943077447063</v>
      </c>
      <c r="F118" s="29">
        <v>6.4903101893850099</v>
      </c>
      <c r="G118" s="30">
        <v>2.0210415531683918</v>
      </c>
      <c r="J118" s="24"/>
      <c r="K118" s="24">
        <f t="shared" si="6"/>
        <v>0.74000000000000099</v>
      </c>
    </row>
    <row r="119" spans="1:11" ht="15" customHeight="1" x14ac:dyDescent="0.3">
      <c r="A119" s="28">
        <v>0.750000000000001</v>
      </c>
      <c r="B119" s="29">
        <v>0.28471108982841986</v>
      </c>
      <c r="C119" s="29">
        <v>0.77215797039086109</v>
      </c>
      <c r="D119" s="29">
        <v>2.4615341940028048</v>
      </c>
      <c r="E119" s="29">
        <v>2.6048216073629531</v>
      </c>
      <c r="F119" s="29">
        <v>6.4118574558012575</v>
      </c>
      <c r="G119" s="30">
        <v>2.0113337655716381</v>
      </c>
      <c r="J119" s="24"/>
      <c r="K119" s="24">
        <f t="shared" si="6"/>
        <v>0.750000000000001</v>
      </c>
    </row>
    <row r="120" spans="1:11" ht="15" customHeight="1" x14ac:dyDescent="0.3">
      <c r="A120" s="28">
        <v>0.76000000000000101</v>
      </c>
      <c r="B120" s="29">
        <v>0.28291346184836447</v>
      </c>
      <c r="C120" s="29">
        <v>0.77283832935248309</v>
      </c>
      <c r="D120" s="29">
        <v>2.4459923942658532</v>
      </c>
      <c r="E120" s="29">
        <v>2.5899776183996521</v>
      </c>
      <c r="F120" s="29">
        <v>6.3350655559243378</v>
      </c>
      <c r="G120" s="30">
        <v>2.0016339756643102</v>
      </c>
      <c r="J120" s="24"/>
      <c r="K120" s="24">
        <f t="shared" si="6"/>
        <v>0.76000000000000101</v>
      </c>
    </row>
    <row r="121" spans="1:11" ht="15" customHeight="1" x14ac:dyDescent="0.3">
      <c r="A121" s="28">
        <v>0.77000000000000102</v>
      </c>
      <c r="B121" s="29">
        <v>0.28115344034679318</v>
      </c>
      <c r="C121" s="29">
        <v>0.77349271495883754</v>
      </c>
      <c r="D121" s="29">
        <v>2.4307757298538393</v>
      </c>
      <c r="E121" s="29">
        <v>2.5752602636401374</v>
      </c>
      <c r="F121" s="29">
        <v>6.2598801469134449</v>
      </c>
      <c r="G121" s="30">
        <v>1.9919450530486216</v>
      </c>
      <c r="J121" s="24"/>
      <c r="K121" s="24">
        <f t="shared" si="6"/>
        <v>0.77000000000000102</v>
      </c>
    </row>
    <row r="122" spans="1:11" ht="15" customHeight="1" x14ac:dyDescent="0.3">
      <c r="A122" s="28">
        <v>0.78000000000000103</v>
      </c>
      <c r="B122" s="29">
        <v>0.27942980775936099</v>
      </c>
      <c r="C122" s="29">
        <v>0.77412223316622819</v>
      </c>
      <c r="D122" s="29">
        <v>2.4158736740385254</v>
      </c>
      <c r="E122" s="29">
        <v>2.5606675062412796</v>
      </c>
      <c r="F122" s="29">
        <v>6.186249216294188</v>
      </c>
      <c r="G122" s="30">
        <v>1.9822696483276958</v>
      </c>
      <c r="J122" s="24"/>
      <c r="K122" s="24">
        <f t="shared" si="6"/>
        <v>0.78000000000000103</v>
      </c>
    </row>
    <row r="123" spans="1:11" ht="15" customHeight="1" x14ac:dyDescent="0.3">
      <c r="A123" s="28">
        <v>0.79000000000000103</v>
      </c>
      <c r="B123" s="29">
        <v>0.27774139822188904</v>
      </c>
      <c r="C123" s="29">
        <v>0.77472793271887752</v>
      </c>
      <c r="D123" s="29">
        <v>2.4012761470771689</v>
      </c>
      <c r="E123" s="29">
        <v>2.5461973490994758</v>
      </c>
      <c r="F123" s="29">
        <v>6.1141229601436899</v>
      </c>
      <c r="G123" s="30">
        <v>1.9726102085621231</v>
      </c>
      <c r="J123" s="24"/>
      <c r="K123" s="24">
        <f t="shared" si="6"/>
        <v>0.79000000000000103</v>
      </c>
    </row>
    <row r="124" spans="1:11" ht="15" customHeight="1" x14ac:dyDescent="0.3">
      <c r="A124" s="28">
        <v>0.80000000000000104</v>
      </c>
      <c r="B124" s="29">
        <v>0.27608709489350874</v>
      </c>
      <c r="C124" s="29">
        <v>0.77531080859692192</v>
      </c>
      <c r="D124" s="29">
        <v>2.3869734930691537</v>
      </c>
      <c r="E124" s="29">
        <v>2.531847834208151</v>
      </c>
      <c r="F124" s="29">
        <v>6.043453668739402</v>
      </c>
      <c r="G124" s="30">
        <v>1.9629689915842869</v>
      </c>
      <c r="J124" s="24"/>
      <c r="K124" s="24">
        <f t="shared" si="6"/>
        <v>0.80000000000000104</v>
      </c>
    </row>
    <row r="125" spans="1:11" ht="15" customHeight="1" x14ac:dyDescent="0.3">
      <c r="A125" s="28">
        <v>0.81000000000000105</v>
      </c>
      <c r="B125" s="29">
        <v>0.27446582744227777</v>
      </c>
      <c r="C125" s="29">
        <v>0.77587180523039667</v>
      </c>
      <c r="D125" s="29">
        <v>2.372956458217319</v>
      </c>
      <c r="E125" s="29">
        <v>2.5176170420070099</v>
      </c>
      <c r="F125" s="29">
        <v>5.9741956191485182</v>
      </c>
      <c r="G125" s="30">
        <v>1.9533480792607902</v>
      </c>
      <c r="J125" s="24"/>
      <c r="K125" s="24">
        <f t="shared" si="6"/>
        <v>0.81000000000000105</v>
      </c>
    </row>
    <row r="126" spans="1:11" ht="15" customHeight="1" x14ac:dyDescent="0.3">
      <c r="A126" s="28">
        <v>0.82000000000000095</v>
      </c>
      <c r="B126" s="29">
        <v>0.27287656968198415</v>
      </c>
      <c r="C126" s="29">
        <v>0.77641181949675198</v>
      </c>
      <c r="D126" s="29">
        <v>2.3592161703964103</v>
      </c>
      <c r="E126" s="29">
        <v>2.503503090725022</v>
      </c>
      <c r="F126" s="29">
        <v>5.9063049742758631</v>
      </c>
      <c r="G126" s="30">
        <v>1.9437493897855564</v>
      </c>
      <c r="J126" s="24"/>
      <c r="K126" s="24">
        <f t="shared" si="6"/>
        <v>0.82000000000000095</v>
      </c>
    </row>
    <row r="127" spans="1:11" ht="15" customHeight="1" x14ac:dyDescent="0.3">
      <c r="A127" s="28">
        <v>0.83000000000000096</v>
      </c>
      <c r="B127" s="29">
        <v>0.27131833734974009</v>
      </c>
      <c r="C127" s="29">
        <v>0.77693170351801299</v>
      </c>
      <c r="D127" s="29">
        <v>2.3457441199387654</v>
      </c>
      <c r="E127" s="29">
        <v>2.4895041357190233</v>
      </c>
      <c r="F127" s="29">
        <v>5.8397396879261372</v>
      </c>
      <c r="G127" s="30">
        <v>1.9341746890793194</v>
      </c>
      <c r="J127" s="24"/>
      <c r="K127" s="24">
        <f t="shared" si="6"/>
        <v>0.83000000000000096</v>
      </c>
    </row>
    <row r="128" spans="1:11" ht="15" customHeight="1" x14ac:dyDescent="0.3">
      <c r="A128" s="28">
        <v>0.84000000000000097</v>
      </c>
      <c r="B128" s="29">
        <v>0.26979018601476701</v>
      </c>
      <c r="C128" s="29">
        <v>0.77743226727237369</v>
      </c>
      <c r="D128" s="29">
        <v>2.3325321415542417</v>
      </c>
      <c r="E128" s="29">
        <v>2.475618368809577</v>
      </c>
      <c r="F128" s="29">
        <v>5.774459415470421</v>
      </c>
      <c r="G128" s="30">
        <v>1.9246256013647649</v>
      </c>
      <c r="J128" s="24"/>
      <c r="K128" s="24">
        <f t="shared" si="6"/>
        <v>0.84000000000000097</v>
      </c>
    </row>
    <row r="129" spans="1:11" ht="15" customHeight="1" x14ac:dyDescent="0.3">
      <c r="A129" s="28">
        <v>0.85000000000000098</v>
      </c>
      <c r="B129" s="29">
        <v>0.26829120910951282</v>
      </c>
      <c r="C129" s="29">
        <v>0.77791428103383009</v>
      </c>
      <c r="D129" s="29">
        <v>2.3195723973077942</v>
      </c>
      <c r="E129" s="29">
        <v>2.4618440176156313</v>
      </c>
      <c r="F129" s="29">
        <v>5.7104254297385415</v>
      </c>
      <c r="G129" s="30">
        <v>1.9151036189808996</v>
      </c>
      <c r="J129" s="24"/>
      <c r="K129" s="24">
        <f t="shared" si="6"/>
        <v>0.85000000000000098</v>
      </c>
    </row>
    <row r="130" spans="1:11" ht="15" customHeight="1" x14ac:dyDescent="0.3">
      <c r="A130" s="28">
        <v>0.86000000000000099</v>
      </c>
      <c r="B130" s="29">
        <v>0.26682053607491346</v>
      </c>
      <c r="C130" s="29">
        <v>0.77837847765236101</v>
      </c>
      <c r="D130" s="29">
        <v>2.3068573605839147</v>
      </c>
      <c r="E130" s="29">
        <v>2.4481793448893483</v>
      </c>
      <c r="F130" s="29">
        <v>5.6476005417874999</v>
      </c>
      <c r="G130" s="30">
        <v>1.9056101114949253</v>
      </c>
      <c r="J130" s="24"/>
      <c r="K130" s="24">
        <f t="shared" si="6"/>
        <v>0.86000000000000099</v>
      </c>
    </row>
    <row r="131" spans="1:11" ht="15" customHeight="1" x14ac:dyDescent="0.3">
      <c r="A131" s="28">
        <v>0.87000000000000099</v>
      </c>
      <c r="B131" s="29">
        <v>0.26537733061222946</v>
      </c>
      <c r="C131" s="29">
        <v>0.77882555468617654</v>
      </c>
      <c r="D131" s="29">
        <v>2.2943798009724881</v>
      </c>
      <c r="E131" s="29">
        <v>2.4346226478523629</v>
      </c>
      <c r="F131" s="29">
        <v>5.5859490262226164</v>
      </c>
      <c r="G131" s="30">
        <v>1.8961463341651443</v>
      </c>
      <c r="J131" s="24"/>
      <c r="K131" s="24">
        <f t="shared" si="6"/>
        <v>0.87000000000000099</v>
      </c>
    </row>
    <row r="132" spans="1:11" ht="15" customHeight="1" x14ac:dyDescent="0.3">
      <c r="A132" s="28">
        <v>0.880000000000001</v>
      </c>
      <c r="B132" s="29">
        <v>0.26396078903444964</v>
      </c>
      <c r="C132" s="29">
        <v>0.77925617639663614</v>
      </c>
      <c r="D132" s="29">
        <v>2.2821327700154814</v>
      </c>
      <c r="E132" s="29">
        <v>2.4211722575345869</v>
      </c>
      <c r="F132" s="29">
        <v>5.5254365507720431</v>
      </c>
      <c r="G132" s="30">
        <v>1.8867134358040138</v>
      </c>
      <c r="J132" s="24"/>
      <c r="K132" s="24">
        <f t="shared" si="6"/>
        <v>0.880000000000001</v>
      </c>
    </row>
    <row r="133" spans="1:11" ht="15" customHeight="1" x14ac:dyDescent="0.3">
      <c r="A133" s="28">
        <v>0.89000000000000101</v>
      </c>
      <c r="B133" s="29">
        <v>0.2625701387107745</v>
      </c>
      <c r="C133" s="29">
        <v>0.7796709756156176</v>
      </c>
      <c r="D133" s="29">
        <v>2.2701095877583719</v>
      </c>
      <c r="E133" s="29">
        <v>2.4078265381165758</v>
      </c>
      <c r="F133" s="29">
        <v>5.4660301098374875</v>
      </c>
      <c r="G133" s="30">
        <v>1.8773124660865257</v>
      </c>
      <c r="J133" s="24"/>
      <c r="K133" s="24">
        <f t="shared" si="6"/>
        <v>0.89000000000000101</v>
      </c>
    </row>
    <row r="134" spans="1:11" ht="15" customHeight="1" x14ac:dyDescent="0.3">
      <c r="A134" s="28">
        <v>0.90000000000000102</v>
      </c>
      <c r="B134" s="29">
        <v>0.26120463659816773</v>
      </c>
      <c r="C134" s="29">
        <v>0.78007055549435178</v>
      </c>
      <c r="D134" s="29">
        <v>2.2583038300543419</v>
      </c>
      <c r="E134" s="29">
        <v>2.3945838862763718</v>
      </c>
      <c r="F134" s="29">
        <v>5.4076979617643417</v>
      </c>
      <c r="G134" s="30">
        <v>1.8679443823454329</v>
      </c>
      <c r="J134" s="24"/>
      <c r="K134" s="24">
        <f t="shared" si="6"/>
        <v>0.90000000000000102</v>
      </c>
    </row>
    <row r="135" spans="1:11" ht="15" customHeight="1" x14ac:dyDescent="0.3">
      <c r="A135" s="28">
        <v>0.91000000000000103</v>
      </c>
      <c r="B135" s="29">
        <v>0.25986356785439985</v>
      </c>
      <c r="C135" s="29">
        <v>0.78045549114204249</v>
      </c>
      <c r="D135" s="29">
        <v>2.2467093165730354</v>
      </c>
      <c r="E135" s="29">
        <v>2.3814427305416497</v>
      </c>
      <c r="F135" s="29">
        <v>5.3504095695930518</v>
      </c>
      <c r="G135" s="30">
        <v>1.8586100558915299</v>
      </c>
      <c r="J135" s="24"/>
      <c r="K135" s="24">
        <f t="shared" si="6"/>
        <v>0.91000000000000103</v>
      </c>
    </row>
    <row r="136" spans="1:11" ht="15" customHeight="1" x14ac:dyDescent="0.3">
      <c r="A136" s="28">
        <v>0.92000000000000104</v>
      </c>
      <c r="B136" s="29">
        <v>0.25854624452740771</v>
      </c>
      <c r="C136" s="29">
        <v>0.78082633116195332</v>
      </c>
      <c r="D136" s="29">
        <v>2.2353200994691185</v>
      </c>
      <c r="E136" s="29">
        <v>2.3684015306478599</v>
      </c>
      <c r="F136" s="29">
        <v>5.2941355450705867</v>
      </c>
      <c r="G136" s="30">
        <v>1.8493102778941231</v>
      </c>
      <c r="J136" s="24"/>
      <c r="K136" s="24">
        <f t="shared" si="6"/>
        <v>0.92000000000000104</v>
      </c>
    </row>
    <row r="137" spans="1:11" ht="15" customHeight="1" x14ac:dyDescent="0.3">
      <c r="A137" s="28">
        <v>0.93000000000000105</v>
      </c>
      <c r="B137" s="29">
        <v>0.25725200431616829</v>
      </c>
      <c r="C137" s="29">
        <v>0.78118359909206092</v>
      </c>
      <c r="D137" s="29">
        <v>2.2241304526691321</v>
      </c>
      <c r="E137" s="29">
        <v>2.3554587769030406</v>
      </c>
      <c r="F137" s="29">
        <v>5.2388475957168401</v>
      </c>
      <c r="G137" s="30">
        <v>1.8400457648541011</v>
      </c>
      <c r="J137" s="24"/>
      <c r="K137" s="24">
        <f t="shared" si="6"/>
        <v>0.93000000000000105</v>
      </c>
    </row>
    <row r="138" spans="1:11" ht="15" customHeight="1" x14ac:dyDescent="0.3">
      <c r="A138" s="28">
        <v>0.94000000000000095</v>
      </c>
      <c r="B138" s="29">
        <v>0.25598020939862115</v>
      </c>
      <c r="C138" s="29">
        <v>0.78152779475683642</v>
      </c>
      <c r="D138" s="29">
        <v>2.2131348617380309</v>
      </c>
      <c r="E138" s="29">
        <v>2.3426129895598757</v>
      </c>
      <c r="F138" s="29">
        <v>5.1845184747553104</v>
      </c>
      <c r="G138" s="30">
        <v>1.8308171636994495</v>
      </c>
      <c r="J138" s="24"/>
      <c r="K138" s="24">
        <f t="shared" si="6"/>
        <v>0.94000000000000095</v>
      </c>
    </row>
    <row r="139" spans="1:11" ht="15" customHeight="1" x14ac:dyDescent="0.3">
      <c r="A139" s="28">
        <v>0.95000000000000095</v>
      </c>
      <c r="B139" s="29">
        <v>0.25473024532248617</v>
      </c>
      <c r="C139" s="29">
        <v>0.78185939553621864</v>
      </c>
      <c r="D139" s="29">
        <v>2.2023280142894981</v>
      </c>
      <c r="E139" s="29">
        <v>2.3298627181954612</v>
      </c>
      <c r="F139" s="29">
        <v>5.1311219337305429</v>
      </c>
      <c r="G139" s="30">
        <v>1.8216250565306746</v>
      </c>
      <c r="J139" s="24"/>
      <c r="K139" s="24">
        <f t="shared" si="6"/>
        <v>0.95000000000000095</v>
      </c>
    </row>
    <row r="140" spans="1:11" ht="15" customHeight="1" x14ac:dyDescent="0.3">
      <c r="A140" s="28">
        <v>0.96000000000000096</v>
      </c>
      <c r="B140" s="29">
        <v>0.25350151995511871</v>
      </c>
      <c r="C140" s="29">
        <v>0.7821788575574028</v>
      </c>
      <c r="D140" s="29">
        <v>2.1917047909066771</v>
      </c>
      <c r="E140" s="29">
        <v>2.3172065410992562</v>
      </c>
      <c r="F140" s="29">
        <v>5.0786326776475299</v>
      </c>
      <c r="G140" s="30">
        <v>1.8124699650415572</v>
      </c>
      <c r="J140" s="24"/>
      <c r="K140" s="24">
        <f t="shared" si="6"/>
        <v>0.96000000000000096</v>
      </c>
    </row>
    <row r="141" spans="1:11" ht="15" customHeight="1" x14ac:dyDescent="0.3">
      <c r="A141" s="28">
        <v>0.97000000000000097</v>
      </c>
      <c r="B141" s="29">
        <v>0.25229346248880324</v>
      </c>
      <c r="C141" s="29">
        <v>0.78248661681464149</v>
      </c>
      <c r="D141" s="29">
        <v>2.1812602565422168</v>
      </c>
      <c r="E141" s="29">
        <v>2.304643064669587</v>
      </c>
      <c r="F141" s="29">
        <v>5.0270263224794238</v>
      </c>
      <c r="G141" s="30">
        <v>1.8033523546386321</v>
      </c>
      <c r="J141" s="24"/>
      <c r="K141" s="24">
        <f t="shared" si="6"/>
        <v>0.97000000000000097</v>
      </c>
    </row>
    <row r="142" spans="1:11" ht="15" customHeight="1" x14ac:dyDescent="0.3">
      <c r="A142" s="28">
        <v>0.98000000000000098</v>
      </c>
      <c r="B142" s="29">
        <v>0.25110552249813711</v>
      </c>
      <c r="C142" s="29">
        <v>0.78278309022187265</v>
      </c>
      <c r="D142" s="29">
        <v>2.1709896523686654</v>
      </c>
      <c r="E142" s="29">
        <v>2.2921709228190057</v>
      </c>
      <c r="F142" s="29">
        <v>4.9762793549003961</v>
      </c>
      <c r="G142" s="30">
        <v>1.7942726382809828</v>
      </c>
      <c r="J142" s="24"/>
      <c r="K142" s="24">
        <f t="shared" si="6"/>
        <v>0.98000000000000098</v>
      </c>
    </row>
    <row r="143" spans="1:11" ht="15" customHeight="1" x14ac:dyDescent="0.3">
      <c r="A143" s="28">
        <v>0.99000000000000099</v>
      </c>
      <c r="B143" s="29">
        <v>0.24993716904638388</v>
      </c>
      <c r="C143" s="29">
        <v>0.78306867660264989</v>
      </c>
      <c r="D143" s="29">
        <v>2.1608883880522494</v>
      </c>
      <c r="E143" s="29">
        <v>2.2797887763888167</v>
      </c>
      <c r="F143" s="29">
        <v>4.9263690941104397</v>
      </c>
      <c r="G143" s="30">
        <v>1.7852311800603653</v>
      </c>
      <c r="J143" s="24"/>
      <c r="K143" s="24">
        <f t="shared" si="6"/>
        <v>0.99000000000000099</v>
      </c>
    </row>
    <row r="144" spans="1:11" ht="15" customHeight="1" x14ac:dyDescent="0.3">
      <c r="A144" s="28">
        <v>1</v>
      </c>
      <c r="B144" s="29">
        <v>0.24878788983788414</v>
      </c>
      <c r="C144" s="29">
        <v>0.78334375762150366</v>
      </c>
      <c r="D144" s="29">
        <v>2.1509520344248458</v>
      </c>
      <c r="E144" s="29">
        <v>2.2674953125729815</v>
      </c>
      <c r="F144" s="29">
        <v>4.8772736556276559</v>
      </c>
      <c r="G144" s="30">
        <v>1.7762282985400653</v>
      </c>
      <c r="J144" s="24"/>
      <c r="K144" s="24">
        <f t="shared" si="6"/>
        <v>1</v>
      </c>
    </row>
    <row r="145" spans="1:11" ht="15" customHeight="1" x14ac:dyDescent="0.3">
      <c r="A145" s="28">
        <v>1.01</v>
      </c>
      <c r="B145" s="29">
        <v>0.24765719041380529</v>
      </c>
      <c r="C145" s="29">
        <v>0.78360869866059335</v>
      </c>
      <c r="D145" s="29">
        <v>2.1411763165306583</v>
      </c>
      <c r="E145" s="29">
        <v>2.2552892443515837</v>
      </c>
      <c r="F145" s="29">
        <v>4.8289719169319358</v>
      </c>
      <c r="G145" s="30">
        <v>1.7672642698695775</v>
      </c>
      <c r="J145" s="24"/>
      <c r="K145" s="24">
        <f t="shared" si="6"/>
        <v>1.01</v>
      </c>
    </row>
    <row r="146" spans="1:11" ht="15" customHeight="1" x14ac:dyDescent="0.3">
      <c r="A146" s="28">
        <v>1.02</v>
      </c>
      <c r="B146" s="29">
        <v>0.24654459338869789</v>
      </c>
      <c r="C146" s="29">
        <v>0.78386384964519984</v>
      </c>
      <c r="D146" s="29">
        <v>2.1315571070256891</v>
      </c>
      <c r="E146" s="29">
        <v>2.2431693099340357</v>
      </c>
      <c r="F146" s="29">
        <v>4.7814434848518053</v>
      </c>
      <c r="G146" s="30">
        <v>1.7583393306908597</v>
      </c>
      <c r="J146" s="24"/>
      <c r="K146" s="24">
        <f t="shared" si="6"/>
        <v>1.02</v>
      </c>
    </row>
    <row r="147" spans="1:11" ht="15" customHeight="1" x14ac:dyDescent="0.3">
      <c r="A147" s="28">
        <v>1.03</v>
      </c>
      <c r="B147" s="29">
        <v>0.24544963772548459</v>
      </c>
      <c r="C147" s="29">
        <v>0.78410954582138837</v>
      </c>
      <c r="D147" s="29">
        <v>2.1220904199094939</v>
      </c>
      <c r="E147" s="29">
        <v>2.2311342722121195</v>
      </c>
      <c r="F147" s="29">
        <v>4.7346686645930793</v>
      </c>
      <c r="G147" s="30">
        <v>1.7494536808507788</v>
      </c>
      <c r="J147" s="24"/>
      <c r="K147" s="24">
        <f t="shared" si="6"/>
        <v>1.03</v>
      </c>
    </row>
    <row r="148" spans="1:11" ht="15" customHeight="1" x14ac:dyDescent="0.3">
      <c r="A148" s="28">
        <v>1.04</v>
      </c>
      <c r="B148" s="29">
        <v>0.24437187804666854</v>
      </c>
      <c r="C148" s="29">
        <v>0.7843461084889104</v>
      </c>
      <c r="D148" s="29">
        <v>2.1127724045700775</v>
      </c>
      <c r="E148" s="29">
        <v>2.219182918222955</v>
      </c>
      <c r="F148" s="29">
        <v>4.6886284303147541</v>
      </c>
      <c r="G148" s="30">
        <v>1.7406074859332386</v>
      </c>
      <c r="J148" s="24"/>
      <c r="K148" s="24">
        <f t="shared" si="6"/>
        <v>1.04</v>
      </c>
    </row>
    <row r="149" spans="1:11" ht="15" customHeight="1" x14ac:dyDescent="0.3">
      <c r="A149" s="28">
        <v>1.05</v>
      </c>
      <c r="B149" s="29">
        <v>0.243310883979691</v>
      </c>
      <c r="C149" s="29">
        <v>0.78457384569221311</v>
      </c>
      <c r="D149" s="29">
        <v>2.1035993401240343</v>
      </c>
      <c r="E149" s="29">
        <v>2.2073140586219657</v>
      </c>
      <c r="F149" s="29">
        <v>4.6433043971636705</v>
      </c>
      <c r="G149" s="30">
        <v>1.7318008796235227</v>
      </c>
      <c r="J149" s="24"/>
      <c r="K149" s="24">
        <f t="shared" si="6"/>
        <v>1.05</v>
      </c>
    </row>
    <row r="150" spans="1:11" ht="15" customHeight="1" x14ac:dyDescent="0.3">
      <c r="A150" s="28">
        <v>1.06</v>
      </c>
      <c r="B150" s="29">
        <v>0.24226623953449766</v>
      </c>
      <c r="C150" s="29">
        <v>0.78479305287221657</v>
      </c>
      <c r="D150" s="29">
        <v>2.0945676300351574</v>
      </c>
      <c r="E150" s="29">
        <v>2.1955265271658644</v>
      </c>
      <c r="F150" s="29">
        <v>4.5986787946851244</v>
      </c>
      <c r="G150" s="30">
        <v>1.7230339659164342</v>
      </c>
      <c r="J150" s="24"/>
      <c r="K150" s="24">
        <f t="shared" si="6"/>
        <v>1.06</v>
      </c>
    </row>
    <row r="151" spans="1:11" ht="15" customHeight="1" x14ac:dyDescent="0.3">
      <c r="A151" s="28">
        <v>1.07</v>
      </c>
      <c r="B151" s="29">
        <v>0.24123754251150048</v>
      </c>
      <c r="C151" s="29">
        <v>0.78500401348133952</v>
      </c>
      <c r="D151" s="29">
        <v>2.0856737969958385</v>
      </c>
      <c r="E151" s="29">
        <v>2.1838191802056661</v>
      </c>
      <c r="F151" s="29">
        <v>4.5547344415318909</v>
      </c>
      <c r="G151" s="30">
        <v>1.7143068211789765</v>
      </c>
      <c r="J151" s="24"/>
      <c r="K151" s="24">
        <f t="shared" si="6"/>
        <v>1.07</v>
      </c>
    </row>
    <row r="152" spans="1:11" ht="15" customHeight="1" x14ac:dyDescent="0.3">
      <c r="A152" s="28">
        <v>1.08</v>
      </c>
      <c r="B152" s="29">
        <v>0.24022440393823571</v>
      </c>
      <c r="C152" s="29">
        <v>0.78520699956407713</v>
      </c>
      <c r="D152" s="29">
        <v>2.076914478056568</v>
      </c>
      <c r="E152" s="29">
        <v>2.1721908961897407</v>
      </c>
      <c r="F152" s="29">
        <v>4.5114547213991445</v>
      </c>
      <c r="G152" s="30">
        <v>1.7056194960775501</v>
      </c>
      <c r="J152" s="24"/>
      <c r="K152" s="24">
        <f t="shared" si="6"/>
        <v>1.08</v>
      </c>
    </row>
    <row r="153" spans="1:11" ht="15" customHeight="1" x14ac:dyDescent="0.3">
      <c r="A153" s="28">
        <v>1.0900000000000001</v>
      </c>
      <c r="B153" s="29">
        <v>0.23922644753312411</v>
      </c>
      <c r="C153" s="29">
        <v>0.78540227230528181</v>
      </c>
      <c r="D153" s="29">
        <v>2.068286419989751</v>
      </c>
      <c r="E153" s="29">
        <v>2.1606405751768367</v>
      </c>
      <c r="F153" s="29">
        <v>4.4688235601170954</v>
      </c>
      <c r="G153" s="30">
        <v>1.6969720173788787</v>
      </c>
      <c r="J153" s="24"/>
      <c r="K153" s="24">
        <f t="shared" si="6"/>
        <v>1.0900000000000001</v>
      </c>
    </row>
    <row r="154" spans="1:11" ht="15" customHeight="1" x14ac:dyDescent="0.3">
      <c r="A154" s="28">
        <v>1.1000000000000001</v>
      </c>
      <c r="B154" s="29">
        <v>0.2382433091948403</v>
      </c>
      <c r="C154" s="29">
        <v>0.78559008254815044</v>
      </c>
      <c r="D154" s="29">
        <v>2.0597864748749362</v>
      </c>
      <c r="E154" s="29">
        <v>2.1491671383590596</v>
      </c>
      <c r="F154" s="29">
        <v>4.426825403837662</v>
      </c>
      <c r="G154" s="30">
        <v>1.6883643896332658</v>
      </c>
      <c r="J154" s="24"/>
      <c r="K154" s="24">
        <f t="shared" si="6"/>
        <v>1.1000000000000001</v>
      </c>
    </row>
    <row r="155" spans="1:11" ht="15" customHeight="1" x14ac:dyDescent="0.3">
      <c r="A155" s="28">
        <v>1.1100000000000001</v>
      </c>
      <c r="B155" s="29">
        <v>0.23727463651589242</v>
      </c>
      <c r="C155" s="29">
        <v>0.78577067128378231</v>
      </c>
      <c r="D155" s="29">
        <v>2.0514115958933572</v>
      </c>
      <c r="E155" s="29">
        <v>2.1377695275947395</v>
      </c>
      <c r="F155" s="29">
        <v>4.3854451982553124</v>
      </c>
      <c r="G155" s="30">
        <v>1.6797965967481325</v>
      </c>
      <c r="J155" s="24"/>
      <c r="K155" s="24">
        <f t="shared" si="6"/>
        <v>1.1100000000000001</v>
      </c>
    </row>
    <row r="156" spans="1:11" ht="15" customHeight="1" x14ac:dyDescent="0.3">
      <c r="A156" s="28">
        <v>1.1200000000000001</v>
      </c>
      <c r="B156" s="29">
        <v>0.23632008831909385</v>
      </c>
      <c r="C156" s="29">
        <v>0.78594427011404733</v>
      </c>
      <c r="D156" s="29">
        <v>2.0431588333203945</v>
      </c>
      <c r="E156" s="29">
        <v>2.1264467049510958</v>
      </c>
      <c r="F156" s="29">
        <v>4.3446683688058769</v>
      </c>
      <c r="G156" s="30">
        <v>1.6712686034592099</v>
      </c>
      <c r="J156" s="24"/>
      <c r="K156" s="24">
        <f t="shared" si="6"/>
        <v>1.1200000000000001</v>
      </c>
    </row>
    <row r="157" spans="1:11" ht="15" customHeight="1" x14ac:dyDescent="0.3">
      <c r="A157" s="28">
        <v>1.1299999999999999</v>
      </c>
      <c r="B157" s="29">
        <v>0.23537933421569526</v>
      </c>
      <c r="C157" s="29">
        <v>0.78611110168939635</v>
      </c>
      <c r="D157" s="29">
        <v>2.0350253307053063</v>
      </c>
      <c r="E157" s="29">
        <v>2.1151976522566205</v>
      </c>
      <c r="F157" s="29">
        <v>4.304480801790616</v>
      </c>
      <c r="G157" s="30">
        <v>1.6627803567062767</v>
      </c>
      <c r="J157" s="24"/>
      <c r="K157" s="24">
        <f t="shared" si="6"/>
        <v>1.1299999999999999</v>
      </c>
    </row>
    <row r="158" spans="1:11" ht="15" customHeight="1" x14ac:dyDescent="0.3">
      <c r="A158" s="28">
        <v>1.1399999999999999</v>
      </c>
      <c r="B158" s="29">
        <v>0.23445205418401688</v>
      </c>
      <c r="C158" s="29">
        <v>0.78627138012311693</v>
      </c>
      <c r="D158" s="29">
        <v>2.0270083212281977</v>
      </c>
      <c r="E158" s="29">
        <v>2.1040213706630881</v>
      </c>
      <c r="F158" s="29">
        <v>4.2648688263760377</v>
      </c>
      <c r="G158" s="30">
        <v>1.6543317869197984</v>
      </c>
      <c r="J158" s="24"/>
      <c r="K158" s="24">
        <f t="shared" si="6"/>
        <v>1.1399999999999999</v>
      </c>
    </row>
    <row r="159" spans="1:11" ht="15" customHeight="1" x14ac:dyDescent="0.3">
      <c r="A159" s="28">
        <v>1.1499999999999999</v>
      </c>
      <c r="B159" s="29">
        <v>0.23353793816749024</v>
      </c>
      <c r="C159" s="29">
        <v>0.78642531138346472</v>
      </c>
      <c r="D159" s="29">
        <v>2.0191051242248004</v>
      </c>
      <c r="E159" s="29">
        <v>2.0929168802170688</v>
      </c>
      <c r="F159" s="29">
        <v>4.2258191974228669</v>
      </c>
      <c r="G159" s="30">
        <v>1.6459228092244178</v>
      </c>
      <c r="J159" s="24"/>
      <c r="K159" s="24">
        <f t="shared" si="6"/>
        <v>1.1499999999999999</v>
      </c>
    </row>
    <row r="160" spans="1:11" ht="15" customHeight="1" x14ac:dyDescent="0.3">
      <c r="A160" s="28">
        <v>1.1599999999999999</v>
      </c>
      <c r="B160" s="29">
        <v>0.23263668569108592</v>
      </c>
      <c r="C160" s="29">
        <v>0.78657309366497985</v>
      </c>
      <c r="D160" s="29">
        <v>2.011313141870211</v>
      </c>
      <c r="E160" s="29">
        <v>2.0818832194408383</v>
      </c>
      <c r="F160" s="29">
        <v>4.1873190791004227</v>
      </c>
      <c r="G160" s="30">
        <v>1.6375533245647884</v>
      </c>
      <c r="J160" s="24"/>
      <c r="K160" s="24">
        <f t="shared" si="6"/>
        <v>1.1599999999999999</v>
      </c>
    </row>
    <row r="161" spans="1:11" ht="15" customHeight="1" x14ac:dyDescent="0.3">
      <c r="A161" s="28">
        <v>1.17</v>
      </c>
      <c r="B161" s="29">
        <v>0.23174800549516245</v>
      </c>
      <c r="C161" s="29">
        <v>0.78671491774023528</v>
      </c>
      <c r="D161" s="29">
        <v>2.0036298560132497</v>
      </c>
      <c r="E161" s="29">
        <v>2.0709194449225539</v>
      </c>
      <c r="F161" s="29">
        <v>4.1493560292452152</v>
      </c>
      <c r="G161" s="30">
        <v>1.6292232207589006</v>
      </c>
      <c r="J161" s="24"/>
      <c r="K161" s="24">
        <f t="shared" si="6"/>
        <v>1.17</v>
      </c>
    </row>
    <row r="162" spans="1:11" ht="15" customHeight="1" x14ac:dyDescent="0.3">
      <c r="A162" s="28">
        <v>1.18</v>
      </c>
      <c r="B162" s="29">
        <v>0.23087161518582994</v>
      </c>
      <c r="C162" s="29">
        <v>0.78685096729316295</v>
      </c>
      <c r="D162" s="29">
        <v>1.9960528251535992</v>
      </c>
      <c r="E162" s="29">
        <v>2.0600246309155645</v>
      </c>
      <c r="F162" s="29">
        <v>4.1119179844250127</v>
      </c>
      <c r="G162" s="30">
        <v>1.6209323734836529</v>
      </c>
      <c r="J162" s="24"/>
      <c r="K162" s="24">
        <f t="shared" si="6"/>
        <v>1.18</v>
      </c>
    </row>
    <row r="163" spans="1:11" ht="15" customHeight="1" x14ac:dyDescent="0.3">
      <c r="A163" s="28">
        <v>1.19</v>
      </c>
      <c r="B163" s="29">
        <v>0.23000724090097513</v>
      </c>
      <c r="C163" s="29">
        <v>0.7869814192350475</v>
      </c>
      <c r="D163" s="29">
        <v>1.9885796815543488</v>
      </c>
      <c r="E163" s="29">
        <v>2.0491978689467318</v>
      </c>
      <c r="F163" s="29">
        <v>4.0749932456719424</v>
      </c>
      <c r="G163" s="30">
        <v>1.6126806471971338</v>
      </c>
      <c r="J163" s="24"/>
      <c r="K163" s="24">
        <f t="shared" si="6"/>
        <v>1.19</v>
      </c>
    </row>
    <row r="164" spans="1:11" ht="15" customHeight="1" x14ac:dyDescent="0.3">
      <c r="A164" s="28">
        <v>1.2</v>
      </c>
      <c r="B164" s="29">
        <v>0.22915461699114162</v>
      </c>
      <c r="C164" s="29">
        <v>0.78710644400419216</v>
      </c>
      <c r="D164" s="29">
        <v>1.9812081284829728</v>
      </c>
      <c r="E164" s="29">
        <v>2.0384382674335981</v>
      </c>
      <c r="F164" s="29">
        <v>4.0385704648501921</v>
      </c>
      <c r="G164" s="30">
        <v>1.6044678960017258</v>
      </c>
      <c r="J164" s="24"/>
      <c r="K164" s="24">
        <f t="shared" si="6"/>
        <v>1.2</v>
      </c>
    </row>
    <row r="165" spans="1:11" ht="15" customHeight="1" x14ac:dyDescent="0.3">
      <c r="A165" s="28">
        <v>1.21</v>
      </c>
      <c r="B165" s="29">
        <v>0.22831348571450999</v>
      </c>
      <c r="C165" s="29">
        <v>0.78722620585020631</v>
      </c>
      <c r="D165" s="29">
        <v>1.9739359375742107</v>
      </c>
      <c r="E165" s="29">
        <v>2.0277449513102792</v>
      </c>
      <c r="F165" s="29">
        <v>4.002638631626029</v>
      </c>
      <c r="G165" s="30">
        <v>1.5962939644519025</v>
      </c>
      <c r="J165" s="24"/>
      <c r="K165" s="24">
        <f t="shared" si="6"/>
        <v>1.21</v>
      </c>
    </row>
    <row r="166" spans="1:11" ht="15" customHeight="1" x14ac:dyDescent="0.3">
      <c r="A166" s="28">
        <v>1.22</v>
      </c>
      <c r="B166" s="29">
        <v>0.22748359694526149</v>
      </c>
      <c r="C166" s="29">
        <v>0.78734086310380158</v>
      </c>
      <c r="D166" s="29">
        <v>1.9667609463086608</v>
      </c>
      <c r="E166" s="29">
        <v>2.0171170616619172</v>
      </c>
      <c r="F166" s="29">
        <v>3.9671870610095361</v>
      </c>
      <c r="G166" s="30">
        <v>1.5881586883102981</v>
      </c>
      <c r="J166" s="24"/>
      <c r="K166" s="24">
        <f t="shared" si="6"/>
        <v>1.22</v>
      </c>
    </row>
    <row r="167" spans="1:11" ht="15" customHeight="1" x14ac:dyDescent="0.3">
      <c r="A167" s="28">
        <v>1.23</v>
      </c>
      <c r="B167" s="29">
        <v>0.2266647078946521</v>
      </c>
      <c r="C167" s="29">
        <v>0.7874505684329236</v>
      </c>
      <c r="D167" s="29">
        <v>1.9596810556012623</v>
      </c>
      <c r="E167" s="29">
        <v>2.0065537553675461</v>
      </c>
      <c r="F167" s="29">
        <v>3.9322053814393496</v>
      </c>
      <c r="G167" s="30">
        <v>1.5800618952553918</v>
      </c>
      <c r="J167" s="24"/>
      <c r="K167" s="24">
        <f t="shared" si="6"/>
        <v>1.23</v>
      </c>
    </row>
    <row r="168" spans="1:11" ht="15" customHeight="1" x14ac:dyDescent="0.3">
      <c r="A168" s="28">
        <v>1.24</v>
      </c>
      <c r="B168" s="29">
        <v>0.22585658284416293</v>
      </c>
      <c r="C168" s="29">
        <v>0.78755546908600349</v>
      </c>
      <c r="D168" s="29">
        <v>1.9526942274941868</v>
      </c>
      <c r="E168" s="29">
        <v>1.9960542047512277</v>
      </c>
      <c r="F168" s="29">
        <v>3.8976835233832214</v>
      </c>
      <c r="G168" s="30">
        <v>1.5720034055439429</v>
      </c>
      <c r="J168" s="24"/>
      <c r="K168" s="24">
        <f t="shared" si="6"/>
        <v>1.24</v>
      </c>
    </row>
    <row r="169" spans="1:11" ht="15" customHeight="1" x14ac:dyDescent="0.3">
      <c r="A169" s="28">
        <v>1.25</v>
      </c>
      <c r="B169" s="29">
        <v>0.22505899289012465</v>
      </c>
      <c r="C169" s="29">
        <v>0.78765570712304978</v>
      </c>
      <c r="D169" s="29">
        <v>1.9457984829489303</v>
      </c>
      <c r="E169" s="29">
        <v>1.9856175972412877</v>
      </c>
      <c r="F169" s="29">
        <v>3.863611708428798</v>
      </c>
      <c r="G169" s="30">
        <v>1.5639830326310575</v>
      </c>
      <c r="J169" s="24"/>
      <c r="K169" s="24">
        <f t="shared" si="6"/>
        <v>1.25</v>
      </c>
    </row>
    <row r="170" spans="1:11" ht="15" customHeight="1" x14ac:dyDescent="0.3">
      <c r="A170" s="28">
        <v>1.26</v>
      </c>
      <c r="B170" s="29">
        <v>0.22427171569925192</v>
      </c>
      <c r="C170" s="29">
        <v>0.78775141963527506</v>
      </c>
      <c r="D170" s="29">
        <v>1.9389918997327318</v>
      </c>
      <c r="E170" s="29">
        <v>1.9752431350375028</v>
      </c>
      <c r="F170" s="29">
        <v>3.8299804388404048</v>
      </c>
      <c r="G170" s="30">
        <v>1.5560005837506241</v>
      </c>
      <c r="J170" s="24"/>
      <c r="K170" s="24">
        <f t="shared" si="6"/>
        <v>1.26</v>
      </c>
    </row>
    <row r="171" spans="1:11" ht="15" customHeight="1" x14ac:dyDescent="0.3">
      <c r="A171" s="28">
        <v>1.27</v>
      </c>
      <c r="B171" s="29">
        <v>0.22349453527455171</v>
      </c>
      <c r="C171" s="29">
        <v>0.7878427389538889</v>
      </c>
      <c r="D171" s="29">
        <v>1.9322726103946801</v>
      </c>
      <c r="E171" s="29">
        <v>1.964930034786089</v>
      </c>
      <c r="F171" s="29">
        <v>3.7967804875590256</v>
      </c>
      <c r="G171" s="30">
        <v>1.5480558604586325</v>
      </c>
      <c r="J171" s="24"/>
      <c r="K171" s="24">
        <f t="shared" si="6"/>
        <v>1.27</v>
      </c>
    </row>
    <row r="172" spans="1:11" ht="15" customHeight="1" x14ac:dyDescent="0.3">
      <c r="A172" s="28">
        <v>1.28</v>
      </c>
      <c r="B172" s="29">
        <v>0.2227272417311007</v>
      </c>
      <c r="C172" s="29">
        <v>0.7879297928486676</v>
      </c>
      <c r="D172" s="29">
        <v>1.9256388003271465</v>
      </c>
      <c r="E172" s="29">
        <v>1.9546775272623245</v>
      </c>
      <c r="F172" s="29">
        <v>3.7640028886238559</v>
      </c>
      <c r="G172" s="30">
        <v>1.540148659141749</v>
      </c>
      <c r="J172" s="24"/>
      <c r="K172" s="24">
        <f t="shared" ref="K172:K235" si="7">A172</f>
        <v>1.28</v>
      </c>
    </row>
    <row r="173" spans="1:11" ht="15" customHeight="1" x14ac:dyDescent="0.3">
      <c r="A173" s="28">
        <v>1.29</v>
      </c>
      <c r="B173" s="29">
        <v>0.22196963108121426</v>
      </c>
      <c r="C173" s="29">
        <v>0.78801270471685891</v>
      </c>
      <c r="D173" s="29">
        <v>1.9190887059084147</v>
      </c>
      <c r="E173" s="29">
        <v>1.944484857060655</v>
      </c>
      <c r="F173" s="29">
        <v>3.7316389279950415</v>
      </c>
      <c r="G173" s="30">
        <v>1.5322787714933415</v>
      </c>
      <c r="J173" s="24"/>
      <c r="K173" s="24">
        <f t="shared" si="7"/>
        <v>1.29</v>
      </c>
    </row>
    <row r="174" spans="1:11" ht="15" customHeight="1" x14ac:dyDescent="0.3">
      <c r="A174" s="28">
        <v>1.3</v>
      </c>
      <c r="B174" s="29">
        <v>0.22122150502855434</v>
      </c>
      <c r="C174" s="29">
        <v>0.78809159376296167</v>
      </c>
      <c r="D174" s="29">
        <v>1.9126206127225942</v>
      </c>
      <c r="E174" s="29">
        <v>1.9343512822921234</v>
      </c>
      <c r="F174" s="29">
        <v>3.6996801347582968</v>
      </c>
      <c r="G174" s="30">
        <v>1.5244459849590282</v>
      </c>
      <c r="J174" s="24"/>
      <c r="K174" s="24">
        <f t="shared" si="7"/>
        <v>1.3</v>
      </c>
    </row>
    <row r="175" spans="1:11" ht="15" customHeight="1" x14ac:dyDescent="0.3">
      <c r="A175" s="28">
        <v>1.31</v>
      </c>
      <c r="B175" s="29">
        <v>0.22048267077075084</v>
      </c>
      <c r="C175" s="29">
        <v>0.78816657516986643</v>
      </c>
      <c r="D175" s="29">
        <v>1.9062328538531381</v>
      </c>
      <c r="E175" s="29">
        <v>1.9242760742889768</v>
      </c>
      <c r="F175" s="29">
        <v>3.6681182726931896</v>
      </c>
      <c r="G175" s="30">
        <v>1.5166500831536585</v>
      </c>
      <c r="J175" s="24"/>
      <c r="K175" s="24">
        <f t="shared" si="7"/>
        <v>1.31</v>
      </c>
    </row>
    <row r="176" spans="1:11" ht="15" customHeight="1" x14ac:dyDescent="0.3">
      <c r="A176" s="28">
        <v>1.32</v>
      </c>
      <c r="B176" s="29">
        <v>0.21975294081013066</v>
      </c>
      <c r="C176" s="29">
        <v>0.78823776026184045</v>
      </c>
      <c r="D176" s="29">
        <v>1.8999238082464589</v>
      </c>
      <c r="E176" s="29">
        <v>1.9142585173162856</v>
      </c>
      <c r="F176" s="29">
        <v>3.6369453321877776</v>
      </c>
      <c r="G176" s="30">
        <v>1.5088908462515405</v>
      </c>
      <c r="J176" s="24"/>
      <c r="K176" s="24">
        <f t="shared" si="7"/>
        <v>1.32</v>
      </c>
    </row>
    <row r="177" spans="1:11" ht="15" customHeight="1" x14ac:dyDescent="0.3">
      <c r="A177" s="28">
        <v>1.33</v>
      </c>
      <c r="B177" s="29">
        <v>0.2190321327721724</v>
      </c>
      <c r="C177" s="29">
        <v>0.78830525665978612</v>
      </c>
      <c r="D177" s="29">
        <v>1.8936918991423364</v>
      </c>
      <c r="E177" s="29">
        <v>1.9042979082904203</v>
      </c>
      <c r="F177" s="29">
        <v>3.6061535224832646</v>
      </c>
      <c r="G177" s="30">
        <v>1.5011680513515737</v>
      </c>
      <c r="J177" s="24"/>
      <c r="K177" s="24">
        <f t="shared" si="7"/>
        <v>1.33</v>
      </c>
    </row>
    <row r="178" spans="1:11" ht="15" customHeight="1" x14ac:dyDescent="0.3">
      <c r="A178" s="28">
        <v>1.34</v>
      </c>
      <c r="B178" s="29">
        <v>0.21832006923132488</v>
      </c>
      <c r="C178" s="29">
        <v>0.78836916842919158</v>
      </c>
      <c r="D178" s="29">
        <v>1.887535592567994</v>
      </c>
      <c r="E178" s="29">
        <v>1.8943935565042584</v>
      </c>
      <c r="F178" s="29">
        <v>3.5757352642332547</v>
      </c>
      <c r="G178" s="30">
        <v>1.493481472818881</v>
      </c>
      <c r="J178" s="24"/>
      <c r="K178" s="24">
        <f t="shared" si="7"/>
        <v>1.34</v>
      </c>
    </row>
    <row r="179" spans="1:11" ht="15" customHeight="1" x14ac:dyDescent="0.3">
      <c r="A179" s="28">
        <v>1.35</v>
      </c>
      <c r="B179" s="29">
        <v>0.21761657754384495</v>
      </c>
      <c r="C179" s="29">
        <v>0.78842959622116482</v>
      </c>
      <c r="D179" s="29">
        <v>1.8814533958928585</v>
      </c>
      <c r="E179" s="29">
        <v>1.8845447833589259</v>
      </c>
      <c r="F179" s="29">
        <v>3.5456831823628225</v>
      </c>
      <c r="G179" s="30">
        <v>1.4858308826043805</v>
      </c>
      <c r="J179" s="24"/>
      <c r="K179" s="24">
        <f t="shared" si="7"/>
        <v>1.35</v>
      </c>
    </row>
    <row r="180" spans="1:11" ht="15" customHeight="1" x14ac:dyDescent="0.3">
      <c r="A180" s="28">
        <v>1.36</v>
      </c>
      <c r="B180" s="29">
        <v>0.21692148968733141</v>
      </c>
      <c r="C180" s="29">
        <v>0.78848663740691616</v>
      </c>
      <c r="D180" s="29">
        <v>1.8754438564412155</v>
      </c>
      <c r="E180" s="29">
        <v>1.8747509221019778</v>
      </c>
      <c r="F180" s="29">
        <v>3.5159900992136581</v>
      </c>
      <c r="G180" s="30">
        <v>1.4782160505437039</v>
      </c>
      <c r="J180" s="24"/>
      <c r="K180" s="24">
        <f t="shared" si="7"/>
        <v>1.36</v>
      </c>
    </row>
    <row r="181" spans="1:11" ht="15" customHeight="1" x14ac:dyDescent="0.3">
      <c r="A181" s="28">
        <v>1.37</v>
      </c>
      <c r="B181" s="29">
        <v>0.2162346421066447</v>
      </c>
      <c r="C181" s="29">
        <v>0.78854038620603628</v>
      </c>
      <c r="D181" s="29">
        <v>1.8695055601600721</v>
      </c>
      <c r="E181" s="29">
        <v>1.8650113175718255</v>
      </c>
      <c r="F181" s="29">
        <v>3.4866490279619895</v>
      </c>
      <c r="G181" s="30">
        <v>1.4706367446367159</v>
      </c>
      <c r="J181" s="24"/>
      <c r="K181" s="24">
        <f t="shared" si="7"/>
        <v>1.37</v>
      </c>
    </row>
    <row r="182" spans="1:11" ht="15" customHeight="1" x14ac:dyDescent="0.3">
      <c r="A182" s="28">
        <v>1.38</v>
      </c>
      <c r="B182" s="29">
        <v>0.21555587556592173</v>
      </c>
      <c r="C182" s="29">
        <v>0.78859093380888945</v>
      </c>
      <c r="D182" s="29">
        <v>1.8636371303397179</v>
      </c>
      <c r="E182" s="29">
        <v>1.8553253259482978</v>
      </c>
      <c r="F182" s="29">
        <v>3.4576531662968875</v>
      </c>
      <c r="G182" s="30">
        <v>1.4630927313088504</v>
      </c>
      <c r="J182" s="24"/>
      <c r="K182" s="24">
        <f t="shared" si="7"/>
        <v>1.38</v>
      </c>
    </row>
    <row r="183" spans="1:11" ht="15" customHeight="1" x14ac:dyDescent="0.3">
      <c r="A183" s="28">
        <v>1.39</v>
      </c>
      <c r="B183" s="29">
        <v>0.21488503500640771</v>
      </c>
      <c r="C183" s="29">
        <v>0.78863836849343905</v>
      </c>
      <c r="D183" s="29">
        <v>1.8578372263845793</v>
      </c>
      <c r="E183" s="29">
        <v>1.8456923145091759</v>
      </c>
      <c r="F183" s="29">
        <v>3.4289958903470623</v>
      </c>
      <c r="G183" s="30">
        <v>1.455583775655396</v>
      </c>
      <c r="J183" s="24"/>
      <c r="K183" s="24">
        <f t="shared" si="7"/>
        <v>1.39</v>
      </c>
    </row>
    <row r="184" spans="1:11" ht="15" customHeight="1" x14ac:dyDescent="0.3">
      <c r="A184" s="28">
        <v>1.4</v>
      </c>
      <c r="B184" s="29">
        <v>0.21422196940984226</v>
      </c>
      <c r="C184" s="29">
        <v>0.78868277573678158</v>
      </c>
      <c r="D184" s="29">
        <v>1.8521045426320906</v>
      </c>
      <c r="E184" s="29">
        <v>1.8361116613925603</v>
      </c>
      <c r="F184" s="29">
        <v>3.4006707488449157</v>
      </c>
      <c r="G184" s="30">
        <v>1.4481096416697581</v>
      </c>
      <c r="J184" s="24"/>
      <c r="K184" s="24">
        <f t="shared" si="7"/>
        <v>1.4</v>
      </c>
    </row>
    <row r="185" spans="1:11" ht="15" customHeight="1" x14ac:dyDescent="0.3">
      <c r="A185" s="28">
        <v>1.41</v>
      </c>
      <c r="B185" s="29">
        <v>0.21356653166715087</v>
      </c>
      <c r="C185" s="29">
        <v>0.78872423832167271</v>
      </c>
      <c r="D185" s="29">
        <v>1.8464378072174386</v>
      </c>
      <c r="E185" s="29">
        <v>1.8265827553649592</v>
      </c>
      <c r="F185" s="29">
        <v>3.3726714575172618</v>
      </c>
      <c r="G185" s="30">
        <v>1.4406700924567297</v>
      </c>
      <c r="J185" s="24"/>
      <c r="K185" s="24">
        <f t="shared" si="7"/>
        <v>1.41</v>
      </c>
    </row>
    <row r="186" spans="1:11" ht="15" customHeight="1" x14ac:dyDescent="0.3">
      <c r="A186" s="28">
        <v>1.42</v>
      </c>
      <c r="B186" s="29">
        <v>0.21291857845220305</v>
      </c>
      <c r="C186" s="29">
        <v>0.78876283643829193</v>
      </c>
      <c r="D186" s="29">
        <v>1.8408357809821088</v>
      </c>
      <c r="E186" s="29">
        <v>1.8171049955949141</v>
      </c>
      <c r="F186" s="29">
        <v>3.3449918936924545</v>
      </c>
      <c r="G186" s="30">
        <v>1.4332648904316345</v>
      </c>
      <c r="J186" s="24"/>
      <c r="K186" s="24">
        <f t="shared" si="7"/>
        <v>1.42</v>
      </c>
    </row>
    <row r="187" spans="1:11" ht="15" customHeight="1" x14ac:dyDescent="0.3">
      <c r="A187" s="28">
        <v>1.43</v>
      </c>
      <c r="B187" s="29">
        <v>0.21227797010041399</v>
      </c>
      <c r="C187" s="29">
        <v>0.788798647781497</v>
      </c>
      <c r="D187" s="29">
        <v>1.8352972564243095</v>
      </c>
      <c r="E187" s="29">
        <v>1.8076777914320765</v>
      </c>
      <c r="F187" s="29">
        <v>3.3176260911144451</v>
      </c>
      <c r="G187" s="30">
        <v>1.4258937975062649</v>
      </c>
      <c r="J187" s="24"/>
      <c r="K187" s="24">
        <f t="shared" si="7"/>
        <v>1.43</v>
      </c>
    </row>
    <row r="188" spans="1:11" ht="15" customHeight="1" x14ac:dyDescent="0.3">
      <c r="A188" s="28">
        <v>1.44</v>
      </c>
      <c r="B188" s="29">
        <v>0.21164457049197488</v>
      </c>
      <c r="C188" s="29">
        <v>0.78883174764378861</v>
      </c>
      <c r="D188" s="29">
        <v>1.8298210566894115</v>
      </c>
      <c r="E188" s="29">
        <v>1.7983005621915757</v>
      </c>
      <c r="F188" s="29">
        <v>3.2905682349545518</v>
      </c>
      <c r="G188" s="30">
        <v>1.4185565752623883</v>
      </c>
      <c r="J188" s="24"/>
      <c r="K188" s="24">
        <f t="shared" si="7"/>
        <v>1.44</v>
      </c>
    </row>
    <row r="189" spans="1:11" ht="15" customHeight="1" x14ac:dyDescent="0.3">
      <c r="A189" s="28">
        <v>1.45</v>
      </c>
      <c r="B189" s="29">
        <v>0.21101824693950885</v>
      </c>
      <c r="C189" s="29">
        <v>0.78886220900420689</v>
      </c>
      <c r="D189" s="29">
        <v>1.8244060345986544</v>
      </c>
      <c r="E189" s="29">
        <v>1.788972736943564</v>
      </c>
      <c r="F189" s="29">
        <v>3.2638126570123087</v>
      </c>
      <c r="G189" s="30">
        <v>1.4112529851136018</v>
      </c>
      <c r="J189" s="24"/>
      <c r="K189" s="24">
        <f t="shared" si="7"/>
        <v>1.45</v>
      </c>
    </row>
    <row r="190" spans="1:11" ht="15" customHeight="1" x14ac:dyDescent="0.3">
      <c r="A190" s="28">
        <v>1.46</v>
      </c>
      <c r="B190" s="29">
        <v>0.21039887007995942</v>
      </c>
      <c r="C190" s="29">
        <v>0.78889010261335923</v>
      </c>
      <c r="D190" s="29">
        <v>1.8190510717144415</v>
      </c>
      <c r="E190" s="29">
        <v>1.779693754307798</v>
      </c>
      <c r="F190" s="29">
        <v>3.237353831097098</v>
      </c>
      <c r="G190" s="30">
        <v>1.4039827884562333</v>
      </c>
      <c r="J190" s="24"/>
      <c r="K190" s="24">
        <f t="shared" si="7"/>
        <v>1.46</v>
      </c>
    </row>
    <row r="191" spans="1:11" ht="15" customHeight="1" x14ac:dyDescent="0.3">
      <c r="A191" s="28">
        <v>1.47</v>
      </c>
      <c r="B191" s="29">
        <v>0.20978631377052842</v>
      </c>
      <c r="C191" s="29">
        <v>0.78891549707477393</v>
      </c>
      <c r="D191" s="29">
        <v>1.813755077440649</v>
      </c>
      <c r="E191" s="29">
        <v>1.7704630622531516</v>
      </c>
      <c r="F191" s="29">
        <v>3.2111863685827737</v>
      </c>
      <c r="G191" s="30">
        <v>1.3967457468099715</v>
      </c>
      <c r="J191" s="24"/>
      <c r="K191" s="24">
        <f t="shared" si="7"/>
        <v>1.47</v>
      </c>
    </row>
    <row r="192" spans="1:11" ht="15" customHeight="1" x14ac:dyDescent="0.3">
      <c r="A192" s="28">
        <v>1.48</v>
      </c>
      <c r="B192" s="29">
        <v>0.20918045498848767</v>
      </c>
      <c r="C192" s="29">
        <v>0.78893845892276049</v>
      </c>
      <c r="D192" s="29">
        <v>1.808516988156424</v>
      </c>
      <c r="E192" s="29">
        <v>1.7612801179019244</v>
      </c>
      <c r="F192" s="29">
        <v>3.1853050141277799</v>
      </c>
      <c r="G192" s="30">
        <v>1.3895416219488421</v>
      </c>
      <c r="J192" s="24"/>
      <c r="K192" s="24">
        <f t="shared" si="7"/>
        <v>1.48</v>
      </c>
    </row>
    <row r="193" spans="1:11" ht="15" customHeight="1" x14ac:dyDescent="0.3">
      <c r="A193" s="28">
        <v>1.49</v>
      </c>
      <c r="B193" s="29">
        <v>0.20858117373469906</v>
      </c>
      <c r="C193" s="29">
        <v>0.78895905269694677</v>
      </c>
      <c r="D193" s="29">
        <v>1.8033357663820475</v>
      </c>
      <c r="E193" s="29">
        <v>1.7521443873388327</v>
      </c>
      <c r="F193" s="29">
        <v>3.1597046415536769</v>
      </c>
      <c r="G193" s="30">
        <v>1.3823701760231177</v>
      </c>
      <c r="J193" s="24"/>
      <c r="K193" s="24">
        <f t="shared" si="7"/>
        <v>1.49</v>
      </c>
    </row>
    <row r="194" spans="1:11" ht="15" customHeight="1" x14ac:dyDescent="0.3">
      <c r="A194" s="28">
        <v>1.5</v>
      </c>
      <c r="B194" s="29">
        <v>0.20798835294068493</v>
      </c>
      <c r="C194" s="29">
        <v>0.78897734101365913</v>
      </c>
      <c r="D194" s="29">
        <v>1.7982103999754875</v>
      </c>
      <c r="E194" s="29">
        <v>1.7430553454245679</v>
      </c>
      <c r="F194" s="29">
        <v>3.1343802498753233</v>
      </c>
      <c r="G194" s="30">
        <v>1.3752311716727206</v>
      </c>
      <c r="J194" s="24"/>
      <c r="K194" s="24">
        <f t="shared" si="7"/>
        <v>1.5</v>
      </c>
    </row>
    <row r="195" spans="1:11" ht="15" customHeight="1" x14ac:dyDescent="0.3">
      <c r="A195" s="28">
        <v>1.51</v>
      </c>
      <c r="B195" s="29">
        <v>0.20740187837909746</v>
      </c>
      <c r="C195" s="29">
        <v>0.78899338463429225</v>
      </c>
      <c r="D195" s="29">
        <v>1.793139901358344</v>
      </c>
      <c r="E195" s="29">
        <v>1.7340124756138033</v>
      </c>
      <c r="F195" s="29">
        <v>3.1093269594762734</v>
      </c>
      <c r="G195" s="30">
        <v>1.3681243721326228</v>
      </c>
      <c r="J195" s="24"/>
      <c r="K195" s="24">
        <f t="shared" si="7"/>
        <v>1.51</v>
      </c>
    </row>
    <row r="196" spans="1:11" ht="15" customHeight="1" x14ac:dyDescent="0.3">
      <c r="A196" s="28">
        <v>1.52</v>
      </c>
      <c r="B196" s="29">
        <v>0.20682163857744484</v>
      </c>
      <c r="C196" s="29">
        <v>0.78900724253082388</v>
      </c>
      <c r="D196" s="29">
        <v>1.7881233067699489</v>
      </c>
      <c r="E196" s="29">
        <v>1.7250152697775489</v>
      </c>
      <c r="F196" s="29">
        <v>3.0845400084232861</v>
      </c>
      <c r="G196" s="30">
        <v>1.3610495413307491</v>
      </c>
      <c r="J196" s="24"/>
      <c r="K196" s="24">
        <f t="shared" si="7"/>
        <v>1.52</v>
      </c>
    </row>
    <row r="197" spans="1:11" ht="15" customHeight="1" x14ac:dyDescent="0.3">
      <c r="A197" s="28">
        <v>1.53</v>
      </c>
      <c r="B197" s="29">
        <v>0.20624752473493652</v>
      </c>
      <c r="C197" s="29">
        <v>0.78901897194859683</v>
      </c>
      <c r="D197" s="29">
        <v>1.7831596755484316</v>
      </c>
      <c r="E197" s="29">
        <v>1.7160632280297312</v>
      </c>
      <c r="F197" s="29">
        <v>3.0600147489140896</v>
      </c>
      <c r="G197" s="30">
        <v>1.3540064439788091</v>
      </c>
      <c r="J197" s="24"/>
      <c r="K197" s="24">
        <f t="shared" si="7"/>
        <v>1.53</v>
      </c>
    </row>
    <row r="198" spans="1:11" ht="15" customHeight="1" x14ac:dyDescent="0.3">
      <c r="A198" s="28">
        <v>1.54</v>
      </c>
      <c r="B198" s="29">
        <v>0.20567943064231864</v>
      </c>
      <c r="C198" s="29">
        <v>0.78902862846651822</v>
      </c>
      <c r="D198" s="29">
        <v>1.7782480894376389</v>
      </c>
      <c r="E198" s="29">
        <v>1.7071558585579039</v>
      </c>
      <c r="F198" s="29">
        <v>3.0357466438528649</v>
      </c>
      <c r="G198" s="30">
        <v>1.3469948456565242</v>
      </c>
      <c r="J198" s="24"/>
      <c r="K198" s="24">
        <f t="shared" si="7"/>
        <v>1.54</v>
      </c>
    </row>
    <row r="199" spans="1:11" ht="15" customHeight="1" x14ac:dyDescent="0.3">
      <c r="A199" s="28">
        <v>1.55</v>
      </c>
      <c r="B199" s="29">
        <v>0.20511725260457475</v>
      </c>
      <c r="C199" s="29">
        <v>0.78903626605477506</v>
      </c>
      <c r="D199" s="29">
        <v>1.7733876519188267</v>
      </c>
      <c r="E199" s="29">
        <v>1.6982926774579814</v>
      </c>
      <c r="F199" s="29">
        <v>3.011731263548147</v>
      </c>
      <c r="G199" s="30">
        <v>1.3400145128896122</v>
      </c>
      <c r="J199" s="24"/>
      <c r="K199" s="24">
        <f t="shared" si="7"/>
        <v>1.55</v>
      </c>
    </row>
    <row r="200" spans="1:11" ht="15" customHeight="1" x14ac:dyDescent="0.3">
      <c r="A200" s="28">
        <v>1.56</v>
      </c>
      <c r="B200" s="29">
        <v>0.20456088936637412</v>
      </c>
      <c r="C200" s="29">
        <v>0.78904193713020665</v>
      </c>
      <c r="D200" s="29">
        <v>1.7685774875661058</v>
      </c>
      <c r="E200" s="29">
        <v>1.6894732085728899</v>
      </c>
      <c r="F200" s="29">
        <v>2.9879642825280892</v>
      </c>
      <c r="G200" s="30">
        <v>1.3330652132219387</v>
      </c>
      <c r="J200" s="24"/>
      <c r="K200" s="24">
        <f t="shared" si="7"/>
        <v>1.56</v>
      </c>
    </row>
    <row r="201" spans="1:11" ht="15" customHeight="1" x14ac:dyDescent="0.3">
      <c r="A201" s="28">
        <v>1.57</v>
      </c>
      <c r="B201" s="29">
        <v>0.20401024204015508</v>
      </c>
      <c r="C201" s="29">
        <v>0.78904569260942403</v>
      </c>
      <c r="D201" s="29">
        <v>1.7638167414246708</v>
      </c>
      <c r="E201" s="29">
        <v>1.6806969833350442</v>
      </c>
      <c r="F201" s="29">
        <v>2.9644414764682918</v>
      </c>
      <c r="G201" s="30">
        <v>1.3261467152821695</v>
      </c>
      <c r="J201" s="24"/>
      <c r="K201" s="24">
        <f t="shared" si="7"/>
        <v>1.57</v>
      </c>
    </row>
    <row r="202" spans="1:11" ht="15" customHeight="1" x14ac:dyDescent="0.3">
      <c r="A202" s="28">
        <v>1.58</v>
      </c>
      <c r="B202" s="29">
        <v>0.20346521403673554</v>
      </c>
      <c r="C202" s="29">
        <v>0.7890475819597963</v>
      </c>
      <c r="D202" s="29">
        <v>1.7591045784108774</v>
      </c>
      <c r="E202" s="29">
        <v>1.6719635406125495</v>
      </c>
      <c r="F202" s="29">
        <v>2.9411587192275968</v>
      </c>
      <c r="G202" s="30">
        <v>1.3192587888452718</v>
      </c>
      <c r="J202" s="24"/>
      <c r="K202" s="24">
        <f t="shared" si="7"/>
        <v>1.58</v>
      </c>
    </row>
    <row r="203" spans="1:11" ht="15" customHeight="1" x14ac:dyDescent="0.3">
      <c r="A203" s="28">
        <v>1.59</v>
      </c>
      <c r="B203" s="29">
        <v>0.20292571099834836</v>
      </c>
      <c r="C203" s="29">
        <v>0.78904765324838999</v>
      </c>
      <c r="D203" s="29">
        <v>1.7544401827332847</v>
      </c>
      <c r="E203" s="29">
        <v>1.6632724265590273</v>
      </c>
      <c r="F203" s="29">
        <v>2.9181119799874535</v>
      </c>
      <c r="G203" s="30">
        <v>1.3124012048891556</v>
      </c>
      <c r="J203" s="24"/>
      <c r="K203" s="24">
        <f t="shared" si="7"/>
        <v>1.59</v>
      </c>
    </row>
    <row r="204" spans="1:11" ht="15" customHeight="1" x14ac:dyDescent="0.3">
      <c r="A204" s="28">
        <v>1.6</v>
      </c>
      <c r="B204" s="29">
        <v>0.20239164073400459</v>
      </c>
      <c r="C204" s="29">
        <v>0.78904595318896831</v>
      </c>
      <c r="D204" s="29">
        <v>1.7498227573338225</v>
      </c>
      <c r="E204" s="29">
        <v>1.6546231944669989</v>
      </c>
      <c r="F204" s="29">
        <v>2.8952973204907417</v>
      </c>
      <c r="G204" s="30">
        <v>1.3055737356467889</v>
      </c>
      <c r="J204" s="24"/>
      <c r="K204" s="24">
        <f t="shared" si="7"/>
        <v>1.6</v>
      </c>
    </row>
    <row r="205" spans="1:11" ht="15" customHeight="1" x14ac:dyDescent="0.3">
      <c r="A205" s="28">
        <v>1.61</v>
      </c>
      <c r="B205" s="29">
        <v>0.20186291315708896</v>
      </c>
      <c r="C205" s="29">
        <v>0.78904252718712631</v>
      </c>
      <c r="D205" s="29">
        <v>1.7452515233482604</v>
      </c>
      <c r="E205" s="29">
        <v>1.6460154046246895</v>
      </c>
      <c r="F205" s="29">
        <v>2.8727108923759426</v>
      </c>
      <c r="G205" s="30">
        <v>1.2987761546540053</v>
      </c>
      <c r="J205" s="24"/>
      <c r="K205" s="24">
        <f t="shared" si="7"/>
        <v>1.61</v>
      </c>
    </row>
    <row r="206" spans="1:11" ht="15" customHeight="1" x14ac:dyDescent="0.3">
      <c r="A206" s="28">
        <v>1.62</v>
      </c>
      <c r="B206" s="29">
        <v>0.20133944022510139</v>
      </c>
      <c r="C206" s="29">
        <v>0.78903741938365779</v>
      </c>
      <c r="D206" s="29">
        <v>1.7407257195852288</v>
      </c>
      <c r="E206" s="29">
        <v>1.6374486241762214</v>
      </c>
      <c r="F206" s="29">
        <v>2.8503489346029962</v>
      </c>
      <c r="G206" s="30">
        <v>1.2920082367933265</v>
      </c>
      <c r="J206" s="24"/>
      <c r="K206" s="24">
        <f t="shared" si="7"/>
        <v>1.62</v>
      </c>
    </row>
    <row r="207" spans="1:11" ht="15" customHeight="1" x14ac:dyDescent="0.3">
      <c r="A207" s="28">
        <v>1.63</v>
      </c>
      <c r="B207" s="29">
        <v>0.20082113588145756</v>
      </c>
      <c r="C207" s="29">
        <v>0.78903067269622773</v>
      </c>
      <c r="D207" s="29">
        <v>1.736244602023042</v>
      </c>
      <c r="E207" s="29">
        <v>1.6289224269850695</v>
      </c>
      <c r="F207" s="29">
        <v>2.8282077709670994</v>
      </c>
      <c r="G207" s="30">
        <v>1.2852697583340014</v>
      </c>
      <c r="J207" s="24"/>
      <c r="K207" s="24">
        <f t="shared" si="7"/>
        <v>1.63</v>
      </c>
    </row>
    <row r="208" spans="1:11" ht="15" customHeight="1" x14ac:dyDescent="0.3">
      <c r="A208" s="28">
        <v>1.64</v>
      </c>
      <c r="B208" s="29">
        <v>0.20030791599926717</v>
      </c>
      <c r="C208" s="29">
        <v>0.78902232885942603</v>
      </c>
      <c r="D208" s="29">
        <v>1.7318074433236212</v>
      </c>
      <c r="E208" s="29">
        <v>1.6204363935007118</v>
      </c>
      <c r="F208" s="29">
        <v>2.8062838076970174</v>
      </c>
      <c r="G208" s="30">
        <v>1.2785604969685009</v>
      </c>
      <c r="J208" s="24"/>
      <c r="K208" s="24">
        <f t="shared" si="7"/>
        <v>1.64</v>
      </c>
    </row>
    <row r="209" spans="1:11" ht="15" customHeight="1" x14ac:dyDescent="0.3">
      <c r="A209" s="28">
        <v>1.65</v>
      </c>
      <c r="B209" s="29">
        <v>0.19979969832701328</v>
      </c>
      <c r="C209" s="29">
        <v>0.78901242846328024</v>
      </c>
      <c r="D209" s="29">
        <v>1.7274135323628526</v>
      </c>
      <c r="E209" s="29">
        <v>1.611990110628386</v>
      </c>
      <c r="F209" s="29">
        <v>2.7845735311345661</v>
      </c>
      <c r="G209" s="30">
        <v>1.2718802318456945</v>
      </c>
      <c r="J209" s="24"/>
      <c r="K209" s="24">
        <f t="shared" si="7"/>
        <v>1.65</v>
      </c>
    </row>
    <row r="210" spans="1:11" ht="15" customHeight="1" x14ac:dyDescent="0.3">
      <c r="A210" s="28">
        <v>1.66</v>
      </c>
      <c r="B210" s="29">
        <v>0.1992964024360577</v>
      </c>
      <c r="C210" s="29">
        <v>0.78900101099028941</v>
      </c>
      <c r="D210" s="29">
        <v>1.7230621737767335</v>
      </c>
      <c r="E210" s="29">
        <v>1.6035831716018922</v>
      </c>
      <c r="F210" s="29">
        <v>2.7630735054921454</v>
      </c>
      <c r="G210" s="30">
        <v>1.2652287436009078</v>
      </c>
      <c r="J210" s="24"/>
      <c r="K210" s="24">
        <f t="shared" si="7"/>
        <v>1.66</v>
      </c>
    </row>
    <row r="211" spans="1:11" ht="15" customHeight="1" x14ac:dyDescent="0.3">
      <c r="A211" s="28">
        <v>1.67</v>
      </c>
      <c r="B211" s="29">
        <v>0.1987979496699018</v>
      </c>
      <c r="C211" s="29">
        <v>0.78898811485104847</v>
      </c>
      <c r="D211" s="29">
        <v>1.7187526875226944</v>
      </c>
      <c r="E211" s="29">
        <v>1.5952151758593354</v>
      </c>
      <c r="F211" s="29">
        <v>2.7417803706852202</v>
      </c>
      <c r="G211" s="30">
        <v>1.2586058143830408</v>
      </c>
      <c r="J211" s="24"/>
      <c r="K211" s="24">
        <f t="shared" si="7"/>
        <v>1.67</v>
      </c>
    </row>
    <row r="212" spans="1:11" ht="15" customHeight="1" x14ac:dyDescent="0.3">
      <c r="A212" s="28">
        <v>1.68</v>
      </c>
      <c r="B212" s="29">
        <v>0.19830426309513469</v>
      </c>
      <c r="C212" s="29">
        <v>0.7889737774185257</v>
      </c>
      <c r="D212" s="29">
        <v>1.714484408455512</v>
      </c>
      <c r="E212" s="29">
        <v>1.5868857289217611</v>
      </c>
      <c r="F212" s="29">
        <v>2.7206908402369194</v>
      </c>
      <c r="G212" s="30">
        <v>1.2520112278789524</v>
      </c>
      <c r="J212" s="24"/>
      <c r="K212" s="24">
        <f t="shared" si="7"/>
        <v>1.68</v>
      </c>
    </row>
    <row r="213" spans="1:11" ht="15" customHeight="1" x14ac:dyDescent="0.3">
      <c r="A213" s="28">
        <v>1.69</v>
      </c>
      <c r="B213" s="29">
        <v>0.19781526745400385</v>
      </c>
      <c r="C213" s="29">
        <v>0.78895803506104578</v>
      </c>
      <c r="D213" s="29">
        <v>1.7102566859172459</v>
      </c>
      <c r="E213" s="29">
        <v>1.5785944422745837</v>
      </c>
      <c r="F213" s="29">
        <v>2.6998016992519127</v>
      </c>
      <c r="G213" s="30">
        <v>1.2454447693352431</v>
      </c>
      <c r="J213" s="24"/>
      <c r="K213" s="24">
        <f t="shared" si="7"/>
        <v>1.69</v>
      </c>
    </row>
    <row r="214" spans="1:11" ht="15" customHeight="1" x14ac:dyDescent="0.3">
      <c r="A214" s="28">
        <v>1.7</v>
      </c>
      <c r="B214" s="29">
        <v>0.1973308891185466</v>
      </c>
      <c r="C214" s="29">
        <v>0.78894092317404563</v>
      </c>
      <c r="D214" s="29">
        <v>1.7060688833406736</v>
      </c>
      <c r="E214" s="29">
        <v>1.5703409332517617</v>
      </c>
      <c r="F214" s="29">
        <v>2.6791098024569844</v>
      </c>
      <c r="G214" s="30">
        <v>1.2389062255776373</v>
      </c>
      <c r="J214" s="24"/>
      <c r="K214" s="24">
        <f t="shared" si="7"/>
        <v>1.7</v>
      </c>
    </row>
    <row r="215" spans="1:11" ht="15" customHeight="1" x14ac:dyDescent="0.3">
      <c r="A215" s="28">
        <v>1.71</v>
      </c>
      <c r="B215" s="29">
        <v>0.19685105604622252</v>
      </c>
      <c r="C215" s="29">
        <v>0.78892247621064227</v>
      </c>
      <c r="D215" s="29">
        <v>1.7019203778656991</v>
      </c>
      <c r="E215" s="29">
        <v>1.562124824922632</v>
      </c>
      <c r="F215" s="29">
        <v>2.6586120723057149</v>
      </c>
      <c r="G215" s="30">
        <v>1.2323953850280789</v>
      </c>
      <c r="J215" s="24"/>
      <c r="K215" s="24">
        <f t="shared" si="7"/>
        <v>1.71</v>
      </c>
    </row>
    <row r="216" spans="1:11" ht="15" customHeight="1" x14ac:dyDescent="0.3">
      <c r="A216" s="28">
        <v>1.72</v>
      </c>
      <c r="B216" s="29">
        <v>0.19637569773699026</v>
      </c>
      <c r="C216" s="29">
        <v>0.78890272771107861</v>
      </c>
      <c r="D216" s="29">
        <v>1.6978105599682518</v>
      </c>
      <c r="E216" s="29">
        <v>1.5539457459813475</v>
      </c>
      <c r="F216" s="29">
        <v>2.6383054971448745</v>
      </c>
      <c r="G216" s="30">
        <v>1.2259120377197119</v>
      </c>
      <c r="J216" s="24"/>
      <c r="K216" s="24">
        <f t="shared" si="7"/>
        <v>1.72</v>
      </c>
    </row>
    <row r="217" spans="1:11" ht="15" customHeight="1" x14ac:dyDescent="0.3">
      <c r="A217" s="28">
        <v>1.73</v>
      </c>
      <c r="B217" s="29">
        <v>0.19590474519177409</v>
      </c>
      <c r="C217" s="29">
        <v>0.7888817103310809</v>
      </c>
      <c r="D217" s="29">
        <v>1.6937388331011989</v>
      </c>
      <c r="E217" s="29">
        <v>1.5458033306388357</v>
      </c>
      <c r="F217" s="29">
        <v>2.6181871294401682</v>
      </c>
      <c r="G217" s="30">
        <v>1.219455975309846</v>
      </c>
      <c r="J217" s="24"/>
      <c r="K217" s="24">
        <f t="shared" si="7"/>
        <v>1.73</v>
      </c>
    </row>
    <row r="218" spans="1:11" ht="15" customHeight="1" x14ac:dyDescent="0.3">
      <c r="A218" s="28">
        <v>1.74</v>
      </c>
      <c r="B218" s="29">
        <v>0.19543813087226836</v>
      </c>
      <c r="C218" s="29">
        <v>0.78885945586918504</v>
      </c>
      <c r="D218" s="29">
        <v>1.6897046133468265</v>
      </c>
      <c r="E218" s="29">
        <v>1.5376972185172355</v>
      </c>
      <c r="F218" s="29">
        <v>2.5982540840591559</v>
      </c>
      <c r="G218" s="30">
        <v>1.2130269910910658</v>
      </c>
      <c r="J218" s="24"/>
      <c r="K218" s="24">
        <f t="shared" si="7"/>
        <v>1.74</v>
      </c>
    </row>
    <row r="219" spans="1:11" ht="15" customHeight="1" x14ac:dyDescent="0.3">
      <c r="A219" s="28">
        <v>1.75</v>
      </c>
      <c r="B219" s="29">
        <v>0.19497578866203025</v>
      </c>
      <c r="C219" s="29">
        <v>0.78883599529306825</v>
      </c>
      <c r="D219" s="29">
        <v>1.6857073290804574</v>
      </c>
      <c r="E219" s="29">
        <v>1.5296270545467363</v>
      </c>
      <c r="F219" s="29">
        <v>2.578503536609186</v>
      </c>
      <c r="G219" s="30">
        <v>1.2066248800005792</v>
      </c>
      <c r="J219" s="24"/>
      <c r="K219" s="24">
        <f t="shared" si="7"/>
        <v>1.75</v>
      </c>
    </row>
    <row r="220" spans="1:11" ht="15" customHeight="1" x14ac:dyDescent="0.3">
      <c r="A220" s="28">
        <v>1.76</v>
      </c>
      <c r="B220" s="29">
        <v>0.19451765382881223</v>
      </c>
      <c r="C220" s="29">
        <v>0.78881135876493236</v>
      </c>
      <c r="D220" s="29">
        <v>1.6817464206447885</v>
      </c>
      <c r="E220" s="29">
        <v>1.5215924888647556</v>
      </c>
      <c r="F220" s="29">
        <v>2.558932721828298</v>
      </c>
      <c r="G220" s="30">
        <v>1.200249438627923</v>
      </c>
      <c r="J220" s="24"/>
      <c r="K220" s="24">
        <f t="shared" si="7"/>
        <v>1.76</v>
      </c>
    </row>
    <row r="221" spans="1:11" ht="15" customHeight="1" x14ac:dyDescent="0.3">
      <c r="A221" s="28">
        <v>1.77</v>
      </c>
      <c r="B221" s="29">
        <v>0.19406366298808897</v>
      </c>
      <c r="C221" s="29">
        <v>0.78878557566597496</v>
      </c>
      <c r="D221" s="29">
        <v>1.6778213400345534</v>
      </c>
      <c r="E221" s="29">
        <v>1.5135931767174018</v>
      </c>
      <c r="F221" s="29">
        <v>2.5395389320271478</v>
      </c>
      <c r="G221" s="30">
        <v>1.1939004652211276</v>
      </c>
      <c r="J221" s="24"/>
      <c r="K221" s="24">
        <f t="shared" si="7"/>
        <v>1.77</v>
      </c>
    </row>
    <row r="222" spans="1:11" ht="15" customHeight="1" x14ac:dyDescent="0.3">
      <c r="A222" s="28">
        <v>1.78</v>
      </c>
      <c r="B222" s="29">
        <v>0.19361375406773551</v>
      </c>
      <c r="C222" s="29">
        <v>0.78875867461998772</v>
      </c>
      <c r="D222" s="29">
        <v>1.6739315505911414</v>
      </c>
      <c r="E222" s="29">
        <v>1.5056287783631765</v>
      </c>
      <c r="F222" s="29">
        <v>2.5203195155801179</v>
      </c>
      <c r="G222" s="30">
        <v>1.1875777596914503</v>
      </c>
      <c r="J222" s="24"/>
      <c r="K222" s="24">
        <f t="shared" si="7"/>
        <v>1.78</v>
      </c>
    </row>
    <row r="223" spans="1:11" ht="15" customHeight="1" x14ac:dyDescent="0.3">
      <c r="A223" s="28">
        <v>1.79</v>
      </c>
      <c r="B223" s="29">
        <v>0.19316786627381274</v>
      </c>
      <c r="C223" s="29">
        <v>0.78873068351611819</v>
      </c>
      <c r="D223" s="29">
        <v>1.6700765267067863</v>
      </c>
      <c r="E223" s="29">
        <v>1.4976989589788237</v>
      </c>
      <c r="F223" s="29">
        <v>2.5012718754637233</v>
      </c>
      <c r="G223" s="30">
        <v>1.1812811236167462</v>
      </c>
      <c r="J223" s="24"/>
      <c r="K223" s="24">
        <f t="shared" si="7"/>
        <v>1.79</v>
      </c>
    </row>
    <row r="224" spans="1:11" ht="15" customHeight="1" x14ac:dyDescent="0.3">
      <c r="A224" s="28">
        <v>1.8</v>
      </c>
      <c r="B224" s="29">
        <v>0.1927259400574225</v>
      </c>
      <c r="C224" s="29">
        <v>0.78870162953082934</v>
      </c>
      <c r="D224" s="29">
        <v>1.6662557535380051</v>
      </c>
      <c r="E224" s="29">
        <v>1.4898033885673163</v>
      </c>
      <c r="F224" s="29">
        <v>2.4823934678407071</v>
      </c>
      <c r="G224" s="30">
        <v>1.1750103602435937</v>
      </c>
      <c r="J224" s="24"/>
      <c r="K224" s="24">
        <f t="shared" si="7"/>
        <v>1.8</v>
      </c>
    </row>
    <row r="225" spans="1:11" ht="15" customHeight="1" x14ac:dyDescent="0.3">
      <c r="A225" s="28">
        <v>1.81</v>
      </c>
      <c r="B225" s="29">
        <v>0.19228791708259099</v>
      </c>
      <c r="C225" s="29">
        <v>0.78867153914908716</v>
      </c>
      <c r="D225" s="29">
        <v>1.6624687267279277</v>
      </c>
      <c r="E225" s="29">
        <v>1.4819417418678889</v>
      </c>
      <c r="F225" s="29">
        <v>2.4636818006880765</v>
      </c>
      <c r="G225" s="30">
        <v>1.1687652744882271</v>
      </c>
      <c r="J225" s="24"/>
      <c r="K225" s="24">
        <f t="shared" si="7"/>
        <v>1.81</v>
      </c>
    </row>
    <row r="226" spans="1:11" ht="15" customHeight="1" x14ac:dyDescent="0.3">
      <c r="A226" s="28">
        <v>1.82</v>
      </c>
      <c r="B226" s="29">
        <v>0.19185374019514573</v>
      </c>
      <c r="C226" s="29">
        <v>0.78864043818481255</v>
      </c>
      <c r="D226" s="29">
        <v>1.6587149521372142</v>
      </c>
      <c r="E226" s="29">
        <v>1.4741136982680922</v>
      </c>
      <c r="F226" s="29">
        <v>2.4451344324675701</v>
      </c>
      <c r="G226" s="30">
        <v>1.1625456729363828</v>
      </c>
      <c r="J226" s="24"/>
      <c r="K226" s="24">
        <f t="shared" si="7"/>
        <v>1.82</v>
      </c>
    </row>
    <row r="227" spans="1:11" ht="15" customHeight="1" x14ac:dyDescent="0.3">
      <c r="A227" s="28">
        <v>1.83</v>
      </c>
      <c r="B227" s="29">
        <v>0.19142335339254885</v>
      </c>
      <c r="C227" s="29">
        <v>0.78860835180062205</v>
      </c>
      <c r="D227" s="29">
        <v>1.6549939455832434</v>
      </c>
      <c r="E227" s="29">
        <v>1.4663189417178015</v>
      </c>
      <c r="F227" s="29">
        <v>2.4267489708369903</v>
      </c>
      <c r="G227" s="30">
        <v>1.1563513638421079</v>
      </c>
      <c r="J227" s="24"/>
      <c r="K227" s="24">
        <f t="shared" si="7"/>
        <v>1.83</v>
      </c>
    </row>
    <row r="228" spans="1:11" ht="15" customHeight="1" x14ac:dyDescent="0.3">
      <c r="A228" s="28">
        <v>1.84</v>
      </c>
      <c r="B228" s="29">
        <v>0.19099670179465358</v>
      </c>
      <c r="C228" s="29">
        <v>0.78857530452688818</v>
      </c>
      <c r="D228" s="29">
        <v>1.6513052325872795</v>
      </c>
      <c r="E228" s="29">
        <v>1.4585571606451313</v>
      </c>
      <c r="F228" s="29">
        <v>2.4085230714009507</v>
      </c>
      <c r="G228" s="30">
        <v>1.1501821571256077</v>
      </c>
      <c r="J228" s="24"/>
      <c r="K228" s="24">
        <f t="shared" si="7"/>
        <v>1.84</v>
      </c>
    </row>
    <row r="229" spans="1:11" ht="15" customHeight="1" x14ac:dyDescent="0.3">
      <c r="A229" s="28">
        <v>1.85</v>
      </c>
      <c r="B229" s="29">
        <v>0.19057373161535066</v>
      </c>
      <c r="C229" s="29">
        <v>0.78854132028014834</v>
      </c>
      <c r="D229" s="29">
        <v>1.6476483481293362</v>
      </c>
      <c r="E229" s="29">
        <v>1.4508280478742193</v>
      </c>
      <c r="F229" s="29">
        <v>2.3904544364996672</v>
      </c>
      <c r="G229" s="30">
        <v>1.1440378643702072</v>
      </c>
      <c r="J229" s="24"/>
      <c r="K229" s="24">
        <f t="shared" si="7"/>
        <v>1.85</v>
      </c>
    </row>
    <row r="230" spans="1:11" ht="15" customHeight="1" x14ac:dyDescent="0.3">
      <c r="A230" s="28">
        <v>1.86</v>
      </c>
      <c r="B230" s="29">
        <v>0.19015439013507379</v>
      </c>
      <c r="C230" s="29">
        <v>0.78850642238088287</v>
      </c>
      <c r="D230" s="29">
        <v>1.6440228364104659</v>
      </c>
      <c r="E230" s="29">
        <v>1.4431313005448252</v>
      </c>
      <c r="F230" s="29">
        <v>2.3725408140344277</v>
      </c>
      <c r="G230" s="30">
        <v>1.1379182988184708</v>
      </c>
      <c r="J230" s="24"/>
      <c r="K230" s="24">
        <f t="shared" si="7"/>
        <v>1.86</v>
      </c>
    </row>
    <row r="231" spans="1:11" ht="15" customHeight="1" x14ac:dyDescent="0.3">
      <c r="A231" s="28">
        <v>1.87</v>
      </c>
      <c r="B231" s="29">
        <v>0.18973862567413327</v>
      </c>
      <c r="C231" s="29">
        <v>0.78847063357069458</v>
      </c>
      <c r="D231" s="29">
        <v>1.6404282506222096</v>
      </c>
      <c r="E231" s="29">
        <v>1.4354666200336967</v>
      </c>
      <c r="F231" s="29">
        <v>2.3547799963284533</v>
      </c>
      <c r="G231" s="30">
        <v>1.1318232753675523</v>
      </c>
      <c r="J231" s="24"/>
      <c r="K231" s="24">
        <f t="shared" si="7"/>
        <v>1.87</v>
      </c>
    </row>
    <row r="232" spans="1:11" ht="15" customHeight="1" x14ac:dyDescent="0.3">
      <c r="A232" s="28">
        <v>1.88</v>
      </c>
      <c r="B232" s="29">
        <v>0.18932638756684964</v>
      </c>
      <c r="C232" s="29">
        <v>0.78843397602890408</v>
      </c>
      <c r="D232" s="29">
        <v>1.636864152722963</v>
      </c>
      <c r="E232" s="29">
        <v>1.4278337118776612</v>
      </c>
      <c r="F232" s="29">
        <v>2.3371698190219115</v>
      </c>
      <c r="G232" s="30">
        <v>1.1257526105638131</v>
      </c>
      <c r="J232" s="24"/>
      <c r="K232" s="24">
        <f t="shared" si="7"/>
        <v>1.88</v>
      </c>
    </row>
    <row r="233" spans="1:11" ht="15" customHeight="1" x14ac:dyDescent="0.3">
      <c r="A233" s="28">
        <v>1.89</v>
      </c>
      <c r="B233" s="29">
        <v>0.18891762613645882</v>
      </c>
      <c r="C233" s="29">
        <v>0.78839647138859448</v>
      </c>
      <c r="D233" s="29">
        <v>1.6333301132210143</v>
      </c>
      <c r="E233" s="29">
        <v>1.4202322856984069</v>
      </c>
      <c r="F233" s="29">
        <v>2.3197081599999185</v>
      </c>
      <c r="G233" s="30">
        <v>1.1197061225967821</v>
      </c>
      <c r="J233" s="24"/>
      <c r="K233" s="24">
        <f t="shared" si="7"/>
        <v>1.89</v>
      </c>
    </row>
    <row r="234" spans="1:11" ht="15" customHeight="1" x14ac:dyDescent="0.3">
      <c r="A234" s="28">
        <v>1.9</v>
      </c>
      <c r="B234" s="29">
        <v>0.18851229267076222</v>
      </c>
      <c r="C234" s="29">
        <v>0.78835814075211508</v>
      </c>
      <c r="D234" s="29">
        <v>1.6298257109640206</v>
      </c>
      <c r="E234" s="29">
        <v>1.4126620551288953</v>
      </c>
      <c r="F234" s="29">
        <v>2.3023929383523463</v>
      </c>
      <c r="G234" s="30">
        <v>1.1136836312924778</v>
      </c>
      <c r="J234" s="24"/>
      <c r="K234" s="24">
        <f t="shared" si="7"/>
        <v>1.9</v>
      </c>
    </row>
    <row r="235" spans="1:11" ht="15" customHeight="1" x14ac:dyDescent="0.3">
      <c r="A235" s="28">
        <v>1.91</v>
      </c>
      <c r="B235" s="29">
        <v>0.18811033939849681</v>
      </c>
      <c r="C235" s="29">
        <v>0.78831900470607597</v>
      </c>
      <c r="D235" s="29">
        <v>1.6263505329347105</v>
      </c>
      <c r="E235" s="29">
        <v>1.4051227377413826</v>
      </c>
      <c r="F235" s="29">
        <v>2.2852221133643771</v>
      </c>
      <c r="G235" s="30">
        <v>1.1076849581061634</v>
      </c>
      <c r="J235" s="24"/>
      <c r="K235" s="24">
        <f t="shared" si="7"/>
        <v>1.91</v>
      </c>
    </row>
    <row r="236" spans="1:11" ht="15" customHeight="1" x14ac:dyDescent="0.3">
      <c r="A236" s="28">
        <v>1.92</v>
      </c>
      <c r="B236" s="29">
        <v>0.18771171946639917</v>
      </c>
      <c r="C236" s="29">
        <v>0.78827908333584451</v>
      </c>
      <c r="D236" s="29">
        <v>1.6229041740525865</v>
      </c>
      <c r="E236" s="29">
        <v>1.3976140549769982</v>
      </c>
      <c r="F236" s="29">
        <v>2.2681936835367313</v>
      </c>
      <c r="G236" s="30">
        <v>1.1017099261145606</v>
      </c>
      <c r="J236" s="24"/>
      <c r="K236" s="24">
        <f t="shared" ref="K236:K299" si="8">A236</f>
        <v>1.92</v>
      </c>
    </row>
    <row r="237" spans="1:11" ht="15" customHeight="1" x14ac:dyDescent="0.3">
      <c r="A237" s="28">
        <v>1.93</v>
      </c>
      <c r="B237" s="29">
        <v>0.18731638691694127</v>
      </c>
      <c r="C237" s="29">
        <v>0.78823839623956682</v>
      </c>
      <c r="D237" s="29">
        <v>1.6194862369814336</v>
      </c>
      <c r="E237" s="29">
        <v>1.3901357320768462</v>
      </c>
      <c r="F237" s="29">
        <v>2.2513056856345619</v>
      </c>
      <c r="G237" s="30">
        <v>1.0957583600075693</v>
      </c>
      <c r="J237" s="24"/>
      <c r="K237" s="24">
        <f t="shared" si="8"/>
        <v>1.93</v>
      </c>
    </row>
    <row r="238" spans="1:11" ht="15" customHeight="1" x14ac:dyDescent="0.3">
      <c r="A238" s="28">
        <v>1.94</v>
      </c>
      <c r="B238" s="29">
        <v>0.18692429666671428</v>
      </c>
      <c r="C238" s="29">
        <v>0.78819696254173366</v>
      </c>
      <c r="D238" s="29">
        <v>1.6160963319424324</v>
      </c>
      <c r="E238" s="29">
        <v>1.3826874980145949</v>
      </c>
      <c r="F238" s="29">
        <v>2.2345561937640461</v>
      </c>
      <c r="G238" s="30">
        <v>1.0898300860795331</v>
      </c>
      <c r="J238" s="24"/>
      <c r="K238" s="24">
        <f t="shared" si="8"/>
        <v>1.94</v>
      </c>
    </row>
    <row r="239" spans="1:11" ht="15" customHeight="1" x14ac:dyDescent="0.3">
      <c r="A239" s="28">
        <v>1.95</v>
      </c>
      <c r="B239" s="29">
        <v>0.18653540448543784</v>
      </c>
      <c r="C239" s="29">
        <v>0.78815480090630219</v>
      </c>
      <c r="D239" s="29">
        <v>1.6127340765326794</v>
      </c>
      <c r="E239" s="29">
        <v>1.3752690854305021</v>
      </c>
      <c r="F239" s="29">
        <v>2.2179433184757036</v>
      </c>
      <c r="G239" s="30">
        <v>1.0839249322200697</v>
      </c>
      <c r="J239" s="24"/>
      <c r="K239" s="24">
        <f t="shared" si="8"/>
        <v>1.95</v>
      </c>
    </row>
    <row r="240" spans="1:11" ht="15" customHeight="1" x14ac:dyDescent="0.3">
      <c r="A240" s="28">
        <v>1.96</v>
      </c>
      <c r="B240" s="29">
        <v>0.18614966697557628</v>
      </c>
      <c r="C240" s="29">
        <v>0.78811192954939779</v>
      </c>
      <c r="D240" s="29">
        <v>1.6093990955489532</v>
      </c>
      <c r="E240" s="29">
        <v>1.3678802305668711</v>
      </c>
      <c r="F240" s="29">
        <v>2.2014652058936162</v>
      </c>
      <c r="G240" s="30">
        <v>1.0780427279045319</v>
      </c>
      <c r="J240" s="24"/>
      <c r="K240" s="24">
        <f t="shared" si="8"/>
        <v>1.96</v>
      </c>
    </row>
    <row r="241" spans="1:11" ht="15" customHeight="1" x14ac:dyDescent="0.3">
      <c r="A241" s="28">
        <v>1.97</v>
      </c>
      <c r="B241" s="29">
        <v>0.18576704155253804</v>
      </c>
      <c r="C241" s="29">
        <v>0.78806836625160415</v>
      </c>
      <c r="D241" s="29">
        <v>1.6060910208165253</v>
      </c>
      <c r="E241" s="29">
        <v>1.3605206732048689</v>
      </c>
      <c r="F241" s="29">
        <v>2.185120036869594</v>
      </c>
      <c r="G241" s="30">
        <v>1.0721833041840936</v>
      </c>
      <c r="J241" s="24"/>
      <c r="K241" s="24">
        <f t="shared" si="8"/>
        <v>1.97</v>
      </c>
    </row>
    <row r="242" spans="1:11" ht="15" customHeight="1" x14ac:dyDescent="0.3">
      <c r="A242" s="28">
        <v>1.98</v>
      </c>
      <c r="B242" s="29">
        <v>0.18538748642544212</v>
      </c>
      <c r="C242" s="29">
        <v>0.78802412836986357</v>
      </c>
      <c r="D242" s="29">
        <v>1.6028094910228712</v>
      </c>
      <c r="E242" s="29">
        <v>1.3531901566027025</v>
      </c>
      <c r="F242" s="29">
        <v>2.1689060261615367</v>
      </c>
      <c r="G242" s="30">
        <v>1.0663464936755238</v>
      </c>
      <c r="J242" s="24"/>
      <c r="K242" s="24">
        <f t="shared" si="8"/>
        <v>1.98</v>
      </c>
    </row>
    <row r="243" spans="1:11" ht="15" customHeight="1" x14ac:dyDescent="0.3">
      <c r="A243" s="28">
        <v>1.99</v>
      </c>
      <c r="B243" s="29">
        <v>0.18501096057842967</v>
      </c>
      <c r="C243" s="29">
        <v>0.78797923284899629</v>
      </c>
      <c r="D243" s="29">
        <v>1.599554151556096</v>
      </c>
      <c r="E243" s="29">
        <v>1.3458884274350862</v>
      </c>
      <c r="F243" s="29">
        <v>2.1528214216350974</v>
      </c>
      <c r="G243" s="30">
        <v>1.0605321305506412</v>
      </c>
      <c r="J243" s="24"/>
      <c r="K243" s="24">
        <f t="shared" si="8"/>
        <v>1.99</v>
      </c>
    </row>
    <row r="244" spans="1:11" ht="15" customHeight="1" x14ac:dyDescent="0.3">
      <c r="A244" s="28">
        <v>2</v>
      </c>
      <c r="B244" s="29">
        <v>0.18463742375250583</v>
      </c>
      <c r="C244" s="29">
        <v>0.7879336962328567</v>
      </c>
      <c r="D244" s="29">
        <v>1.5963246543479441</v>
      </c>
      <c r="E244" s="29">
        <v>1.3386152357340162</v>
      </c>
      <c r="F244" s="29">
        <v>2.1368645034879949</v>
      </c>
      <c r="G244" s="30">
        <v>1.0547400505255202</v>
      </c>
      <c r="J244" s="24"/>
      <c r="K244" s="24">
        <f t="shared" si="8"/>
        <v>2</v>
      </c>
    </row>
    <row r="245" spans="1:11" ht="15" customHeight="1" x14ac:dyDescent="0.3">
      <c r="A245" s="28">
        <v>2.0099999999999998</v>
      </c>
      <c r="B245" s="29">
        <v>0.18426683642789146</v>
      </c>
      <c r="C245" s="29">
        <v>0.78788753467513917</v>
      </c>
      <c r="D245" s="29">
        <v>1.5931206577212162</v>
      </c>
      <c r="E245" s="29">
        <v>1.3313703348307646</v>
      </c>
      <c r="F245" s="29">
        <v>2.1210335834961036</v>
      </c>
      <c r="G245" s="30">
        <v>1.0489700908494257</v>
      </c>
      <c r="J245" s="24"/>
      <c r="K245" s="24">
        <f t="shared" si="8"/>
        <v>2.0099999999999998</v>
      </c>
    </row>
    <row r="246" spans="1:11" ht="15" customHeight="1" x14ac:dyDescent="0.3">
      <c r="A246" s="28">
        <v>2.02</v>
      </c>
      <c r="B246" s="29">
        <v>0.18389915980687038</v>
      </c>
      <c r="C246" s="29">
        <v>0.7878407639498427</v>
      </c>
      <c r="D246" s="29">
        <v>1.5899418262414722</v>
      </c>
      <c r="E246" s="29">
        <v>1.3241534812991143</v>
      </c>
      <c r="F246" s="29">
        <v>2.1053270042807166</v>
      </c>
      <c r="G246" s="30">
        <v>1.0432220902935379</v>
      </c>
      <c r="J246" s="24"/>
      <c r="K246" s="24">
        <f t="shared" si="8"/>
        <v>2.02</v>
      </c>
    </row>
    <row r="247" spans="1:11" ht="15" customHeight="1" x14ac:dyDescent="0.3">
      <c r="A247" s="28">
        <v>2.0299999999999998</v>
      </c>
      <c r="B247" s="29">
        <v>0.18353435579711447</v>
      </c>
      <c r="C247" s="29">
        <v>0.78779339946141114</v>
      </c>
      <c r="D247" s="29">
        <v>1.5867878305728642</v>
      </c>
      <c r="E247" s="29">
        <v>1.3169644348997684</v>
      </c>
      <c r="F247" s="29">
        <v>2.0897431385962215</v>
      </c>
      <c r="G247" s="30">
        <v>1.0374958891394648</v>
      </c>
      <c r="J247" s="24"/>
      <c r="K247" s="24">
        <f t="shared" si="8"/>
        <v>2.0299999999999998</v>
      </c>
    </row>
    <row r="248" spans="1:11" ht="15" customHeight="1" x14ac:dyDescent="0.3">
      <c r="A248" s="28">
        <v>2.04</v>
      </c>
      <c r="B248" s="29">
        <v>0.18317238699547211</v>
      </c>
      <c r="C248" s="29">
        <v>0.78774545625456127</v>
      </c>
      <c r="D248" s="29">
        <v>1.5836583473379755</v>
      </c>
      <c r="E248" s="29">
        <v>1.3098029585259265</v>
      </c>
      <c r="F248" s="29">
        <v>2.0742803886375594</v>
      </c>
      <c r="G248" s="30">
        <v>1.0317913291675802</v>
      </c>
      <c r="J248" s="24"/>
      <c r="K248" s="24">
        <f t="shared" si="8"/>
        <v>2.04</v>
      </c>
    </row>
    <row r="249" spans="1:11" ht="15" customHeight="1" x14ac:dyDescent="0.3">
      <c r="A249" s="28">
        <v>2.0499999999999998</v>
      </c>
      <c r="B249" s="29">
        <v>0.18281321667220407</v>
      </c>
      <c r="C249" s="29">
        <v>0.78769694902380227</v>
      </c>
      <c r="D249" s="29">
        <v>1.5805530589815293</v>
      </c>
      <c r="E249" s="29">
        <v>1.3026688181499901</v>
      </c>
      <c r="F249" s="29">
        <v>2.0589371853668204</v>
      </c>
      <c r="G249" s="30">
        <v>1.0261082536451895</v>
      </c>
      <c r="J249" s="24"/>
      <c r="K249" s="24">
        <f t="shared" si="8"/>
        <v>2.0499999999999998</v>
      </c>
    </row>
    <row r="250" spans="1:11" ht="15" customHeight="1" x14ac:dyDescent="0.3">
      <c r="A250" s="28">
        <v>2.06</v>
      </c>
      <c r="B250" s="29">
        <v>0.18245680875565323</v>
      </c>
      <c r="C250" s="29">
        <v>0.78764789212266639</v>
      </c>
      <c r="D250" s="29">
        <v>1.5774716536378461</v>
      </c>
      <c r="E250" s="29">
        <v>1.2955617827713644</v>
      </c>
      <c r="F250" s="29">
        <v>2.0437119878583401</v>
      </c>
      <c r="G250" s="30">
        <v>1.020446507314549</v>
      </c>
      <c r="J250" s="24"/>
      <c r="K250" s="24">
        <f t="shared" si="8"/>
        <v>2.06</v>
      </c>
    </row>
    <row r="251" spans="1:11" ht="15" customHeight="1" x14ac:dyDescent="0.3">
      <c r="A251" s="28">
        <v>2.0699999999999998</v>
      </c>
      <c r="B251" s="29">
        <v>0.18210312781733473</v>
      </c>
      <c r="C251" s="29">
        <v>0.78759829957265814</v>
      </c>
      <c r="D251" s="29">
        <v>1.5744138250019377</v>
      </c>
      <c r="E251" s="29">
        <v>1.2884816243653672</v>
      </c>
      <c r="F251" s="29">
        <v>2.0286032826617877</v>
      </c>
      <c r="G251" s="30">
        <v>1.0148059363807795</v>
      </c>
      <c r="J251" s="24"/>
      <c r="K251" s="24">
        <f t="shared" si="8"/>
        <v>2.0699999999999998</v>
      </c>
    </row>
    <row r="252" spans="1:11" ht="15" customHeight="1" x14ac:dyDescent="0.3">
      <c r="A252" s="28">
        <v>2.08</v>
      </c>
      <c r="B252" s="29">
        <v>0.18175213905743073</v>
      </c>
      <c r="C252" s="29">
        <v>0.78754818507192936</v>
      </c>
      <c r="D252" s="29">
        <v>1.5713792722040998</v>
      </c>
      <c r="E252" s="29">
        <v>1.2814281178331477</v>
      </c>
      <c r="F252" s="29">
        <v>2.0136095831825211</v>
      </c>
      <c r="G252" s="30">
        <v>1.0091863884996339</v>
      </c>
      <c r="J252" s="24"/>
      <c r="K252" s="24">
        <f t="shared" si="8"/>
        <v>2.08</v>
      </c>
    </row>
    <row r="253" spans="1:11" ht="15" customHeight="1" x14ac:dyDescent="0.3">
      <c r="A253" s="28">
        <v>2.09</v>
      </c>
      <c r="B253" s="29">
        <v>0.18140380829068042</v>
      </c>
      <c r="C253" s="29">
        <v>0.78749756200369181</v>
      </c>
      <c r="D253" s="29">
        <v>1.5683676996879192</v>
      </c>
      <c r="E253" s="29">
        <v>1.2744010409526676</v>
      </c>
      <c r="F253" s="29">
        <v>1.9987294290788249</v>
      </c>
      <c r="G253" s="30">
        <v>1.0035877127651927</v>
      </c>
      <c r="J253" s="24"/>
      <c r="K253" s="24">
        <f t="shared" si="8"/>
        <v>2.09</v>
      </c>
    </row>
    <row r="254" spans="1:11" ht="15" customHeight="1" x14ac:dyDescent="0.3">
      <c r="A254" s="28">
        <v>2.1</v>
      </c>
      <c r="B254" s="29">
        <v>0.1810581019326501</v>
      </c>
      <c r="C254" s="29">
        <v>0.78744644344437909</v>
      </c>
      <c r="D254" s="29">
        <v>1.5653788170915699</v>
      </c>
      <c r="E254" s="29">
        <v>1.2674001743306704</v>
      </c>
      <c r="F254" s="29">
        <v>1.9839613856753942</v>
      </c>
      <c r="G254" s="30">
        <v>0.99800975969747241</v>
      </c>
      <c r="J254" s="24"/>
      <c r="K254" s="24">
        <f t="shared" si="8"/>
        <v>2.1</v>
      </c>
    </row>
    <row r="255" spans="1:11" ht="15" customHeight="1" x14ac:dyDescent="0.3">
      <c r="A255" s="28">
        <v>2.11</v>
      </c>
      <c r="B255" s="29">
        <v>0.18071498698637242</v>
      </c>
      <c r="C255" s="29">
        <v>0.78739484217155842</v>
      </c>
      <c r="D255" s="29">
        <v>1.562412339132299</v>
      </c>
      <c r="E255" s="29">
        <v>1.2604253013556297</v>
      </c>
      <c r="F255" s="29">
        <v>1.9693040433925821</v>
      </c>
      <c r="G255" s="30">
        <v>0.99245238122995505</v>
      </c>
      <c r="J255" s="24"/>
      <c r="K255" s="24">
        <f t="shared" si="8"/>
        <v>2.11</v>
      </c>
    </row>
    <row r="256" spans="1:11" ht="15" customHeight="1" x14ac:dyDescent="0.3">
      <c r="A256" s="28">
        <v>2.12</v>
      </c>
      <c r="B256" s="29">
        <v>0.18037443102934322</v>
      </c>
      <c r="C256" s="29">
        <v>0.78734277067161385</v>
      </c>
      <c r="D256" s="29">
        <v>1.5594679854940059</v>
      </c>
      <c r="E256" s="29">
        <v>1.2534762081516555</v>
      </c>
      <c r="F256" s="29">
        <v>1.9547560171909275</v>
      </c>
      <c r="G256" s="30">
        <v>0.98691543069707299</v>
      </c>
      <c r="J256" s="24"/>
      <c r="K256" s="24">
        <f t="shared" si="8"/>
        <v>2.12</v>
      </c>
    </row>
    <row r="257" spans="1:11" ht="15" customHeight="1" x14ac:dyDescent="0.3">
      <c r="A257" s="28">
        <v>2.13</v>
      </c>
      <c r="B257" s="29">
        <v>0.180036402200865</v>
      </c>
      <c r="C257" s="29">
        <v>0.78729024114719393</v>
      </c>
      <c r="D257" s="29">
        <v>1.5565454807178158</v>
      </c>
      <c r="E257" s="29">
        <v>1.2465526835333356</v>
      </c>
      <c r="F257" s="29">
        <v>1.9403159460304791</v>
      </c>
      <c r="G257" s="30">
        <v>0.98139876282164151</v>
      </c>
      <c r="J257" s="24"/>
      <c r="K257" s="24">
        <f t="shared" si="8"/>
        <v>2.13</v>
      </c>
    </row>
    <row r="258" spans="1:11" ht="15" customHeight="1" x14ac:dyDescent="0.3">
      <c r="A258" s="28">
        <v>2.14</v>
      </c>
      <c r="B258" s="29">
        <v>0.17970086918972533</v>
      </c>
      <c r="C258" s="29">
        <v>0.78723726552444329</v>
      </c>
      <c r="D258" s="29">
        <v>1.5536445540955519</v>
      </c>
      <c r="E258" s="29">
        <v>1.239654518961482</v>
      </c>
      <c r="F258" s="29">
        <v>1.9259824923444477</v>
      </c>
      <c r="G258" s="30">
        <v>0.97590223370225626</v>
      </c>
      <c r="J258" s="24"/>
      <c r="K258" s="24">
        <f t="shared" si="8"/>
        <v>2.14</v>
      </c>
    </row>
    <row r="259" spans="1:11" ht="15" customHeight="1" x14ac:dyDescent="0.3">
      <c r="A259" s="28">
        <v>2.15</v>
      </c>
      <c r="B259" s="29">
        <v>0.17936780122220169</v>
      </c>
      <c r="C259" s="29">
        <v>0.78718385546002245</v>
      </c>
      <c r="D259" s="29">
        <v>1.5507649395660283</v>
      </c>
      <c r="E259" s="29">
        <v>1.2327815084997822</v>
      </c>
      <c r="F259" s="29">
        <v>1.9117543415267819</v>
      </c>
      <c r="G259" s="30">
        <v>0.97042570080068102</v>
      </c>
      <c r="J259" s="24"/>
      <c r="K259" s="24">
        <f t="shared" si="8"/>
        <v>2.15</v>
      </c>
    </row>
    <row r="260" spans="1:11" ht="15" customHeight="1" x14ac:dyDescent="0.3">
      <c r="A260" s="28">
        <v>2.16</v>
      </c>
      <c r="B260" s="29">
        <v>0.17903716805038003</v>
      </c>
      <c r="C260" s="29">
        <v>0.78713002234791696</v>
      </c>
      <c r="D260" s="29">
        <v>1.5479063756140548</v>
      </c>
      <c r="E260" s="29">
        <v>1.2259334487722937</v>
      </c>
      <c r="F260" s="29">
        <v>1.8976302014331596</v>
      </c>
      <c r="G260" s="30">
        <v>0.96496902292919451</v>
      </c>
      <c r="J260" s="24"/>
      <c r="K260" s="24">
        <f t="shared" si="8"/>
        <v>2.16</v>
      </c>
    </row>
    <row r="261" spans="1:11" ht="15" customHeight="1" x14ac:dyDescent="0.3">
      <c r="A261" s="28">
        <v>2.17</v>
      </c>
      <c r="B261" s="29">
        <v>0.17870893994078052</v>
      </c>
      <c r="C261" s="29">
        <v>0.78707577732605394</v>
      </c>
      <c r="D261" s="29">
        <v>1.545068605172099</v>
      </c>
      <c r="E261" s="29">
        <v>1.219110138921818</v>
      </c>
      <c r="F261" s="29">
        <v>1.8836088018950969</v>
      </c>
      <c r="G261" s="30">
        <v>0.95953206023796345</v>
      </c>
      <c r="J261" s="24"/>
      <c r="K261" s="24">
        <f t="shared" si="8"/>
        <v>2.17</v>
      </c>
    </row>
    <row r="262" spans="1:11" ht="15" customHeight="1" x14ac:dyDescent="0.3">
      <c r="A262" s="28">
        <v>2.1800000000000002</v>
      </c>
      <c r="B262" s="29">
        <v>0.17838308766327837</v>
      </c>
      <c r="C262" s="29">
        <v>0.78702113128272311</v>
      </c>
      <c r="D262" s="29">
        <v>1.5422513755244986</v>
      </c>
      <c r="E262" s="29">
        <v>1.2123113805690775</v>
      </c>
      <c r="F262" s="29">
        <v>1.8696888942466638</v>
      </c>
      <c r="G262" s="30">
        <v>0.95411467420239526</v>
      </c>
      <c r="J262" s="24"/>
      <c r="K262" s="24">
        <f t="shared" si="8"/>
        <v>2.1800000000000002</v>
      </c>
    </row>
    <row r="263" spans="1:11" ht="15" customHeight="1" x14ac:dyDescent="0.3">
      <c r="A263" s="28">
        <v>2.19</v>
      </c>
      <c r="B263" s="29">
        <v>0.17805958248031289</v>
      </c>
      <c r="C263" s="29">
        <v>0.78696609486281166</v>
      </c>
      <c r="D263" s="29">
        <v>1.5394544382141657</v>
      </c>
      <c r="E263" s="29">
        <v>1.2055369777727212</v>
      </c>
      <c r="F263" s="29">
        <v>1.8558692508635077</v>
      </c>
      <c r="G263" s="30">
        <v>0.94871672761051451</v>
      </c>
      <c r="J263" s="24"/>
      <c r="K263" s="24">
        <f t="shared" si="8"/>
        <v>2.19</v>
      </c>
    </row>
    <row r="264" spans="1:11" ht="15" customHeight="1" x14ac:dyDescent="0.3">
      <c r="A264" s="28">
        <v>2.2000000000000002</v>
      </c>
      <c r="B264" s="29">
        <v>0.1777383961363744</v>
      </c>
      <c r="C264" s="29">
        <v>0.78691067847386331</v>
      </c>
      <c r="D264" s="29">
        <v>1.5366775489516933</v>
      </c>
      <c r="E264" s="29">
        <v>1.1987867369901046</v>
      </c>
      <c r="F264" s="29">
        <v>1.8421486647137522</v>
      </c>
      <c r="G264" s="30">
        <v>0.94333808455035195</v>
      </c>
      <c r="J264" s="24"/>
      <c r="K264" s="24">
        <f t="shared" si="8"/>
        <v>2.2000000000000002</v>
      </c>
    </row>
    <row r="265" spans="1:11" ht="15" customHeight="1" x14ac:dyDescent="0.3">
      <c r="A265" s="28">
        <v>2.21</v>
      </c>
      <c r="B265" s="29">
        <v>0.17741950084776195</v>
      </c>
      <c r="C265" s="29">
        <v>0.78685489229195915</v>
      </c>
      <c r="D265" s="29">
        <v>1.5339204675268041</v>
      </c>
      <c r="E265" s="29">
        <v>1.1920604670388606</v>
      </c>
      <c r="F265" s="29">
        <v>1.8285259489204693</v>
      </c>
      <c r="G265" s="30">
        <v>0.93797861039736519</v>
      </c>
      <c r="J265" s="24"/>
      <c r="K265" s="24">
        <f t="shared" si="8"/>
        <v>2.21</v>
      </c>
    </row>
    <row r="266" spans="1:11" ht="15" customHeight="1" x14ac:dyDescent="0.3">
      <c r="A266" s="28">
        <v>2.2200000000000002</v>
      </c>
      <c r="B266" s="29">
        <v>0.17710286929260316</v>
      </c>
      <c r="C266" s="29">
        <v>0.78679874626743673</v>
      </c>
      <c r="D266" s="29">
        <v>1.5311829577220635</v>
      </c>
      <c r="E266" s="29">
        <v>1.1853579790592104</v>
      </c>
      <c r="F266" s="29">
        <v>1.8149999363353293</v>
      </c>
      <c r="G266" s="30">
        <v>0.93263817180188924</v>
      </c>
      <c r="J266" s="24"/>
      <c r="K266" s="24">
        <f t="shared" si="8"/>
        <v>2.2200000000000002</v>
      </c>
    </row>
    <row r="267" spans="1:11" ht="15" customHeight="1" x14ac:dyDescent="0.3">
      <c r="A267" s="28">
        <v>2.23</v>
      </c>
      <c r="B267" s="29">
        <v>0.17678847460112776</v>
      </c>
      <c r="C267" s="29">
        <v>0.78674225013043819</v>
      </c>
      <c r="D267" s="29">
        <v>1.5284647872287889</v>
      </c>
      <c r="E267" s="29">
        <v>1.178679086477016</v>
      </c>
      <c r="F267" s="29">
        <v>1.8015694791231156</v>
      </c>
      <c r="G267" s="30">
        <v>0.9273166366766169</v>
      </c>
      <c r="J267" s="24"/>
      <c r="K267" s="24">
        <f t="shared" si="8"/>
        <v>2.23</v>
      </c>
    </row>
    <row r="268" spans="1:11" ht="15" customHeight="1" x14ac:dyDescent="0.3">
      <c r="A268" s="28">
        <v>2.2400000000000002</v>
      </c>
      <c r="B268" s="29">
        <v>0.17647629034618892</v>
      </c>
      <c r="C268" s="29">
        <v>0.78668541339631171</v>
      </c>
      <c r="D268" s="29">
        <v>1.5257657275650984</v>
      </c>
      <c r="E268" s="29">
        <v>1.1720236049675585</v>
      </c>
      <c r="F268" s="29">
        <v>1.7882334483567965</v>
      </c>
      <c r="G268" s="30">
        <v>0.92201387418413927</v>
      </c>
      <c r="J268" s="24"/>
      <c r="K268" s="24">
        <f t="shared" si="8"/>
        <v>2.2400000000000002</v>
      </c>
    </row>
    <row r="269" spans="1:11" ht="15" customHeight="1" x14ac:dyDescent="0.3">
      <c r="A269" s="28">
        <v>2.25</v>
      </c>
      <c r="B269" s="29">
        <v>0.17616629053402327</v>
      </c>
      <c r="C269" s="29">
        <v>0.78662824537085341</v>
      </c>
      <c r="D269" s="29">
        <v>1.5230855539960251</v>
      </c>
      <c r="E269" s="29">
        <v>1.1653913524200179</v>
      </c>
      <c r="F269" s="29">
        <v>1.7749907336228199</v>
      </c>
      <c r="G269" s="30">
        <v>0.91672975472452456</v>
      </c>
      <c r="J269" s="24"/>
      <c r="K269" s="24">
        <f t="shared" si="8"/>
        <v>2.25</v>
      </c>
    </row>
    <row r="270" spans="1:11" ht="15" customHeight="1" x14ac:dyDescent="0.3">
      <c r="A270" s="28">
        <v>2.2599999999999998</v>
      </c>
      <c r="B270" s="29">
        <v>0.17585844959524363</v>
      </c>
      <c r="C270" s="29">
        <v>0.78657075515540464</v>
      </c>
      <c r="D270" s="29">
        <v>1.5204240454556424</v>
      </c>
      <c r="E270" s="29">
        <v>1.1587821489026358</v>
      </c>
      <c r="F270" s="29">
        <v>1.761840242636328</v>
      </c>
      <c r="G270" s="30">
        <v>0.91146414992294877</v>
      </c>
      <c r="J270" s="24"/>
      <c r="K270" s="24">
        <f t="shared" si="8"/>
        <v>2.2599999999999998</v>
      </c>
    </row>
    <row r="271" spans="1:11" ht="15" customHeight="1" x14ac:dyDescent="0.3">
      <c r="A271" s="28">
        <v>2.27</v>
      </c>
      <c r="B271" s="29">
        <v>0.1755527423760572</v>
      </c>
      <c r="C271" s="29">
        <v>0.78651295165180735</v>
      </c>
      <c r="D271" s="29">
        <v>1.5177809844711392</v>
      </c>
      <c r="E271" s="29">
        <v>1.1521958166285564</v>
      </c>
      <c r="F271" s="29">
        <v>1.7487809008660185</v>
      </c>
      <c r="G271" s="30">
        <v>0.90621693261739045</v>
      </c>
      <c r="J271" s="24"/>
      <c r="K271" s="24">
        <f t="shared" si="8"/>
        <v>2.27</v>
      </c>
    </row>
    <row r="272" spans="1:11" ht="15" customHeight="1" x14ac:dyDescent="0.3">
      <c r="A272" s="28">
        <v>2.2799999999999998</v>
      </c>
      <c r="B272" s="29">
        <v>0.17524914412970322</v>
      </c>
      <c r="C272" s="29">
        <v>0.78645484356722251</v>
      </c>
      <c r="D272" s="29">
        <v>1.5151561570887917</v>
      </c>
      <c r="E272" s="29">
        <v>1.1456321799223257</v>
      </c>
      <c r="F272" s="29">
        <v>1.7358116511683661</v>
      </c>
      <c r="G272" s="30">
        <v>0.90098797684638876</v>
      </c>
      <c r="J272" s="24"/>
      <c r="K272" s="24">
        <f t="shared" si="8"/>
        <v>2.2799999999999998</v>
      </c>
    </row>
    <row r="273" spans="1:11" ht="15" customHeight="1" x14ac:dyDescent="0.3">
      <c r="A273" s="28">
        <v>2.29</v>
      </c>
      <c r="B273" s="29">
        <v>0.17494763050810253</v>
      </c>
      <c r="C273" s="29">
        <v>0.7863964394188121</v>
      </c>
      <c r="D273" s="29">
        <v>1.5125493528017686</v>
      </c>
      <c r="E273" s="29">
        <v>1.139091065187027</v>
      </c>
      <c r="F273" s="29">
        <v>1.7229314534309148</v>
      </c>
      <c r="G273" s="30">
        <v>0.89577715783685996</v>
      </c>
      <c r="J273" s="24"/>
      <c r="K273" s="24">
        <f t="shared" si="8"/>
        <v>2.29</v>
      </c>
    </row>
    <row r="274" spans="1:11" ht="15" customHeight="1" x14ac:dyDescent="0.3">
      <c r="A274" s="28">
        <v>2.2999999999999998</v>
      </c>
      <c r="B274" s="29">
        <v>0.17464817755371459</v>
      </c>
      <c r="C274" s="29">
        <v>0.78633774753829766</v>
      </c>
      <c r="D274" s="29">
        <v>1.5099603644797286</v>
      </c>
      <c r="E274" s="29">
        <v>1.1325723008720565</v>
      </c>
      <c r="F274" s="29">
        <v>1.7101392842244152</v>
      </c>
      <c r="G274" s="30">
        <v>0.89058435199200003</v>
      </c>
      <c r="J274" s="24"/>
      <c r="K274" s="24">
        <f t="shared" si="8"/>
        <v>2.2999999999999998</v>
      </c>
    </row>
    <row r="275" spans="1:11" ht="15" customHeight="1" x14ac:dyDescent="0.3">
      <c r="A275" s="28">
        <v>2.31</v>
      </c>
      <c r="B275" s="29">
        <v>0.17435076169159369</v>
      </c>
      <c r="C275" s="29">
        <v>0.78627877607638619</v>
      </c>
      <c r="D275" s="29">
        <v>1.5073889883001403</v>
      </c>
      <c r="E275" s="29">
        <v>1.1260757174414884</v>
      </c>
      <c r="F275" s="29">
        <v>1.6974341364634797</v>
      </c>
      <c r="G275" s="30">
        <v>0.88540943687923201</v>
      </c>
      <c r="J275" s="24"/>
      <c r="K275" s="24">
        <f t="shared" si="8"/>
        <v>2.31</v>
      </c>
    </row>
    <row r="276" spans="1:11" ht="15" customHeight="1" x14ac:dyDescent="0.3">
      <c r="A276" s="28">
        <v>2.3199999999999998</v>
      </c>
      <c r="B276" s="29">
        <v>0.17405535972164157</v>
      </c>
      <c r="C276" s="29">
        <v>0.78621953300708092</v>
      </c>
      <c r="D276" s="29">
        <v>1.5048350236813013</v>
      </c>
      <c r="E276" s="29">
        <v>1.1196011473430747</v>
      </c>
      <c r="F276" s="29">
        <v>1.6848150190756279</v>
      </c>
      <c r="G276" s="30">
        <v>0.8802522912182642</v>
      </c>
      <c r="J276" s="24"/>
      <c r="K276" s="24">
        <f t="shared" si="8"/>
        <v>2.3199999999999998</v>
      </c>
    </row>
    <row r="277" spans="1:11" ht="15" customHeight="1" x14ac:dyDescent="0.3">
      <c r="A277" s="28">
        <v>2.33</v>
      </c>
      <c r="B277" s="29">
        <v>0.17376194881104792</v>
      </c>
      <c r="C277" s="29">
        <v>0.78616002613187375</v>
      </c>
      <c r="D277" s="29">
        <v>1.5022982732169794</v>
      </c>
      <c r="E277" s="29">
        <v>1.1131484249778008</v>
      </c>
      <c r="F277" s="29">
        <v>1.6722809566783503</v>
      </c>
      <c r="G277" s="30">
        <v>0.8751127948692019</v>
      </c>
      <c r="J277" s="24"/>
      <c r="K277" s="24">
        <f t="shared" si="8"/>
        <v>2.33</v>
      </c>
    </row>
    <row r="278" spans="1:11" ht="15" customHeight="1" x14ac:dyDescent="0.3">
      <c r="A278" s="28">
        <v>2.34</v>
      </c>
      <c r="B278" s="29">
        <v>0.173470506486915</v>
      </c>
      <c r="C278" s="29">
        <v>0.78610026308382142</v>
      </c>
      <c r="D278" s="29">
        <v>1.4997785426126495</v>
      </c>
      <c r="E278" s="29">
        <v>1.1067173866700302</v>
      </c>
      <c r="F278" s="29">
        <v>1.6598309892640579</v>
      </c>
      <c r="G278" s="30">
        <v>0.86999082882075007</v>
      </c>
      <c r="J278" s="24"/>
      <c r="K278" s="24">
        <f t="shared" si="8"/>
        <v>2.34</v>
      </c>
    </row>
    <row r="279" spans="1:11" ht="15" customHeight="1" x14ac:dyDescent="0.3">
      <c r="A279" s="28">
        <v>2.35</v>
      </c>
      <c r="B279" s="29">
        <v>0.17318101062906152</v>
      </c>
      <c r="C279" s="29">
        <v>0.78604025133151478</v>
      </c>
      <c r="D279" s="29">
        <v>1.497275640623275</v>
      </c>
      <c r="E279" s="29">
        <v>1.1003078706382086</v>
      </c>
      <c r="F279" s="29">
        <v>1.6474641718926553</v>
      </c>
      <c r="G279" s="30">
        <v>0.86488627517850136</v>
      </c>
      <c r="J279" s="24"/>
      <c r="K279" s="24">
        <f t="shared" si="8"/>
        <v>2.35</v>
      </c>
    </row>
    <row r="280" spans="1:11" ht="15" customHeight="1" x14ac:dyDescent="0.3">
      <c r="A280" s="28">
        <v>2.36</v>
      </c>
      <c r="B280" s="29">
        <v>0.17289343946299918</v>
      </c>
      <c r="C280" s="29">
        <v>0.78597999818293751</v>
      </c>
      <c r="D280" s="29">
        <v>1.4947893789925872</v>
      </c>
      <c r="E280" s="29">
        <v>1.0939197169661152</v>
      </c>
      <c r="F280" s="29">
        <v>1.6351795743915261</v>
      </c>
      <c r="G280" s="30">
        <v>0.85979901715330675</v>
      </c>
      <c r="J280" s="24"/>
      <c r="K280" s="24">
        <f t="shared" si="8"/>
        <v>2.36</v>
      </c>
    </row>
    <row r="281" spans="1:11" ht="15" customHeight="1" x14ac:dyDescent="0.3">
      <c r="A281" s="28">
        <v>2.37</v>
      </c>
      <c r="B281" s="29">
        <v>0.17260777155307835</v>
      </c>
      <c r="C281" s="29">
        <v>0.7859195107892275</v>
      </c>
      <c r="D281" s="29">
        <v>1.4923195723938236</v>
      </c>
      <c r="E281" s="29">
        <v>1.0875527675746484</v>
      </c>
      <c r="F281" s="29">
        <v>1.6229762810627189</v>
      </c>
      <c r="G281" s="30">
        <v>0.85472893904973812</v>
      </c>
      <c r="J281" s="24"/>
      <c r="K281" s="24">
        <f t="shared" si="8"/>
        <v>2.37</v>
      </c>
    </row>
    <row r="282" spans="1:11" ht="15" customHeight="1" x14ac:dyDescent="0.3">
      <c r="A282" s="28">
        <v>2.38</v>
      </c>
      <c r="B282" s="29">
        <v>0.17232398579579764</v>
      </c>
      <c r="C282" s="29">
        <v>0.78585879614832999</v>
      </c>
      <c r="D282" s="29">
        <v>1.489866038371884</v>
      </c>
      <c r="E282" s="29">
        <v>1.081206866194137</v>
      </c>
      <c r="F282" s="29">
        <v>1.6108533903971385</v>
      </c>
      <c r="G282" s="30">
        <v>0.84967592625463295</v>
      </c>
      <c r="J282" s="24"/>
      <c r="K282" s="24">
        <f t="shared" si="8"/>
        <v>2.38</v>
      </c>
    </row>
    <row r="283" spans="1:11" ht="15" customHeight="1" x14ac:dyDescent="0.3">
      <c r="A283" s="28">
        <v>2.39</v>
      </c>
      <c r="B283" s="29">
        <v>0.17204206141327241</v>
      </c>
      <c r="C283" s="29">
        <v>0.78579786110856054</v>
      </c>
      <c r="D283" s="29">
        <v>1.4874285972868628</v>
      </c>
      <c r="E283" s="29">
        <v>1.0748818583371653</v>
      </c>
      <c r="F283" s="29">
        <v>1.5988100147955462</v>
      </c>
      <c r="G283" s="30">
        <v>0.84463986522573931</v>
      </c>
      <c r="J283" s="24"/>
      <c r="K283" s="24">
        <f t="shared" si="8"/>
        <v>2.39</v>
      </c>
    </row>
    <row r="284" spans="1:11" ht="15" customHeight="1" x14ac:dyDescent="0.3">
      <c r="A284" s="28">
        <v>2.4</v>
      </c>
      <c r="B284" s="29">
        <v>0.1717619779468591</v>
      </c>
      <c r="C284" s="29">
        <v>0.78573671237206877</v>
      </c>
      <c r="D284" s="29">
        <v>1.4850070722589244</v>
      </c>
      <c r="E284" s="29">
        <v>1.0685775912719031</v>
      </c>
      <c r="F284" s="29">
        <v>1.5868452802961823</v>
      </c>
      <c r="G284" s="30">
        <v>0.8396206434804494</v>
      </c>
      <c r="J284" s="24"/>
      <c r="K284" s="24">
        <f t="shared" si="8"/>
        <v>2.4</v>
      </c>
    </row>
    <row r="285" spans="1:11" ht="15" customHeight="1" x14ac:dyDescent="0.3">
      <c r="A285" s="28">
        <v>2.41</v>
      </c>
      <c r="B285" s="29">
        <v>0.17148371525092945</v>
      </c>
      <c r="C285" s="29">
        <v>0.78567535649821485</v>
      </c>
      <c r="D285" s="29">
        <v>1.4826012891144777</v>
      </c>
      <c r="E285" s="29">
        <v>1.0622939139959238</v>
      </c>
      <c r="F285" s="29">
        <v>1.5749583263088207</v>
      </c>
      <c r="G285" s="30">
        <v>0.83461814958463143</v>
      </c>
      <c r="J285" s="24"/>
      <c r="K285" s="24">
        <f t="shared" si="8"/>
        <v>2.41</v>
      </c>
    </row>
    <row r="286" spans="1:11" ht="15" customHeight="1" x14ac:dyDescent="0.3">
      <c r="A286" s="28">
        <v>2.42</v>
      </c>
      <c r="B286" s="29">
        <v>0.17120725348679094</v>
      </c>
      <c r="C286" s="29">
        <v>0.78561379990685309</v>
      </c>
      <c r="D286" s="29">
        <v>1.4802110763336149</v>
      </c>
      <c r="E286" s="29">
        <v>1.0560306772104933</v>
      </c>
      <c r="F286" s="29">
        <v>1.5631483053550606</v>
      </c>
      <c r="G286" s="30">
        <v>0.82963227314154298</v>
      </c>
      <c r="J286" s="24"/>
      <c r="K286" s="24">
        <f t="shared" si="8"/>
        <v>2.42</v>
      </c>
    </row>
    <row r="287" spans="1:11" ht="15" customHeight="1" x14ac:dyDescent="0.3">
      <c r="A287" s="28">
        <v>2.4300000000000002</v>
      </c>
      <c r="B287" s="29">
        <v>0.17093257311675078</v>
      </c>
      <c r="C287" s="29">
        <v>0.78555204888153252</v>
      </c>
      <c r="D287" s="29">
        <v>1.4778362649987888</v>
      </c>
      <c r="E287" s="29">
        <v>1.049787733295348</v>
      </c>
      <c r="F287" s="29">
        <v>1.551414382814742</v>
      </c>
      <c r="G287" s="30">
        <v>0.82466290478086046</v>
      </c>
      <c r="J287" s="24"/>
      <c r="K287" s="24">
        <f t="shared" si="8"/>
        <v>2.4300000000000002</v>
      </c>
    </row>
    <row r="288" spans="1:11" ht="15" customHeight="1" x14ac:dyDescent="0.3">
      <c r="A288" s="28">
        <v>2.44</v>
      </c>
      <c r="B288" s="29">
        <v>0.17065965489831747</v>
      </c>
      <c r="C288" s="29">
        <v>0.78549010957261378</v>
      </c>
      <c r="D288" s="29">
        <v>1.4754766887446824</v>
      </c>
      <c r="E288" s="29">
        <v>1.043564936283919</v>
      </c>
      <c r="F288" s="29">
        <v>1.5397557366782524</v>
      </c>
      <c r="G288" s="30">
        <v>0.81970993614779331</v>
      </c>
      <c r="J288" s="24"/>
      <c r="K288" s="24">
        <f t="shared" si="8"/>
        <v>2.44</v>
      </c>
    </row>
    <row r="289" spans="1:11" ht="15" customHeight="1" x14ac:dyDescent="0.3">
      <c r="A289" s="28">
        <v>2.4500000000000002</v>
      </c>
      <c r="B289" s="29">
        <v>0.17038847987853742</v>
      </c>
      <c r="C289" s="29">
        <v>0.785427988000302</v>
      </c>
      <c r="D289" s="29">
        <v>1.4731321837092435</v>
      </c>
      <c r="E289" s="29">
        <v>1.0373621418390053</v>
      </c>
      <c r="F289" s="29">
        <v>1.528171557304592</v>
      </c>
      <c r="G289" s="30">
        <v>0.81477325989229388</v>
      </c>
      <c r="J289" s="24"/>
      <c r="K289" s="24">
        <f t="shared" si="8"/>
        <v>2.4500000000000002</v>
      </c>
    </row>
    <row r="290" spans="1:11" ht="15" customHeight="1" x14ac:dyDescent="0.3">
      <c r="A290" s="28">
        <v>2.46</v>
      </c>
      <c r="B290" s="29">
        <v>0.17011902938846288</v>
      </c>
      <c r="C290" s="29">
        <v>0.78536569005760648</v>
      </c>
      <c r="D290" s="29">
        <v>1.4708025884858575</v>
      </c>
      <c r="E290" s="29">
        <v>1.0311792072288957</v>
      </c>
      <c r="F290" s="29">
        <v>1.5166610471850543</v>
      </c>
      <c r="G290" s="30">
        <v>0.80985276965837727</v>
      </c>
      <c r="J290" s="24"/>
      <c r="K290" s="24">
        <f t="shared" si="8"/>
        <v>2.46</v>
      </c>
    </row>
    <row r="291" spans="1:11" ht="15" customHeight="1" x14ac:dyDescent="0.3">
      <c r="A291" s="28">
        <v>2.4700000000000002</v>
      </c>
      <c r="B291" s="29">
        <v>0.16985128503774724</v>
      </c>
      <c r="C291" s="29">
        <v>0.78530322151321796</v>
      </c>
      <c r="D291" s="29">
        <v>1.4684877440766186</v>
      </c>
      <c r="E291" s="29">
        <v>1.0250159913039141</v>
      </c>
      <c r="F291" s="29">
        <v>1.5052234207123438</v>
      </c>
      <c r="G291" s="30">
        <v>0.80494836007352832</v>
      </c>
      <c r="J291" s="24"/>
      <c r="K291" s="24">
        <f t="shared" si="8"/>
        <v>2.4700000000000002</v>
      </c>
    </row>
    <row r="292" spans="1:11" ht="15" customHeight="1" x14ac:dyDescent="0.3">
      <c r="A292" s="28">
        <v>2.48</v>
      </c>
      <c r="B292" s="29">
        <v>0.16958522870936446</v>
      </c>
      <c r="C292" s="29">
        <v>0.78524058801431784</v>
      </c>
      <c r="D292" s="29">
        <v>1.4661874938466761</v>
      </c>
      <c r="E292" s="29">
        <v>1.0188723544733884</v>
      </c>
      <c r="F292" s="29">
        <v>1.4938579039549995</v>
      </c>
      <c r="G292" s="30">
        <v>0.80005992673821602</v>
      </c>
      <c r="J292" s="24"/>
      <c r="K292" s="24">
        <f t="shared" si="8"/>
        <v>2.48</v>
      </c>
    </row>
    <row r="293" spans="1:11" ht="15" customHeight="1" x14ac:dyDescent="0.3">
      <c r="A293" s="28">
        <v>2.4900000000000002</v>
      </c>
      <c r="B293" s="29">
        <v>0.16932084255444962</v>
      </c>
      <c r="C293" s="29">
        <v>0.78517779508931074</v>
      </c>
      <c r="D293" s="29">
        <v>1.4639016834796263</v>
      </c>
      <c r="E293" s="29">
        <v>1.0127481586830365</v>
      </c>
      <c r="F293" s="29">
        <v>1.4825637344369889</v>
      </c>
      <c r="G293" s="30">
        <v>0.79518736621550601</v>
      </c>
      <c r="J293" s="24"/>
      <c r="K293" s="24">
        <f t="shared" si="8"/>
        <v>2.4900000000000002</v>
      </c>
    </row>
    <row r="294" spans="1:11" ht="15" customHeight="1" x14ac:dyDescent="0.3">
      <c r="A294" s="28">
        <v>2.5</v>
      </c>
      <c r="B294" s="32">
        <v>0.16905810898725607</v>
      </c>
      <c r="C294" s="32">
        <v>0.78511484815048893</v>
      </c>
      <c r="D294" s="32">
        <v>1.4616301609339153</v>
      </c>
      <c r="E294" s="32">
        <v>1.0066432673927375</v>
      </c>
      <c r="F294" s="32">
        <v>1.4713401609222891</v>
      </c>
      <c r="G294" s="33">
        <v>0.79033057602076107</v>
      </c>
      <c r="J294" s="24"/>
      <c r="K294" s="24">
        <f t="shared" si="8"/>
        <v>2.5</v>
      </c>
    </row>
    <row r="295" spans="1:11" ht="15" customHeight="1" x14ac:dyDescent="0.3">
      <c r="A295" s="28">
        <v>2.5099999999999998</v>
      </c>
      <c r="B295">
        <v>0.16879701068022879</v>
      </c>
      <c r="C295">
        <v>0.78505175249663095</v>
      </c>
      <c r="D295">
        <v>1.4593727764002422</v>
      </c>
      <c r="E295">
        <v>1.0005575455547351</v>
      </c>
      <c r="F295">
        <v>1.4601864432044256</v>
      </c>
      <c r="G295">
        <v>0.78548945461147246</v>
      </c>
      <c r="K295" s="24">
        <f t="shared" si="8"/>
        <v>2.5099999999999998</v>
      </c>
    </row>
    <row r="296" spans="1:11" ht="15" customHeight="1" x14ac:dyDescent="0.3">
      <c r="A296" s="28">
        <v>2.52</v>
      </c>
      <c r="B296">
        <v>0.16853753055918699</v>
      </c>
      <c r="C296">
        <v>0.78498851331553121</v>
      </c>
      <c r="D296">
        <v>1.457129382259911</v>
      </c>
      <c r="E296">
        <v>0.9944908595921782</v>
      </c>
      <c r="F296">
        <v>1.4491018519006784</v>
      </c>
      <c r="G296">
        <v>0.78066390137714869</v>
      </c>
      <c r="K296" s="24">
        <f t="shared" si="8"/>
        <v>2.52</v>
      </c>
    </row>
    <row r="297" spans="1:11" ht="15" customHeight="1" x14ac:dyDescent="0.3">
      <c r="A297" s="28">
        <v>2.5299999999999998</v>
      </c>
      <c r="B297">
        <v>0.16827965179861709</v>
      </c>
      <c r="C297">
        <v>0.7849251356864686</v>
      </c>
      <c r="D297">
        <v>1.4548998330441343</v>
      </c>
      <c r="E297">
        <v>0.98844307737808923</v>
      </c>
      <c r="F297">
        <v>1.4380856682510124</v>
      </c>
      <c r="G297">
        <v>0.77585381662934727</v>
      </c>
      <c r="K297" s="24">
        <f t="shared" si="8"/>
        <v>2.5299999999999998</v>
      </c>
    </row>
    <row r="298" spans="1:11" ht="15" customHeight="1" x14ac:dyDescent="0.3">
      <c r="A298" s="28">
        <v>2.54</v>
      </c>
      <c r="B298">
        <v>0.16802335781707023</v>
      </c>
      <c r="C298">
        <v>0.78486162458261022</v>
      </c>
      <c r="D298">
        <v>1.4526839853942415</v>
      </c>
      <c r="E298">
        <v>0.98241406821467125</v>
      </c>
      <c r="F298">
        <v>1.4271371839214588</v>
      </c>
      <c r="G298">
        <v>0.77105910159177815</v>
      </c>
      <c r="K298" s="24">
        <f t="shared" si="8"/>
        <v>2.54</v>
      </c>
    </row>
    <row r="299" spans="1:11" ht="15" customHeight="1" x14ac:dyDescent="0.3">
      <c r="A299" s="28">
        <v>2.5499999999999998</v>
      </c>
      <c r="B299">
        <v>0.16776863227266239</v>
      </c>
      <c r="C299">
        <v>0.78479798487335695</v>
      </c>
      <c r="D299">
        <v>1.4504816980227742</v>
      </c>
      <c r="E299">
        <v>0.97640370281297684</v>
      </c>
      <c r="F299">
        <v>1.4162557008118908</v>
      </c>
      <c r="G299">
        <v>0.76627965839050827</v>
      </c>
      <c r="K299" s="24">
        <f t="shared" si="8"/>
        <v>2.5499999999999998</v>
      </c>
    </row>
    <row r="300" spans="1:11" ht="15" customHeight="1" x14ac:dyDescent="0.3">
      <c r="A300" s="28">
        <v>2.56</v>
      </c>
      <c r="B300">
        <v>0.16751545905867593</v>
      </c>
      <c r="C300">
        <v>0.78473422132663029</v>
      </c>
      <c r="D300">
        <v>1.4482928316754575</v>
      </c>
      <c r="E300">
        <v>0.9704118532729612</v>
      </c>
      <c r="F300">
        <v>1.4054405308681255</v>
      </c>
      <c r="G300">
        <v>0.76151539004428936</v>
      </c>
      <c r="K300" s="24">
        <f t="shared" ref="K300:K363" si="9">A300</f>
        <v>2.56</v>
      </c>
    </row>
    <row r="301" spans="1:11" ht="15" customHeight="1" x14ac:dyDescent="0.3">
      <c r="A301" s="28">
        <v>2.57</v>
      </c>
      <c r="B301">
        <v>0.16726382229925751</v>
      </c>
      <c r="C301">
        <v>0.78467033861110136</v>
      </c>
      <c r="D301">
        <v>1.4461172490940069</v>
      </c>
      <c r="E301">
        <v>0.96443839306385704</v>
      </c>
      <c r="F301">
        <v>1.3946909958981495</v>
      </c>
      <c r="G301">
        <v>0.75676620045496312</v>
      </c>
      <c r="K301" s="24">
        <f t="shared" si="9"/>
        <v>2.57</v>
      </c>
    </row>
    <row r="302" spans="1:11" ht="15" customHeight="1" x14ac:dyDescent="0.3">
      <c r="A302" s="28">
        <v>2.58</v>
      </c>
      <c r="B302">
        <v>0.16701370634521115</v>
      </c>
      <c r="C302">
        <v>0.78460634129836448</v>
      </c>
      <c r="D302">
        <v>1.4439548149797552</v>
      </c>
      <c r="E302">
        <v>0.95848319700489171</v>
      </c>
      <c r="F302">
        <v>1.3840064273924026</v>
      </c>
      <c r="G302">
        <v>0.75203199439796764</v>
      </c>
      <c r="K302" s="24">
        <f t="shared" si="9"/>
        <v>2.58</v>
      </c>
    </row>
    <row r="303" spans="1:11" ht="15" customHeight="1" x14ac:dyDescent="0.3">
      <c r="A303" s="28">
        <v>2.59</v>
      </c>
      <c r="B303">
        <v>0.16676509576988452</v>
      </c>
      <c r="C303">
        <v>0.78454223386505872</v>
      </c>
      <c r="D303">
        <v>1.4418053959580865</v>
      </c>
      <c r="E303">
        <v>0.95254614124635395</v>
      </c>
      <c r="F303">
        <v>1.3733861663480467</v>
      </c>
      <c r="G303">
        <v>0.74731267751295627</v>
      </c>
      <c r="K303" s="24">
        <f t="shared" si="9"/>
        <v>2.59</v>
      </c>
    </row>
    <row r="304" spans="1:11" ht="15" customHeight="1" x14ac:dyDescent="0.3">
      <c r="A304" s="28">
        <v>2.6</v>
      </c>
      <c r="B304">
        <v>0.16651797536514457</v>
      </c>
      <c r="C304">
        <v>0.78447802069493422</v>
      </c>
      <c r="D304">
        <v>1.4396688605436432</v>
      </c>
      <c r="E304">
        <v>0.94662710325096822</v>
      </c>
      <c r="F304">
        <v>1.3628295630970511</v>
      </c>
      <c r="G304">
        <v>0.74260815629449872</v>
      </c>
      <c r="K304" s="24">
        <f t="shared" si="9"/>
        <v>2.6</v>
      </c>
    </row>
    <row r="305" spans="1:11" ht="15" customHeight="1" x14ac:dyDescent="0.3">
      <c r="A305" s="28">
        <v>2.61</v>
      </c>
      <c r="B305">
        <v>0.16627233013744183</v>
      </c>
      <c r="C305">
        <v>0.78441370608087135</v>
      </c>
      <c r="D305">
        <v>1.437545079106298</v>
      </c>
      <c r="E305">
        <v>0.94072596177560741</v>
      </c>
      <c r="F305">
        <v>1.3523359771380639</v>
      </c>
      <c r="G305">
        <v>0.73791833808289631</v>
      </c>
      <c r="K305" s="24">
        <f t="shared" si="9"/>
        <v>2.61</v>
      </c>
    </row>
    <row r="306" spans="1:11" ht="15" customHeight="1" x14ac:dyDescent="0.3">
      <c r="A306" s="28">
        <v>2.62</v>
      </c>
      <c r="B306">
        <v>0.16602814530395976</v>
      </c>
      <c r="C306">
        <v>0.78434929422684785</v>
      </c>
      <c r="D306">
        <v>1.4354339238378635</v>
      </c>
      <c r="E306">
        <v>0.93484259685330684</v>
      </c>
      <c r="F306">
        <v>1.3419047769719201</v>
      </c>
      <c r="G306">
        <v>0.73324313105508487</v>
      </c>
      <c r="K306" s="24">
        <f t="shared" si="9"/>
        <v>2.62</v>
      </c>
    </row>
    <row r="307" spans="1:11" ht="15" customHeight="1" x14ac:dyDescent="0.3">
      <c r="A307" s="28">
        <v>2.63</v>
      </c>
      <c r="B307">
        <v>0.16578540628884772</v>
      </c>
      <c r="C307">
        <v>0.78428478924985801</v>
      </c>
      <c r="D307">
        <v>1.4333352687195227</v>
      </c>
      <c r="E307">
        <v>0.92897688977559023</v>
      </c>
      <c r="F307">
        <v>1.3315353399407219</v>
      </c>
      <c r="G307">
        <v>0.72858244421563734</v>
      </c>
      <c r="K307" s="24">
        <f t="shared" si="9"/>
        <v>2.63</v>
      </c>
    </row>
    <row r="308" spans="1:11" ht="15" customHeight="1" x14ac:dyDescent="0.3">
      <c r="A308" s="28">
        <v>2.64</v>
      </c>
      <c r="B308">
        <v>0.16554409871953504</v>
      </c>
      <c r="C308">
        <v>0.78422019518178721</v>
      </c>
      <c r="D308">
        <v>1.4312489894899612</v>
      </c>
      <c r="E308">
        <v>0.92312872307508542</v>
      </c>
      <c r="F308">
        <v>1.3212270520703742</v>
      </c>
      <c r="G308">
        <v>0.72393618738785748</v>
      </c>
      <c r="K308" s="24">
        <f t="shared" si="9"/>
        <v>2.64</v>
      </c>
    </row>
    <row r="309" spans="1:11" ht="15" customHeight="1" x14ac:dyDescent="0.3">
      <c r="A309" s="28">
        <v>2.65</v>
      </c>
      <c r="B309">
        <v>0.1653042084231251</v>
      </c>
      <c r="C309">
        <v>0.78415551597123967</v>
      </c>
      <c r="D309">
        <v>1.4291749636141919</v>
      </c>
      <c r="E309">
        <v>0.91729798050846212</v>
      </c>
      <c r="F309">
        <v>1.310979307916553</v>
      </c>
      <c r="G309">
        <v>0.7193042712049893</v>
      </c>
      <c r="K309" s="24">
        <f t="shared" si="9"/>
        <v>2.65</v>
      </c>
    </row>
    <row r="310" spans="1:11" ht="15" customHeight="1" x14ac:dyDescent="0.3">
      <c r="A310" s="28">
        <v>2.66</v>
      </c>
      <c r="B310">
        <v>0.16506572142286566</v>
      </c>
      <c r="C310">
        <v>0.78409075548532026</v>
      </c>
      <c r="D310">
        <v>1.4271130702530392</v>
      </c>
      <c r="E310">
        <v>0.91148454703962589</v>
      </c>
      <c r="F310">
        <v>1.3007915104139214</v>
      </c>
      <c r="G310">
        <v>0.71468660710149523</v>
      </c>
      <c r="K310" s="24">
        <f t="shared" si="9"/>
        <v>2.66</v>
      </c>
    </row>
    <row r="311" spans="1:11" ht="15" customHeight="1" x14ac:dyDescent="0.3">
      <c r="A311" s="28">
        <v>2.67</v>
      </c>
      <c r="B311">
        <v>0.16482862393469544</v>
      </c>
      <c r="C311">
        <v>0.78402591751137751</v>
      </c>
      <c r="D311">
        <v>1.42506319023328</v>
      </c>
      <c r="E311">
        <v>0.90568830882321893</v>
      </c>
      <c r="F311">
        <v>1.2906630707286006</v>
      </c>
      <c r="G311">
        <v>0.71008310730445201</v>
      </c>
      <c r="K311" s="24">
        <f t="shared" si="9"/>
        <v>2.67</v>
      </c>
    </row>
    <row r="312" spans="1:11" ht="15" customHeight="1" x14ac:dyDescent="0.3">
      <c r="A312" s="28">
        <v>2.68</v>
      </c>
      <c r="B312">
        <v>0.16459290236386337</v>
      </c>
      <c r="C312">
        <v>0.78396100575870165</v>
      </c>
      <c r="D312">
        <v>1.4230252060184156</v>
      </c>
      <c r="E312">
        <v>0.89990915318838116</v>
      </c>
      <c r="F312">
        <v>1.280593408113754</v>
      </c>
      <c r="G312">
        <v>0.70549368482502484</v>
      </c>
      <c r="K312" s="24">
        <f t="shared" si="9"/>
        <v>2.68</v>
      </c>
    </row>
    <row r="313" spans="1:11" ht="15" customHeight="1" x14ac:dyDescent="0.3">
      <c r="A313" s="28">
        <v>2.69</v>
      </c>
      <c r="B313">
        <v>0.16435854330162039</v>
      </c>
      <c r="C313">
        <v>0.78389602386018264</v>
      </c>
      <c r="D313">
        <v>1.4209990016800698</v>
      </c>
      <c r="E313">
        <v>0.89414696862280341</v>
      </c>
      <c r="F313">
        <v>1.2705819497682644</v>
      </c>
      <c r="G313">
        <v>0.7009182534500511</v>
      </c>
      <c r="K313" s="24">
        <f t="shared" si="9"/>
        <v>2.69</v>
      </c>
    </row>
    <row r="314" spans="1:11" ht="15" customHeight="1" x14ac:dyDescent="0.3">
      <c r="A314" s="28">
        <v>2.7</v>
      </c>
      <c r="B314">
        <v>0.1641255335219802</v>
      </c>
      <c r="C314">
        <v>0.78383097537392954</v>
      </c>
      <c r="D314">
        <v>1.418984462869983</v>
      </c>
      <c r="E314">
        <v>0.88840164475702521</v>
      </c>
      <c r="F314">
        <v>1.2606281306983569</v>
      </c>
      <c r="G314">
        <v>0.69635672773370227</v>
      </c>
      <c r="K314" s="24">
        <f t="shared" si="9"/>
        <v>2.7</v>
      </c>
    </row>
    <row r="315" spans="1:11" ht="15" customHeight="1" x14ac:dyDescent="0.3">
      <c r="A315" s="28">
        <v>2.71</v>
      </c>
      <c r="B315">
        <v>0.16389385997854836</v>
      </c>
      <c r="C315">
        <v>0.78376586378484969</v>
      </c>
      <c r="D315">
        <v>1.4169814767925988</v>
      </c>
      <c r="E315">
        <v>0.8826730723490015</v>
      </c>
      <c r="F315">
        <v>1.2507313935821485</v>
      </c>
      <c r="G315">
        <v>0.69180902298924229</v>
      </c>
      <c r="K315" s="24">
        <f t="shared" si="9"/>
        <v>2.71</v>
      </c>
    </row>
    <row r="316" spans="1:11" ht="15" customHeight="1" x14ac:dyDescent="0.3">
      <c r="A316" s="28">
        <v>2.72</v>
      </c>
      <c r="B316">
        <v>0.1636635098014185</v>
      </c>
      <c r="C316">
        <v>0.78370069250619334</v>
      </c>
      <c r="D316">
        <v>1.4149899321782269</v>
      </c>
      <c r="E316">
        <v>0.87696114326893582</v>
      </c>
      <c r="F316">
        <v>1.2408911886370519</v>
      </c>
      <c r="G316">
        <v>0.68727505528088806</v>
      </c>
      <c r="K316" s="24">
        <f t="shared" si="9"/>
        <v>2.72</v>
      </c>
    </row>
    <row r="317" spans="1:11" ht="15" customHeight="1" x14ac:dyDescent="0.3">
      <c r="A317" s="28">
        <v>2.73</v>
      </c>
      <c r="B317">
        <v>0.16343447029413258</v>
      </c>
      <c r="C317">
        <v>0.7836354648810574</v>
      </c>
      <c r="D317">
        <v>1.4130097192567646</v>
      </c>
      <c r="E317">
        <v>0.87126575048434818</v>
      </c>
      <c r="F317">
        <v>1.2311069734899232</v>
      </c>
      <c r="G317">
        <v>0.68275474141574555</v>
      </c>
      <c r="K317" s="24">
        <f t="shared" si="9"/>
        <v>2.73</v>
      </c>
    </row>
    <row r="318" spans="1:11" ht="15" customHeight="1" x14ac:dyDescent="0.3">
      <c r="A318" s="28">
        <v>2.74</v>
      </c>
      <c r="B318">
        <v>0.16320672893070454</v>
      </c>
      <c r="C318">
        <v>0.78357018418385938</v>
      </c>
      <c r="D318">
        <v>1.4110407297319632</v>
      </c>
      <c r="E318">
        <v>0.8655867880453969</v>
      </c>
      <c r="F318">
        <v>1.2213782130499229</v>
      </c>
      <c r="G318">
        <v>0.67824799893584686</v>
      </c>
      <c r="K318" s="24">
        <f t="shared" si="9"/>
        <v>2.74</v>
      </c>
    </row>
    <row r="319" spans="1:11" ht="15" customHeight="1" x14ac:dyDescent="0.3">
      <c r="A319" s="28">
        <v>2.75</v>
      </c>
      <c r="B319">
        <v>0.16298027335270607</v>
      </c>
      <c r="C319">
        <v>0.78350485362177114</v>
      </c>
      <c r="D319">
        <v>1.4090828567562323</v>
      </c>
      <c r="E319">
        <v>0.85992415107044484</v>
      </c>
      <c r="F319">
        <v>1.2117043793840203</v>
      </c>
      <c r="G319">
        <v>0.67375474611027475</v>
      </c>
      <c r="K319" s="24">
        <f t="shared" si="9"/>
        <v>2.75</v>
      </c>
    </row>
    <row r="320" spans="1:11" ht="15" customHeight="1" x14ac:dyDescent="0.3">
      <c r="A320" s="28">
        <v>2.76</v>
      </c>
      <c r="B320">
        <v>0.16275509136641192</v>
      </c>
      <c r="C320">
        <v>0.78343947633612288</v>
      </c>
      <c r="D320">
        <v>1.4071359949059596</v>
      </c>
      <c r="E320">
        <v>0.85427773573184729</v>
      </c>
      <c r="F320">
        <v>1.2020849515950434</v>
      </c>
      <c r="G320">
        <v>0.66927490192736716</v>
      </c>
      <c r="K320" s="24">
        <f t="shared" si="9"/>
        <v>2.76</v>
      </c>
    </row>
    <row r="321" spans="1:11" ht="15" customHeight="1" x14ac:dyDescent="0.3">
      <c r="A321" s="28">
        <v>2.77</v>
      </c>
      <c r="B321">
        <v>0.16253117094000463</v>
      </c>
      <c r="C321">
        <v>0.78337405540377336</v>
      </c>
      <c r="D321">
        <v>1.4052000401573428</v>
      </c>
      <c r="E321">
        <v>0.84864743924199293</v>
      </c>
      <c r="F321">
        <v>1.1925194157022745</v>
      </c>
      <c r="G321">
        <v>0.6648083860870273</v>
      </c>
      <c r="K321" s="24">
        <f t="shared" si="9"/>
        <v>2.77</v>
      </c>
    </row>
    <row r="322" spans="1:11" ht="15" customHeight="1" x14ac:dyDescent="0.3">
      <c r="A322" s="28">
        <v>2.78</v>
      </c>
      <c r="B322">
        <v>0.16230850020083601</v>
      </c>
      <c r="C322">
        <v>0.78330859383844686</v>
      </c>
      <c r="D322">
        <v>1.4032748898627134</v>
      </c>
      <c r="E322">
        <v>0.84303315983955041</v>
      </c>
      <c r="F322">
        <v>1.1830072645244603</v>
      </c>
      <c r="G322">
        <v>0.66035511899310084</v>
      </c>
      <c r="K322" s="24">
        <f t="shared" si="9"/>
        <v>2.78</v>
      </c>
    </row>
    <row r="323" spans="1:11" ht="15" customHeight="1" x14ac:dyDescent="0.3">
      <c r="A323" s="28">
        <v>2.79</v>
      </c>
      <c r="B323">
        <v>0.16208706743274495</v>
      </c>
      <c r="C323">
        <v>0.78324309459204078</v>
      </c>
      <c r="D323">
        <v>1.4013604427273478</v>
      </c>
      <c r="E323">
        <v>0.83743479677595223</v>
      </c>
      <c r="F323">
        <v>1.173547997565235</v>
      </c>
      <c r="G323">
        <v>0.65591502174585359</v>
      </c>
      <c r="K323" s="24">
        <f t="shared" si="9"/>
        <v>2.79</v>
      </c>
    </row>
    <row r="324" spans="1:11" ht="15" customHeight="1" x14ac:dyDescent="0.3">
      <c r="A324" s="28">
        <v>2.8</v>
      </c>
      <c r="B324">
        <v>0.16186686107342985</v>
      </c>
      <c r="C324">
        <v>0.78317756055590304</v>
      </c>
      <c r="D324">
        <v>1.3994565987867493</v>
      </c>
      <c r="E324">
        <v>0.83185225030209409</v>
      </c>
      <c r="F324">
        <v>1.1641411209008723</v>
      </c>
      <c r="G324">
        <v>0.65148801613453255</v>
      </c>
      <c r="K324" s="24">
        <f t="shared" si="9"/>
        <v>2.8</v>
      </c>
    </row>
    <row r="325" spans="1:11" ht="15" customHeight="1" x14ac:dyDescent="0.3">
      <c r="A325" s="28">
        <v>2.81</v>
      </c>
      <c r="B325">
        <v>0.16164786971187375</v>
      </c>
      <c r="C325">
        <v>0.78311199456207869</v>
      </c>
      <c r="D325">
        <v>1.3975632593843874</v>
      </c>
      <c r="E325">
        <v>0.82628542165523911</v>
      </c>
      <c r="F325">
        <v>1.1547861470702989</v>
      </c>
      <c r="G325">
        <v>0.64707402463000252</v>
      </c>
      <c r="K325" s="24">
        <f t="shared" si="9"/>
        <v>2.81</v>
      </c>
    </row>
    <row r="326" spans="1:11" ht="15" customHeight="1" x14ac:dyDescent="0.3">
      <c r="A326" s="28">
        <v>2.82</v>
      </c>
      <c r="B326">
        <v>0.1614300820858226</v>
      </c>
      <c r="C326">
        <v>0.78304639938452902</v>
      </c>
      <c r="D326">
        <v>1.3956803271498943</v>
      </c>
      <c r="E326">
        <v>0.82073421304614624</v>
      </c>
      <c r="F326">
        <v>1.1454825949673564</v>
      </c>
      <c r="G326">
        <v>0.64267297037747972</v>
      </c>
      <c r="K326" s="24">
        <f t="shared" si="9"/>
        <v>2.82</v>
      </c>
    </row>
    <row r="327" spans="1:11" ht="15" customHeight="1" x14ac:dyDescent="0.3">
      <c r="A327" s="28">
        <v>2.83</v>
      </c>
      <c r="B327">
        <v>0.16121348707931329</v>
      </c>
      <c r="C327">
        <v>0.78298077774032204</v>
      </c>
      <c r="D327">
        <v>1.3938077059776941</v>
      </c>
      <c r="E327">
        <v>0.815198527646395</v>
      </c>
      <c r="F327">
        <v>1.1362299897352157</v>
      </c>
      <c r="G327">
        <v>0.63828477718933974</v>
      </c>
      <c r="K327" s="24">
        <f t="shared" si="9"/>
        <v>2.83</v>
      </c>
    </row>
    <row r="328" spans="1:11" ht="15" customHeight="1" x14ac:dyDescent="0.3">
      <c r="A328" s="28">
        <v>2.84</v>
      </c>
      <c r="B328">
        <v>0.16099807372025182</v>
      </c>
      <c r="C328">
        <v>0.7829151322907959</v>
      </c>
      <c r="D328">
        <v>1.3919453010060634</v>
      </c>
      <c r="E328">
        <v>0.80967826957591138</v>
      </c>
      <c r="F328">
        <v>1.1270278626629104</v>
      </c>
      <c r="G328">
        <v>0.63390936953800736</v>
      </c>
      <c r="K328" s="24">
        <f t="shared" si="9"/>
        <v>2.84</v>
      </c>
    </row>
    <row r="329" spans="1:11" ht="15" customHeight="1" x14ac:dyDescent="0.3">
      <c r="A329" s="28">
        <v>2.85</v>
      </c>
      <c r="B329">
        <v>0.16078383117803993</v>
      </c>
      <c r="C329">
        <v>0.78284946564269697</v>
      </c>
      <c r="D329">
        <v>1.3900930185966129</v>
      </c>
      <c r="E329">
        <v>0.80417334389070283</v>
      </c>
      <c r="F329">
        <v>1.1178757510839592</v>
      </c>
      <c r="G329">
        <v>0.62954667254893748</v>
      </c>
      <c r="K329" s="24">
        <f t="shared" si="9"/>
        <v>2.85</v>
      </c>
    </row>
    <row r="330" spans="1:11" ht="15" customHeight="1" x14ac:dyDescent="0.3">
      <c r="A330" s="28">
        <v>2.86</v>
      </c>
      <c r="B330">
        <v>0.16057074876124891</v>
      </c>
      <c r="C330">
        <v>0.7827837803492893</v>
      </c>
      <c r="D330">
        <v>1.3882507663141748</v>
      </c>
      <c r="E330">
        <v>0.798683656570775</v>
      </c>
      <c r="F330">
        <v>1.1087731982769857</v>
      </c>
      <c r="G330">
        <v>0.62519661199366472</v>
      </c>
      <c r="K330" s="24">
        <f t="shared" si="9"/>
        <v>2.86</v>
      </c>
    </row>
    <row r="331" spans="1:11" ht="15" customHeight="1" x14ac:dyDescent="0.3">
      <c r="A331" s="28">
        <v>2.87</v>
      </c>
      <c r="B331">
        <v>0.16035881591533943</v>
      </c>
      <c r="C331">
        <v>0.78271807891144163</v>
      </c>
      <c r="D331">
        <v>1.3864184529070893</v>
      </c>
      <c r="E331">
        <v>0.7932091145082405</v>
      </c>
      <c r="F331">
        <v>1.099719753368317</v>
      </c>
      <c r="G331">
        <v>0.62085911428293572</v>
      </c>
      <c r="K331" s="24">
        <f t="shared" si="9"/>
        <v>2.87</v>
      </c>
    </row>
    <row r="332" spans="1:11" ht="15" customHeight="1" x14ac:dyDescent="0.3">
      <c r="A332" s="28">
        <v>2.88</v>
      </c>
      <c r="B332">
        <v>0.16014802222042707</v>
      </c>
      <c r="C332">
        <v>0.7826523637786893</v>
      </c>
      <c r="D332">
        <v>1.3845959882878864</v>
      </c>
      <c r="E332">
        <v>0.78774962549562988</v>
      </c>
      <c r="F332">
        <v>1.090714971236534</v>
      </c>
      <c r="G332">
        <v>0.61653410645993201</v>
      </c>
      <c r="K332" s="24">
        <f t="shared" si="9"/>
        <v>2.88</v>
      </c>
    </row>
    <row r="333" spans="1:11" ht="15" customHeight="1" x14ac:dyDescent="0.3">
      <c r="A333" s="28">
        <v>2.89</v>
      </c>
      <c r="B333">
        <v>0.15993835738909121</v>
      </c>
      <c r="C333">
        <v>0.78258663735027056</v>
      </c>
      <c r="D333">
        <v>1.3827832835143419</v>
      </c>
      <c r="E333">
        <v>0.78230509821436145</v>
      </c>
      <c r="F333">
        <v>1.0817584124188644</v>
      </c>
      <c r="G333">
        <v>0.61222151619355025</v>
      </c>
      <c r="K333" s="24">
        <f t="shared" si="9"/>
        <v>2.89</v>
      </c>
    </row>
    <row r="334" spans="1:11" ht="15" customHeight="1" x14ac:dyDescent="0.3">
      <c r="A334" s="28">
        <v>2.9</v>
      </c>
      <c r="B334">
        <v>0.1597298112642275</v>
      </c>
      <c r="C334">
        <v>0.78252090197614177</v>
      </c>
      <c r="D334">
        <v>1.3809802507709101</v>
      </c>
      <c r="E334">
        <v>0.77687544222341087</v>
      </c>
      <c r="F334">
        <v>1.0728496430194476</v>
      </c>
      <c r="G334">
        <v>0.60792127177177746</v>
      </c>
      <c r="K334" s="24">
        <f t="shared" si="9"/>
        <v>2.9</v>
      </c>
    </row>
    <row r="335" spans="1:11" ht="15" customHeight="1" x14ac:dyDescent="0.3">
      <c r="A335" s="28">
        <v>2.91</v>
      </c>
      <c r="B335">
        <v>0.15952237381694254</v>
      </c>
      <c r="C335">
        <v>0.78245515995796788</v>
      </c>
      <c r="D335">
        <v>1.3791868033505224</v>
      </c>
      <c r="E335">
        <v>0.77146056794815621</v>
      </c>
      <c r="F335">
        <v>1.0639882346193961</v>
      </c>
      <c r="G335">
        <v>0.60363330209513932</v>
      </c>
      <c r="K335" s="24">
        <f t="shared" si="9"/>
        <v>2.91</v>
      </c>
    </row>
    <row r="336" spans="1:11" ht="15" customHeight="1" x14ac:dyDescent="0.3">
      <c r="A336" s="28">
        <v>2.92</v>
      </c>
      <c r="B336">
        <v>0.1593160351444888</v>
      </c>
      <c r="C336">
        <v>0.78238941355009328</v>
      </c>
      <c r="D336">
        <v>1.3774028556367326</v>
      </c>
      <c r="E336">
        <v>0.76606038666937815</v>
      </c>
      <c r="F336">
        <v>1.055173764188581</v>
      </c>
      <c r="G336">
        <v>0.59935753667021252</v>
      </c>
      <c r="K336" s="24">
        <f t="shared" si="9"/>
        <v>2.92</v>
      </c>
    </row>
    <row r="337" spans="1:11" ht="15" customHeight="1" x14ac:dyDescent="0.3">
      <c r="A337" s="28">
        <v>2.93</v>
      </c>
      <c r="B337">
        <v>0.1591107854682409</v>
      </c>
      <c r="C337">
        <v>0.78232366496048866</v>
      </c>
      <c r="D337">
        <v>1.3756283230862207</v>
      </c>
      <c r="E337">
        <v>0.76067481051245689</v>
      </c>
      <c r="F337">
        <v>1.0464058139991796</v>
      </c>
      <c r="G337">
        <v>0.5950939056032305</v>
      </c>
      <c r="K337" s="24">
        <f t="shared" si="9"/>
        <v>2.93</v>
      </c>
    </row>
    <row r="338" spans="1:11" ht="15" customHeight="1" x14ac:dyDescent="0.3">
      <c r="A338" s="28">
        <v>2.94</v>
      </c>
      <c r="B338">
        <v>0.15890661513170998</v>
      </c>
      <c r="C338">
        <v>0.78225791635167696</v>
      </c>
      <c r="D338">
        <v>1.373863122211626</v>
      </c>
      <c r="E338">
        <v>0.75530375243670966</v>
      </c>
      <c r="F338">
        <v>1.037683971540855</v>
      </c>
      <c r="G338">
        <v>0.59084233959374333</v>
      </c>
      <c r="K338" s="24">
        <f t="shared" si="9"/>
        <v>2.94</v>
      </c>
    </row>
    <row r="339" spans="1:11" ht="15" customHeight="1" x14ac:dyDescent="0.3">
      <c r="A339" s="28">
        <v>2.95</v>
      </c>
      <c r="B339">
        <v>0.15870351459859744</v>
      </c>
      <c r="C339">
        <v>0.78219216984164031</v>
      </c>
      <c r="D339">
        <v>1.3721071705647196</v>
      </c>
      <c r="E339">
        <v>0.74994712622491533</v>
      </c>
      <c r="F339">
        <v>1.0290078294376113</v>
      </c>
      <c r="G339">
        <v>0.58660276992836902</v>
      </c>
      <c r="K339" s="24">
        <f t="shared" si="9"/>
        <v>2.95</v>
      </c>
    </row>
    <row r="340" spans="1:11" ht="15" customHeight="1" x14ac:dyDescent="0.3">
      <c r="A340" s="28">
        <v>2.96</v>
      </c>
      <c r="B340">
        <v>0.15850147445088555</v>
      </c>
      <c r="C340">
        <v>0.78212642750470662</v>
      </c>
      <c r="D340">
        <v>1.370360386719897</v>
      </c>
      <c r="E340">
        <v>0.74460484647298664</v>
      </c>
      <c r="F340">
        <v>1.0203769853662314</v>
      </c>
      <c r="G340">
        <v>0.5823751284746076</v>
      </c>
      <c r="K340" s="24">
        <f t="shared" si="9"/>
        <v>2.96</v>
      </c>
    </row>
    <row r="341" spans="1:11" ht="15" customHeight="1" x14ac:dyDescent="0.3">
      <c r="A341" s="28">
        <v>2.97</v>
      </c>
      <c r="B341">
        <v>0.15830048538696487</v>
      </c>
      <c r="C341">
        <v>0.7820606913724153</v>
      </c>
      <c r="D341">
        <v>1.368622690257987</v>
      </c>
      <c r="E341">
        <v>0.73927682857979871</v>
      </c>
      <c r="F341">
        <v>1.0117910419762768</v>
      </c>
      <c r="G341">
        <v>0.57815934767472388</v>
      </c>
      <c r="K341" s="24">
        <f t="shared" si="9"/>
        <v>2.97</v>
      </c>
    </row>
    <row r="342" spans="1:11" ht="15" customHeight="1" x14ac:dyDescent="0.3">
      <c r="A342" s="28">
        <v>2.98</v>
      </c>
      <c r="B342">
        <v>0.15810053821979733</v>
      </c>
      <c r="C342">
        <v>0.78199496343436492</v>
      </c>
      <c r="D342">
        <v>1.3668940017503721</v>
      </c>
      <c r="E342">
        <v>0.73396298873718002</v>
      </c>
      <c r="F342">
        <v>1.0032496068116272</v>
      </c>
      <c r="G342">
        <v>0.5739553605397083</v>
      </c>
      <c r="K342" s="24">
        <f t="shared" si="9"/>
        <v>2.98</v>
      </c>
    </row>
    <row r="343" spans="1:11" ht="15" customHeight="1" x14ac:dyDescent="0.3">
      <c r="A343" s="28">
        <v>2.99</v>
      </c>
      <c r="B343">
        <v>0.15790162387511492</v>
      </c>
      <c r="C343">
        <v>0.78192924563904276</v>
      </c>
      <c r="D343">
        <v>1.3651742427434135</v>
      </c>
      <c r="E343">
        <v>0.72866324392005577</v>
      </c>
      <c r="F343">
        <v>0.99475229223352124</v>
      </c>
      <c r="G343">
        <v>0.56976310064330704</v>
      </c>
      <c r="K343" s="24">
        <f t="shared" si="9"/>
        <v>2.99</v>
      </c>
    </row>
    <row r="344" spans="1:11" ht="15" customHeight="1" x14ac:dyDescent="0.3">
      <c r="A344" s="28">
        <v>3</v>
      </c>
      <c r="B344">
        <v>0.15770373338965171</v>
      </c>
      <c r="C344">
        <v>0.7818635398946342</v>
      </c>
      <c r="D344">
        <v>1.363463335743166</v>
      </c>
      <c r="E344">
        <v>0.72337751187673061</v>
      </c>
      <c r="F344">
        <v>0.98629871534503888</v>
      </c>
      <c r="G344">
        <v>0.56558250211611338</v>
      </c>
      <c r="K344" s="24">
        <f t="shared" si="9"/>
        <v>3</v>
      </c>
    </row>
    <row r="345" spans="1:11" ht="15" customHeight="1" x14ac:dyDescent="0.3">
      <c r="A345" s="28">
        <v>3.01</v>
      </c>
      <c r="B345">
        <v>0.15750685790941016</v>
      </c>
      <c r="C345">
        <v>0.78179784806981856</v>
      </c>
      <c r="D345">
        <v>1.3617612042003893</v>
      </c>
      <c r="E345">
        <v>0.71810571111932942</v>
      </c>
      <c r="F345">
        <v>0.97788849791703492</v>
      </c>
      <c r="G345">
        <v>0.56141349963973852</v>
      </c>
      <c r="K345" s="24">
        <f t="shared" si="9"/>
        <v>3.01</v>
      </c>
    </row>
    <row r="346" spans="1:11" ht="15" customHeight="1" x14ac:dyDescent="0.3">
      <c r="A346" s="28">
        <v>3.02</v>
      </c>
      <c r="B346">
        <v>0.15731098868795979</v>
      </c>
      <c r="C346">
        <v>0.78173217199454115</v>
      </c>
      <c r="D346">
        <v>1.3600677724958381</v>
      </c>
      <c r="E346">
        <v>0.71284776091437807</v>
      </c>
      <c r="F346">
        <v>0.96952126631546387</v>
      </c>
      <c r="G346">
        <v>0.55725602844104216</v>
      </c>
      <c r="K346" s="24">
        <f t="shared" si="9"/>
        <v>3.02</v>
      </c>
    </row>
    <row r="347" spans="1:11" ht="15" customHeight="1" x14ac:dyDescent="0.3">
      <c r="A347" s="28">
        <v>3.03</v>
      </c>
      <c r="B347">
        <v>0.15711611708476786</v>
      </c>
      <c r="C347">
        <v>0.78166651346077654</v>
      </c>
      <c r="D347">
        <v>1.35838296592583</v>
      </c>
      <c r="E347">
        <v>0.70760358127352496</v>
      </c>
      <c r="F347">
        <v>0.96119665143006983</v>
      </c>
      <c r="G347">
        <v>0.55311002428643552</v>
      </c>
      <c r="K347" s="24">
        <f t="shared" si="9"/>
        <v>3.03</v>
      </c>
    </row>
    <row r="348" spans="1:11" ht="15" customHeight="1" x14ac:dyDescent="0.3">
      <c r="A348" s="28">
        <v>3.04</v>
      </c>
      <c r="B348">
        <v>0.15692223456356119</v>
      </c>
      <c r="C348">
        <v>0.78160087422326729</v>
      </c>
      <c r="D348">
        <v>1.3567067106880826</v>
      </c>
      <c r="E348">
        <v>0.70237309294439487</v>
      </c>
      <c r="F348">
        <v>0.95291428860440486</v>
      </c>
      <c r="G348">
        <v>0.54897542347623918</v>
      </c>
      <c r="K348" s="24">
        <f t="shared" si="9"/>
        <v>3.04</v>
      </c>
    </row>
    <row r="349" spans="1:11" ht="15" customHeight="1" x14ac:dyDescent="0.3">
      <c r="A349" s="28">
        <v>3.05</v>
      </c>
      <c r="B349">
        <v>0.1567293326907192</v>
      </c>
      <c r="C349">
        <v>0.78153525600025386</v>
      </c>
      <c r="D349">
        <v>1.3550389338678193</v>
      </c>
      <c r="E349">
        <v>0.69715621740159572</v>
      </c>
      <c r="F349">
        <v>0.94467381756717994</v>
      </c>
      <c r="G349">
        <v>0.54485216283912474</v>
      </c>
      <c r="K349" s="24">
        <f t="shared" si="9"/>
        <v>3.05</v>
      </c>
    </row>
    <row r="350" spans="1:11" ht="15" customHeight="1" x14ac:dyDescent="0.3">
      <c r="A350" s="28">
        <v>3.06</v>
      </c>
      <c r="B350">
        <v>0.15653740313369602</v>
      </c>
      <c r="C350">
        <v>0.78146966047418354</v>
      </c>
      <c r="D350">
        <v>1.3533795634241281</v>
      </c>
      <c r="E350">
        <v>0.69195287683783779</v>
      </c>
      <c r="F350">
        <v>0.93647488236486232</v>
      </c>
      <c r="G350">
        <v>0.5407401797265996</v>
      </c>
      <c r="K350" s="24">
        <f t="shared" si="9"/>
        <v>3.06</v>
      </c>
    </row>
    <row r="351" spans="1:11" ht="15" customHeight="1" x14ac:dyDescent="0.3">
      <c r="A351" s="28">
        <v>3.07</v>
      </c>
      <c r="B351">
        <v>0.15634643765947276</v>
      </c>
      <c r="C351">
        <v>0.78140408929240601</v>
      </c>
      <c r="D351">
        <v>1.3517285281765801</v>
      </c>
      <c r="E351">
        <v>0.68676299415520903</v>
      </c>
      <c r="F351">
        <v>0.92831713129556193</v>
      </c>
      <c r="G351">
        <v>0.53663941200757703</v>
      </c>
      <c r="K351" s="24">
        <f t="shared" si="9"/>
        <v>3.07</v>
      </c>
    </row>
    <row r="352" spans="1:11" ht="15" customHeight="1" x14ac:dyDescent="0.3">
      <c r="A352" s="28">
        <v>3.08</v>
      </c>
      <c r="B352">
        <v>0.15615642813303784</v>
      </c>
      <c r="C352">
        <v>0.78133854406785608</v>
      </c>
      <c r="D352">
        <v>1.3500857577920906</v>
      </c>
      <c r="E352">
        <v>0.68158649295655738</v>
      </c>
      <c r="F352">
        <v>0.92020021684410724</v>
      </c>
      <c r="G352">
        <v>0.53254979806299263</v>
      </c>
      <c r="K352" s="24">
        <f t="shared" si="9"/>
        <v>3.08</v>
      </c>
    </row>
    <row r="353" spans="1:11" ht="15" customHeight="1" x14ac:dyDescent="0.3">
      <c r="A353" s="28">
        <v>3.09</v>
      </c>
      <c r="B353">
        <v>0.15596736651589546</v>
      </c>
      <c r="C353">
        <v>0.78127302637971796</v>
      </c>
      <c r="D353">
        <v>1.3484511827720242</v>
      </c>
      <c r="E353">
        <v>0.67642329753700892</v>
      </c>
      <c r="F353">
        <v>0.91212379561833257</v>
      </c>
      <c r="G353">
        <v>0.52847127678048733</v>
      </c>
      <c r="K353" s="24">
        <f t="shared" si="9"/>
        <v>3.09</v>
      </c>
    </row>
    <row r="354" spans="1:11" ht="15" customHeight="1" x14ac:dyDescent="0.3">
      <c r="A354" s="28">
        <v>3.1</v>
      </c>
      <c r="B354">
        <v>0.1557792448646019</v>
      </c>
      <c r="C354">
        <v>0.78120753777407848</v>
      </c>
      <c r="D354">
        <v>1.3468247344395394</v>
      </c>
      <c r="E354">
        <v>0.6712733328756193</v>
      </c>
      <c r="F354">
        <v>0.90408752828655048</v>
      </c>
      <c r="G354">
        <v>0.52440378754916195</v>
      </c>
      <c r="K354" s="24">
        <f t="shared" si="9"/>
        <v>3.1</v>
      </c>
    </row>
    <row r="355" spans="1:11" ht="15" customHeight="1" x14ac:dyDescent="0.3">
      <c r="A355" s="28">
        <v>3.11</v>
      </c>
      <c r="B355">
        <v>0.15559205532932777</v>
      </c>
      <c r="C355">
        <v>0.78114207976456473</v>
      </c>
      <c r="D355">
        <v>1.3452063449271587</v>
      </c>
      <c r="E355">
        <v>0.66613652462712514</v>
      </c>
      <c r="F355">
        <v>0.89609107951613531</v>
      </c>
      <c r="G355">
        <v>0.52034727025437177</v>
      </c>
      <c r="K355" s="24">
        <f t="shared" si="9"/>
        <v>3.11</v>
      </c>
    </row>
    <row r="356" spans="1:11" ht="15" customHeight="1" x14ac:dyDescent="0.3">
      <c r="A356" s="28">
        <v>3.12</v>
      </c>
      <c r="B356">
        <v>0.15540579015244765</v>
      </c>
      <c r="C356">
        <v>0.78107665383296931</v>
      </c>
      <c r="D356">
        <v>1.3435959471645753</v>
      </c>
      <c r="E356">
        <v>0.66101279911384325</v>
      </c>
      <c r="F356">
        <v>0.88813411791327146</v>
      </c>
      <c r="G356">
        <v>0.51630166527260546</v>
      </c>
      <c r="K356" s="24">
        <f t="shared" si="9"/>
        <v>3.12</v>
      </c>
    </row>
    <row r="357" spans="1:11" ht="15" customHeight="1" x14ac:dyDescent="0.3">
      <c r="A357" s="28">
        <v>3.13</v>
      </c>
      <c r="B357">
        <v>0.15522044166715449</v>
      </c>
      <c r="C357">
        <v>0.78101126142986099</v>
      </c>
      <c r="D357">
        <v>1.3419934748666726</v>
      </c>
      <c r="E357">
        <v>0.65590208331766608</v>
      </c>
      <c r="F357">
        <v>0.8802163159637646</v>
      </c>
      <c r="G357">
        <v>0.51226691346640418</v>
      </c>
      <c r="K357" s="24">
        <f t="shared" si="9"/>
        <v>3.13</v>
      </c>
    </row>
    <row r="358" spans="1:11" ht="15" customHeight="1" x14ac:dyDescent="0.3">
      <c r="A358" s="28">
        <v>3.14</v>
      </c>
      <c r="B358">
        <v>0.15503600229609968</v>
      </c>
      <c r="C358">
        <v>0.78094590397518404</v>
      </c>
      <c r="D358">
        <v>1.3403988625217675</v>
      </c>
      <c r="E358">
        <v>0.65080430487218544</v>
      </c>
      <c r="F358">
        <v>0.87233734997494705</v>
      </c>
      <c r="G358">
        <v>0.50824295617935011</v>
      </c>
      <c r="K358" s="24">
        <f t="shared" si="9"/>
        <v>3.14</v>
      </c>
    </row>
    <row r="359" spans="1:11" ht="15" customHeight="1" x14ac:dyDescent="0.3">
      <c r="A359" s="28">
        <v>3.15</v>
      </c>
      <c r="B359">
        <v>0.15485246455005738</v>
      </c>
      <c r="C359">
        <v>0.78088058285884387</v>
      </c>
      <c r="D359">
        <v>1.3388120453800623</v>
      </c>
      <c r="E359">
        <v>0.6457193920549219</v>
      </c>
      <c r="F359">
        <v>0.86449690001862023</v>
      </c>
      <c r="G359">
        <v>0.5042297352311057</v>
      </c>
      <c r="K359" s="24">
        <f t="shared" si="9"/>
        <v>3.15</v>
      </c>
    </row>
    <row r="360" spans="1:11" ht="15" customHeight="1" x14ac:dyDescent="0.3">
      <c r="A360" s="28">
        <v>3.16</v>
      </c>
      <c r="B360">
        <v>0.15466982102661339</v>
      </c>
      <c r="C360">
        <v>0.78081529944128103</v>
      </c>
      <c r="D360">
        <v>1.3372329594423087</v>
      </c>
      <c r="E360">
        <v>0.64064727377967867</v>
      </c>
      <c r="F360">
        <v>0.85669464987504662</v>
      </c>
      <c r="G360">
        <v>0.50022719291252016</v>
      </c>
      <c r="K360" s="24">
        <f t="shared" si="9"/>
        <v>3.16</v>
      </c>
    </row>
    <row r="361" spans="1:11" ht="15" customHeight="1" x14ac:dyDescent="0.3">
      <c r="A361" s="28">
        <v>3.17</v>
      </c>
      <c r="B361">
        <v>0.15448806440887713</v>
      </c>
      <c r="C361">
        <v>0.78075005505403239</v>
      </c>
      <c r="D361">
        <v>1.3356615414486728</v>
      </c>
      <c r="E361">
        <v>0.63558787958899099</v>
      </c>
      <c r="F361">
        <v>0.84893028697792505</v>
      </c>
      <c r="G361">
        <v>0.49623527198078043</v>
      </c>
      <c r="K361" s="24">
        <f t="shared" si="9"/>
        <v>3.17</v>
      </c>
    </row>
    <row r="362" spans="1:11" ht="15" customHeight="1" x14ac:dyDescent="0.3">
      <c r="A362" s="28">
        <v>3.18</v>
      </c>
      <c r="B362">
        <v>0.15430718746421682</v>
      </c>
      <c r="C362">
        <v>0.78068485100028129</v>
      </c>
      <c r="D362">
        <v>1.3340977288677984</v>
      </c>
      <c r="E362">
        <v>0.63054113964668734</v>
      </c>
      <c r="F362">
        <v>0.8412035023603589</v>
      </c>
      <c r="G362">
        <v>0.49225391565462168</v>
      </c>
      <c r="K362" s="24">
        <f t="shared" si="9"/>
        <v>3.18</v>
      </c>
    </row>
    <row r="363" spans="1:11" ht="15" customHeight="1" x14ac:dyDescent="0.3">
      <c r="A363" s="28">
        <v>3.19</v>
      </c>
      <c r="B363">
        <v>0.15412718304301781</v>
      </c>
      <c r="C363">
        <v>0.78061968855539654</v>
      </c>
      <c r="D363">
        <v>1.3325414598860736</v>
      </c>
      <c r="E363">
        <v>0.62550698473057709</v>
      </c>
      <c r="F363">
        <v>0.83351399060181919</v>
      </c>
      <c r="G363">
        <v>0.48828306760960827</v>
      </c>
      <c r="K363" s="24">
        <f t="shared" si="9"/>
        <v>3.19</v>
      </c>
    </row>
    <row r="364" spans="1:11" ht="15" customHeight="1" x14ac:dyDescent="0.3">
      <c r="A364" s="28">
        <v>3.2</v>
      </c>
      <c r="B364">
        <v>0.15394804407746188</v>
      </c>
      <c r="C364">
        <v>0.78055456896745856</v>
      </c>
      <c r="D364">
        <v>1.3309926733970754</v>
      </c>
      <c r="E364">
        <v>0.62048534622520113</v>
      </c>
      <c r="F364">
        <v>0.82586144977599041</v>
      </c>
      <c r="G364">
        <v>0.48432267197343615</v>
      </c>
      <c r="K364" s="24">
        <f t="shared" ref="K364:K427" si="10">A364</f>
        <v>3.2</v>
      </c>
    </row>
    <row r="365" spans="1:11" ht="15" customHeight="1" x14ac:dyDescent="0.3">
      <c r="A365" s="28">
        <v>3.21</v>
      </c>
      <c r="B365">
        <v>0.15376976358032951</v>
      </c>
      <c r="C365">
        <v>0.78048949345777741</v>
      </c>
      <c r="D365">
        <v>1.3294513089912152</v>
      </c>
      <c r="E365">
        <v>0.61547615611473117</v>
      </c>
      <c r="F365">
        <v>0.81824558139961079</v>
      </c>
      <c r="G365">
        <v>0.48037267332132644</v>
      </c>
      <c r="K365" s="24">
        <f t="shared" si="10"/>
        <v>3.21</v>
      </c>
    </row>
    <row r="366" spans="1:11" ht="15" customHeight="1" x14ac:dyDescent="0.3">
      <c r="A366" s="28">
        <v>3.22</v>
      </c>
      <c r="B366">
        <v>0.1535923346438223</v>
      </c>
      <c r="C366">
        <v>0.78042446322139691</v>
      </c>
      <c r="D366">
        <v>1.3279173069455583</v>
      </c>
      <c r="E366">
        <v>0.61047934697593864</v>
      </c>
      <c r="F366">
        <v>0.81066609038217152</v>
      </c>
      <c r="G366">
        <v>0.47643301667144583</v>
      </c>
      <c r="K366" s="24">
        <f t="shared" si="10"/>
        <v>3.22</v>
      </c>
    </row>
    <row r="367" spans="1:11" ht="15" customHeight="1" x14ac:dyDescent="0.3">
      <c r="A367" s="28">
        <v>3.23</v>
      </c>
      <c r="B367">
        <v>0.15341575043840697</v>
      </c>
      <c r="C367">
        <v>0.7803594794275901</v>
      </c>
      <c r="D367">
        <v>1.3263906082138277</v>
      </c>
      <c r="E367">
        <v>0.60549485197127362</v>
      </c>
      <c r="F367">
        <v>0.80312268497651917</v>
      </c>
      <c r="G367">
        <v>0.47250364748038881</v>
      </c>
      <c r="K367" s="24">
        <f t="shared" si="10"/>
        <v>3.23</v>
      </c>
    </row>
    <row r="368" spans="1:11" ht="15" customHeight="1" x14ac:dyDescent="0.3">
      <c r="A368" s="28">
        <v>3.24</v>
      </c>
      <c r="B368">
        <v>0.15324000421167891</v>
      </c>
      <c r="C368">
        <v>0.78029454322034564</v>
      </c>
      <c r="D368">
        <v>1.3248711544165808</v>
      </c>
      <c r="E368">
        <v>0.60052260484204179</v>
      </c>
      <c r="F368">
        <v>0.79561507673032805</v>
      </c>
      <c r="G368">
        <v>0.46858451163871312</v>
      </c>
      <c r="K368" s="24">
        <f t="shared" si="10"/>
        <v>3.24</v>
      </c>
    </row>
    <row r="369" spans="1:11" ht="15" customHeight="1" x14ac:dyDescent="0.3">
      <c r="A369" s="28">
        <v>3.25</v>
      </c>
      <c r="B369">
        <v>0.15306508928724652</v>
      </c>
      <c r="C369">
        <v>0.78022965571884106</v>
      </c>
      <c r="D369">
        <v>1.3233588878315623</v>
      </c>
      <c r="E369">
        <v>0.5955625399016794</v>
      </c>
      <c r="F369">
        <v>0.7881429804384269</v>
      </c>
      <c r="G369">
        <v>0.46467555546652584</v>
      </c>
      <c r="K369" s="24">
        <f t="shared" si="10"/>
        <v>3.25</v>
      </c>
    </row>
    <row r="370" spans="1:11" ht="15" customHeight="1" x14ac:dyDescent="0.3">
      <c r="A370" s="28">
        <v>3.26</v>
      </c>
      <c r="B370">
        <v>0.1528909990636344</v>
      </c>
      <c r="C370">
        <v>0.78016481801790971</v>
      </c>
      <c r="D370">
        <v>1.3218537513842217</v>
      </c>
      <c r="E370">
        <v>0.59061459202911515</v>
      </c>
      <c r="F370">
        <v>0.78070611409594748</v>
      </c>
      <c r="G370">
        <v>0.4607767257091166</v>
      </c>
      <c r="K370" s="24">
        <f t="shared" si="10"/>
        <v>3.26</v>
      </c>
    </row>
    <row r="371" spans="1:11" ht="15" customHeight="1" x14ac:dyDescent="0.3">
      <c r="A371" s="28">
        <v>3.27</v>
      </c>
      <c r="B371">
        <v>0.1527177270132058</v>
      </c>
      <c r="C371">
        <v>0.7801000311884958</v>
      </c>
      <c r="D371">
        <v>1.3203556886383974</v>
      </c>
      <c r="E371">
        <v>0.5856786966622306</v>
      </c>
      <c r="F371">
        <v>0.77330419885229851</v>
      </c>
      <c r="G371">
        <v>0.45688796953264366</v>
      </c>
      <c r="K371" s="24">
        <f t="shared" si="10"/>
        <v>3.27</v>
      </c>
    </row>
    <row r="372" spans="1:11" ht="15" customHeight="1" x14ac:dyDescent="0.3">
      <c r="A372" s="28">
        <v>3.28</v>
      </c>
      <c r="B372">
        <v>0.15254526668110394</v>
      </c>
      <c r="C372">
        <v>0.78003529627810009</v>
      </c>
      <c r="D372">
        <v>1.3188646437871636</v>
      </c>
      <c r="E372">
        <v>0.58075478979140893</v>
      </c>
      <c r="F372">
        <v>0.76593695896593572</v>
      </c>
      <c r="G372">
        <v>0.45300923451986741</v>
      </c>
      <c r="K372" s="24">
        <f t="shared" si="10"/>
        <v>3.28</v>
      </c>
    </row>
    <row r="373" spans="1:11" ht="15" customHeight="1" x14ac:dyDescent="0.3">
      <c r="A373" s="28">
        <v>3.29</v>
      </c>
      <c r="B373">
        <v>0.15237361168421179</v>
      </c>
      <c r="C373">
        <v>0.77997061431122028</v>
      </c>
      <c r="D373">
        <v>1.317380561643837</v>
      </c>
      <c r="E373">
        <v>0.57584280795318121</v>
      </c>
      <c r="F373">
        <v>0.75860412175992598</v>
      </c>
      <c r="G373">
        <v>0.44914046866594082</v>
      </c>
      <c r="K373" s="24">
        <f t="shared" si="10"/>
        <v>3.29</v>
      </c>
    </row>
    <row r="374" spans="1:11" ht="15" customHeight="1" x14ac:dyDescent="0.3">
      <c r="A374" s="28">
        <v>3.3</v>
      </c>
      <c r="B374">
        <v>0.15220275571012931</v>
      </c>
      <c r="C374">
        <v>0.77990598628977514</v>
      </c>
      <c r="D374">
        <v>1.3159033876331332</v>
      </c>
      <c r="E374">
        <v>0.57094268822394501</v>
      </c>
      <c r="F374">
        <v>0.75130541757825697</v>
      </c>
      <c r="G374">
        <v>0.44528162037423141</v>
      </c>
      <c r="K374" s="24">
        <f t="shared" si="10"/>
        <v>3.3</v>
      </c>
    </row>
    <row r="375" spans="1:11" ht="15" customHeight="1" x14ac:dyDescent="0.3">
      <c r="A375" s="28">
        <v>3.31</v>
      </c>
      <c r="B375">
        <v>0.15203269251616869</v>
      </c>
      <c r="C375">
        <v>0.77984141319352929</v>
      </c>
      <c r="D375">
        <v>1.3144330677824814</v>
      </c>
      <c r="E375">
        <v>0.56605436821378197</v>
      </c>
      <c r="F375">
        <v>0.74404057974291571</v>
      </c>
      <c r="G375">
        <v>0.44143263845220609</v>
      </c>
      <c r="K375" s="24">
        <f t="shared" si="10"/>
        <v>3.31</v>
      </c>
    </row>
    <row r="376" spans="1:11" ht="15" customHeight="1" x14ac:dyDescent="0.3">
      <c r="A376" s="28">
        <v>3.32</v>
      </c>
      <c r="B376">
        <v>0.15186341592836694</v>
      </c>
      <c r="C376">
        <v>0.77977689598050026</v>
      </c>
      <c r="D376">
        <v>1.3129695487134869</v>
      </c>
      <c r="E376">
        <v>0.5611777860603645</v>
      </c>
      <c r="F376">
        <v>0.73680934451171054</v>
      </c>
      <c r="G376">
        <v>0.43759347210736027</v>
      </c>
      <c r="K376" s="24">
        <f t="shared" si="10"/>
        <v>3.32</v>
      </c>
    </row>
    <row r="377" spans="1:11" ht="15" customHeight="1" x14ac:dyDescent="0.3">
      <c r="A377" s="28">
        <v>3.33</v>
      </c>
      <c r="B377">
        <v>0.15169491984051511</v>
      </c>
      <c r="C377">
        <v>0.77971243558736525</v>
      </c>
      <c r="D377">
        <v>1.3115127776335374</v>
      </c>
      <c r="E377">
        <v>0.55631288042293159</v>
      </c>
      <c r="F377">
        <v>0.72961145103679292</v>
      </c>
      <c r="G377">
        <v>0.4337640709431867</v>
      </c>
      <c r="K377" s="24">
        <f t="shared" si="10"/>
        <v>3.33</v>
      </c>
    </row>
    <row r="378" spans="1:11" ht="15" customHeight="1" x14ac:dyDescent="0.3">
      <c r="A378" s="28">
        <v>3.34</v>
      </c>
      <c r="B378">
        <v>0.15152719821320401</v>
      </c>
      <c r="C378">
        <v>0.77964803292985285</v>
      </c>
      <c r="D378">
        <v>1.3100627023275531</v>
      </c>
      <c r="E378">
        <v>0.55145959047635584</v>
      </c>
      <c r="F378">
        <v>0.72244664132390057</v>
      </c>
      <c r="G378">
        <v>0.42994438495519305</v>
      </c>
      <c r="K378" s="24">
        <f t="shared" si="10"/>
        <v>3.34</v>
      </c>
    </row>
    <row r="379" spans="1:11" ht="15" customHeight="1" x14ac:dyDescent="0.3">
      <c r="A379" s="28">
        <v>3.35</v>
      </c>
      <c r="B379">
        <v>0.15136024507288653</v>
      </c>
      <c r="C379">
        <v>0.77958368890313312</v>
      </c>
      <c r="D379">
        <v>1.3086192711498799</v>
      </c>
      <c r="E379">
        <v>0.54661785590529421</v>
      </c>
      <c r="F379">
        <v>0.71531466019229617</v>
      </c>
      <c r="G379">
        <v>0.42613436452697051</v>
      </c>
      <c r="K379" s="24">
        <f t="shared" si="10"/>
        <v>3.35</v>
      </c>
    </row>
    <row r="380" spans="1:11" ht="15" customHeight="1" x14ac:dyDescent="0.3">
      <c r="A380" s="28">
        <v>3.36</v>
      </c>
      <c r="B380">
        <v>0.15119405451095569</v>
      </c>
      <c r="C380">
        <v>0.77951940438219525</v>
      </c>
      <c r="D380">
        <v>1.3071824330163184</v>
      </c>
      <c r="E380">
        <v>0.5417876168984187</v>
      </c>
      <c r="F380">
        <v>0.70821525523538797</v>
      </c>
      <c r="G380">
        <v>0.42233396042630433</v>
      </c>
      <c r="K380" s="24">
        <f t="shared" si="10"/>
        <v>3.36</v>
      </c>
    </row>
    <row r="381" spans="1:11" ht="15" customHeight="1" x14ac:dyDescent="0.3">
      <c r="A381" s="28">
        <v>3.37</v>
      </c>
      <c r="B381">
        <v>0.15102862068283793</v>
      </c>
      <c r="C381">
        <v>0.7794551802222186</v>
      </c>
      <c r="D381">
        <v>1.3057521373962846</v>
      </c>
      <c r="E381">
        <v>0.53696881414270836</v>
      </c>
      <c r="F381">
        <v>0.70114817678198971</v>
      </c>
      <c r="G381">
        <v>0.41854312380131575</v>
      </c>
      <c r="K381" s="24">
        <f t="shared" si="10"/>
        <v>3.37</v>
      </c>
    </row>
    <row r="382" spans="1:11" ht="15" customHeight="1" x14ac:dyDescent="0.3">
      <c r="A382" s="28">
        <v>3.38</v>
      </c>
      <c r="B382">
        <v>0.15086393780710231</v>
      </c>
      <c r="C382">
        <v>0.77939101725893967</v>
      </c>
      <c r="D382">
        <v>1.304328334305108</v>
      </c>
      <c r="E382">
        <v>0.53216138881784503</v>
      </c>
      <c r="F382">
        <v>0.69411317785827276</v>
      </c>
      <c r="G382">
        <v>0.41476180617667036</v>
      </c>
      <c r="K382" s="24">
        <f t="shared" si="10"/>
        <v>3.38</v>
      </c>
    </row>
    <row r="383" spans="1:11" ht="15" customHeight="1" x14ac:dyDescent="0.3">
      <c r="A383" s="28">
        <v>3.39</v>
      </c>
      <c r="B383">
        <v>0.15070000016458435</v>
      </c>
      <c r="C383">
        <v>0.7793269163090063</v>
      </c>
      <c r="D383">
        <v>1.3029109742964573</v>
      </c>
      <c r="E383">
        <v>0.52736528259066884</v>
      </c>
      <c r="F383">
        <v>0.68711001415033479</v>
      </c>
      <c r="G383">
        <v>0.41098995944981365</v>
      </c>
      <c r="K383" s="24">
        <f t="shared" si="10"/>
        <v>3.39</v>
      </c>
    </row>
    <row r="384" spans="1:11" ht="15" customHeight="1" x14ac:dyDescent="0.3">
      <c r="A384" s="28">
        <v>3.4</v>
      </c>
      <c r="B384">
        <v>0.15053680209752446</v>
      </c>
      <c r="C384">
        <v>0.77926287817033046</v>
      </c>
      <c r="D384">
        <v>1.3015000084548909</v>
      </c>
      <c r="E384">
        <v>0.52258043760970929</v>
      </c>
      <c r="F384">
        <v>0.6801384439673972</v>
      </c>
      <c r="G384">
        <v>0.40722753588725286</v>
      </c>
      <c r="K384" s="24">
        <f t="shared" si="10"/>
        <v>3.4</v>
      </c>
    </row>
    <row r="385" spans="1:11" ht="15" customHeight="1" x14ac:dyDescent="0.3">
      <c r="A385" s="28">
        <v>3.41</v>
      </c>
      <c r="B385">
        <v>0.15037433800872099</v>
      </c>
      <c r="C385">
        <v>0.77919890362242794</v>
      </c>
      <c r="D385">
        <v>1.3000953883885342</v>
      </c>
      <c r="E385">
        <v>0.51780679649979222</v>
      </c>
      <c r="F385">
        <v>0.67319822820562003</v>
      </c>
      <c r="G385">
        <v>0.40347448812087977</v>
      </c>
      <c r="K385" s="24">
        <f t="shared" si="10"/>
        <v>3.41</v>
      </c>
    </row>
    <row r="386" spans="1:11" ht="15" customHeight="1" x14ac:dyDescent="0.3">
      <c r="A386" s="28">
        <v>3.42</v>
      </c>
      <c r="B386">
        <v>0.15021260236069728</v>
      </c>
      <c r="C386">
        <v>0.77913499342675829</v>
      </c>
      <c r="D386">
        <v>1.2986970662218793</v>
      </c>
      <c r="E386">
        <v>0.51304430235672327</v>
      </c>
      <c r="F386">
        <v>0.66628913031252734</v>
      </c>
      <c r="G386">
        <v>0.39973076914434136</v>
      </c>
      <c r="K386" s="24">
        <f t="shared" si="10"/>
        <v>3.42</v>
      </c>
    </row>
    <row r="387" spans="1:11" ht="15" customHeight="1" x14ac:dyDescent="0.3">
      <c r="A387" s="28">
        <v>3.43</v>
      </c>
      <c r="B387">
        <v>0.15005158967488269</v>
      </c>
      <c r="C387">
        <v>0.77907114832705249</v>
      </c>
      <c r="D387">
        <v>1.297304994588703</v>
      </c>
      <c r="E387">
        <v>0.50829289874203709</v>
      </c>
      <c r="F387">
        <v>0.65941091625201464</v>
      </c>
      <c r="G387">
        <v>0.39599633230944503</v>
      </c>
      <c r="K387" s="24">
        <f t="shared" si="10"/>
        <v>3.43</v>
      </c>
    </row>
    <row r="388" spans="1:11" ht="15" customHeight="1" x14ac:dyDescent="0.3">
      <c r="A388" s="28">
        <v>3.44</v>
      </c>
      <c r="B388">
        <v>0.14989129453080674</v>
      </c>
      <c r="C388">
        <v>0.77900736904963575</v>
      </c>
      <c r="D388">
        <v>1.2959191266251004</v>
      </c>
      <c r="E388">
        <v>0.50355252967780995</v>
      </c>
      <c r="F388">
        <v>0.65256335446992741</v>
      </c>
      <c r="G388">
        <v>0.39227113132259933</v>
      </c>
      <c r="K388" s="24">
        <f t="shared" si="10"/>
        <v>3.44</v>
      </c>
    </row>
    <row r="389" spans="1:11" ht="15" customHeight="1" x14ac:dyDescent="0.3">
      <c r="A389" s="28">
        <v>3.45</v>
      </c>
      <c r="B389">
        <v>0.14973171156530743</v>
      </c>
      <c r="C389">
        <v>0.77894365630374574</v>
      </c>
      <c r="D389">
        <v>1.2945394159626404</v>
      </c>
      <c r="E389">
        <v>0.49882313964156622</v>
      </c>
      <c r="F389">
        <v>0.64574621586024372</v>
      </c>
      <c r="G389">
        <v>0.3885551202413155</v>
      </c>
      <c r="K389" s="24">
        <f t="shared" si="10"/>
        <v>3.45</v>
      </c>
    </row>
    <row r="390" spans="1:11" ht="15" customHeight="1" x14ac:dyDescent="0.3">
      <c r="A390" s="28">
        <v>3.46</v>
      </c>
      <c r="B390">
        <v>0.14957283547175157</v>
      </c>
      <c r="C390">
        <v>0.77888001078184232</v>
      </c>
      <c r="D390">
        <v>1.2931658167216238</v>
      </c>
      <c r="E390">
        <v>0.49410467356121535</v>
      </c>
      <c r="F390">
        <v>0.63895927373176031</v>
      </c>
      <c r="G390">
        <v>0.3848482534707181</v>
      </c>
      <c r="K390" s="24">
        <f t="shared" si="10"/>
        <v>3.46</v>
      </c>
    </row>
    <row r="391" spans="1:11" ht="15" customHeight="1" x14ac:dyDescent="0.3">
      <c r="A391" s="28">
        <v>3.47</v>
      </c>
      <c r="B391">
        <v>0.14941466099926884</v>
      </c>
      <c r="C391">
        <v>0.77881643315991322</v>
      </c>
      <c r="D391">
        <v>1.2917982835044624</v>
      </c>
      <c r="E391">
        <v>0.4893970768100957</v>
      </c>
      <c r="F391">
        <v>0.63220230377538322</v>
      </c>
      <c r="G391">
        <v>0.38115048576012683</v>
      </c>
      <c r="K391" s="24">
        <f t="shared" si="10"/>
        <v>3.47</v>
      </c>
    </row>
    <row r="392" spans="1:11" ht="15" customHeight="1" x14ac:dyDescent="0.3">
      <c r="A392" s="28">
        <v>3.48</v>
      </c>
      <c r="B392">
        <v>0.14925718295199764</v>
      </c>
      <c r="C392">
        <v>0.77875292409777075</v>
      </c>
      <c r="D392">
        <v>1.290436771389158</v>
      </c>
      <c r="E392">
        <v>0.48470029520204677</v>
      </c>
      <c r="F392">
        <v>0.62547508403190111</v>
      </c>
      <c r="G392">
        <v>0.37746177219964661</v>
      </c>
      <c r="K392" s="24">
        <f t="shared" si="10"/>
        <v>3.48</v>
      </c>
    </row>
    <row r="393" spans="1:11" ht="15" customHeight="1" x14ac:dyDescent="0.3">
      <c r="A393" s="28">
        <v>3.49</v>
      </c>
      <c r="B393">
        <v>0.1491003961883437</v>
      </c>
      <c r="C393">
        <v>0.77868948423934625</v>
      </c>
      <c r="D393">
        <v>1.2890812359228938</v>
      </c>
      <c r="E393">
        <v>0.48001427498657423</v>
      </c>
      <c r="F393">
        <v>0.6187773948603249</v>
      </c>
      <c r="G393">
        <v>0.3737820682168192</v>
      </c>
      <c r="K393" s="24">
        <f t="shared" si="10"/>
        <v>3.49</v>
      </c>
    </row>
    <row r="394" spans="1:11" ht="15" customHeight="1" x14ac:dyDescent="0.3">
      <c r="A394" s="28">
        <v>3.5</v>
      </c>
      <c r="B394">
        <v>0.14894429562025088</v>
      </c>
      <c r="C394">
        <v>0.77862611421297656</v>
      </c>
      <c r="D394">
        <v>1.2877316331157278</v>
      </c>
      <c r="E394">
        <v>0.47533896284406862</v>
      </c>
      <c r="F394">
        <v>0.61210901890672875</v>
      </c>
      <c r="G394">
        <v>0.37011132957330362</v>
      </c>
      <c r="K394" s="24">
        <f t="shared" si="10"/>
        <v>3.5</v>
      </c>
    </row>
    <row r="395" spans="1:11" ht="15" customHeight="1" x14ac:dyDescent="0.3">
      <c r="A395" s="28">
        <v>3.51</v>
      </c>
      <c r="B395">
        <v>0.14878887621248327</v>
      </c>
      <c r="C395">
        <v>0.77856281463168586</v>
      </c>
      <c r="D395">
        <v>1.2863879194343877</v>
      </c>
      <c r="E395">
        <v>0.47067430588107756</v>
      </c>
      <c r="F395">
        <v>0.60546974107358398</v>
      </c>
      <c r="G395">
        <v>0.36644951236158679</v>
      </c>
      <c r="K395" s="24">
        <f t="shared" si="10"/>
        <v>3.51</v>
      </c>
    </row>
    <row r="396" spans="1:11" ht="15" customHeight="1" x14ac:dyDescent="0.3">
      <c r="A396" s="28">
        <v>3.52</v>
      </c>
      <c r="B396">
        <v>0.14863413298191944</v>
      </c>
      <c r="C396">
        <v>0.77849958609346248</v>
      </c>
      <c r="D396">
        <v>1.2850500517961694</v>
      </c>
      <c r="E396">
        <v>0.46602025162565941</v>
      </c>
      <c r="F396">
        <v>0.59885934848961753</v>
      </c>
      <c r="G396">
        <v>0.36279657300174711</v>
      </c>
      <c r="K396" s="24">
        <f t="shared" si="10"/>
        <v>3.52</v>
      </c>
    </row>
    <row r="397" spans="1:11" ht="15" customHeight="1" x14ac:dyDescent="0.3">
      <c r="A397" s="28">
        <v>3.53</v>
      </c>
      <c r="B397">
        <v>0.14848006099685779</v>
      </c>
      <c r="C397">
        <v>0.77843642918152756</v>
      </c>
      <c r="D397">
        <v>1.2837179875629297</v>
      </c>
      <c r="E397">
        <v>0.46137674802277745</v>
      </c>
      <c r="F397">
        <v>0.59227763048012882</v>
      </c>
      <c r="G397">
        <v>0.35915246823823627</v>
      </c>
      <c r="K397" s="24">
        <f t="shared" si="10"/>
        <v>3.53</v>
      </c>
    </row>
    <row r="398" spans="1:11" ht="15" customHeight="1" x14ac:dyDescent="0.3">
      <c r="A398" s="28">
        <v>3.54</v>
      </c>
      <c r="B398">
        <v>0.14832665537633319</v>
      </c>
      <c r="C398">
        <v>0.77837334446460327</v>
      </c>
      <c r="D398">
        <v>1.2823916845351795</v>
      </c>
      <c r="E398">
        <v>0.4567437434297657</v>
      </c>
      <c r="F398">
        <v>0.58572437853780113</v>
      </c>
      <c r="G398">
        <v>0.3555171551367094</v>
      </c>
      <c r="K398" s="24">
        <f t="shared" si="10"/>
        <v>3.54</v>
      </c>
    </row>
    <row r="399" spans="1:11" ht="15" customHeight="1" x14ac:dyDescent="0.3">
      <c r="A399" s="28">
        <v>3.55</v>
      </c>
      <c r="B399">
        <v>0.1481739112894446</v>
      </c>
      <c r="C399">
        <v>0.7783103324971713</v>
      </c>
      <c r="D399">
        <v>1.2810711009462696</v>
      </c>
      <c r="E399">
        <v>0.45212118661185019</v>
      </c>
      <c r="F399">
        <v>0.57919938629397671</v>
      </c>
      <c r="G399">
        <v>0.35189059108088477</v>
      </c>
      <c r="K399" s="24">
        <f t="shared" si="10"/>
        <v>3.55</v>
      </c>
    </row>
    <row r="400" spans="1:11" ht="15" customHeight="1" x14ac:dyDescent="0.3">
      <c r="A400" s="28">
        <v>3.56</v>
      </c>
      <c r="B400">
        <v>0.1480218239546934</v>
      </c>
      <c r="C400">
        <v>0.77824739381972985</v>
      </c>
      <c r="D400">
        <v>1.2797561954566716</v>
      </c>
      <c r="E400">
        <v>0.44750902673773357</v>
      </c>
      <c r="F400">
        <v>0.57270244949039983</v>
      </c>
      <c r="G400">
        <v>0.34827273376944495</v>
      </c>
      <c r="K400" s="24">
        <f t="shared" si="10"/>
        <v>3.56</v>
      </c>
    </row>
    <row r="401" spans="1:11" ht="15" customHeight="1" x14ac:dyDescent="0.3">
      <c r="A401" s="28">
        <v>3.57</v>
      </c>
      <c r="B401">
        <v>0.14787038863933233</v>
      </c>
      <c r="C401">
        <v>0.77818452895904333</v>
      </c>
      <c r="D401">
        <v>1.2784469271483472</v>
      </c>
      <c r="E401">
        <v>0.44290721337522371</v>
      </c>
      <c r="F401">
        <v>0.56623336595139206</v>
      </c>
      <c r="G401">
        <v>0.34466354121296094</v>
      </c>
      <c r="K401" s="24">
        <f t="shared" si="10"/>
        <v>3.57</v>
      </c>
    </row>
    <row r="402" spans="1:11" ht="15" customHeight="1" x14ac:dyDescent="0.3">
      <c r="A402" s="28">
        <v>3.58</v>
      </c>
      <c r="B402">
        <v>0.14771960065872483</v>
      </c>
      <c r="C402">
        <v>0.77812173842838805</v>
      </c>
      <c r="D402">
        <v>1.2771432555192102</v>
      </c>
      <c r="E402">
        <v>0.43831569648693181</v>
      </c>
      <c r="F402">
        <v>0.55979193555649009</v>
      </c>
      <c r="G402">
        <v>0.34106297173086109</v>
      </c>
      <c r="K402" s="24">
        <f t="shared" si="10"/>
        <v>3.58</v>
      </c>
    </row>
    <row r="403" spans="1:11" ht="15" customHeight="1" x14ac:dyDescent="0.3">
      <c r="A403" s="28">
        <v>3.59</v>
      </c>
      <c r="B403">
        <v>0.14756945537571431</v>
      </c>
      <c r="C403">
        <v>0.77805902272779415</v>
      </c>
      <c r="D403">
        <v>1.2758451404776734</v>
      </c>
      <c r="E403">
        <v>0.43373442642601795</v>
      </c>
      <c r="F403">
        <v>0.55337796021350594</v>
      </c>
      <c r="G403">
        <v>0.33747098394842784</v>
      </c>
      <c r="K403" s="24">
        <f t="shared" si="10"/>
        <v>3.59</v>
      </c>
    </row>
    <row r="404" spans="1:11" ht="15" customHeight="1" x14ac:dyDescent="0.3">
      <c r="A404" s="28">
        <v>3.6</v>
      </c>
      <c r="B404">
        <v>0.14741994820000395</v>
      </c>
      <c r="C404">
        <v>0.77799638234428203</v>
      </c>
      <c r="D404">
        <v>1.2745525423372861</v>
      </c>
      <c r="E404">
        <v>0.42916335393199645</v>
      </c>
      <c r="F404">
        <v>0.54699124383202258</v>
      </c>
      <c r="G404">
        <v>0.33388753679383193</v>
      </c>
      <c r="K404" s="24">
        <f t="shared" si="10"/>
        <v>3.6</v>
      </c>
    </row>
    <row r="405" spans="1:11" ht="15" customHeight="1" x14ac:dyDescent="0.3">
      <c r="A405" s="28">
        <v>3.61</v>
      </c>
      <c r="B405">
        <v>0.14727107458754574</v>
      </c>
      <c r="C405">
        <v>0.77793381775209358</v>
      </c>
      <c r="D405">
        <v>1.2732654218114525</v>
      </c>
      <c r="E405">
        <v>0.4246024301265956</v>
      </c>
      <c r="F405">
        <v>0.54063159229730751</v>
      </c>
      <c r="G405">
        <v>0.33031258949519909</v>
      </c>
      <c r="K405" s="24">
        <f t="shared" si="10"/>
        <v>3.61</v>
      </c>
    </row>
    <row r="406" spans="1:11" ht="15" customHeight="1" x14ac:dyDescent="0.3">
      <c r="A406" s="28">
        <v>3.62</v>
      </c>
      <c r="B406">
        <v>0.1471228300399392</v>
      </c>
      <c r="C406">
        <v>0.77787132941292136</v>
      </c>
      <c r="D406">
        <v>1.2719837400082328</v>
      </c>
      <c r="E406">
        <v>0.42005160650965445</v>
      </c>
      <c r="F406">
        <v>0.53429881344461683</v>
      </c>
      <c r="G406">
        <v>0.32674610157769823</v>
      </c>
      <c r="K406" s="24">
        <f t="shared" si="10"/>
        <v>3.62</v>
      </c>
    </row>
    <row r="407" spans="1:11" ht="15" customHeight="1" x14ac:dyDescent="0.3">
      <c r="A407" s="28">
        <v>3.63</v>
      </c>
      <c r="B407">
        <v>0.14697521010383996</v>
      </c>
      <c r="C407">
        <v>0.77780891777612993</v>
      </c>
      <c r="D407">
        <v>1.2707074584252294</v>
      </c>
      <c r="E407">
        <v>0.41551083495509478</v>
      </c>
      <c r="F407">
        <v>0.52799271703393347</v>
      </c>
      <c r="G407">
        <v>0.32318803286067843</v>
      </c>
      <c r="K407" s="24">
        <f t="shared" si="10"/>
        <v>3.63</v>
      </c>
    </row>
    <row r="408" spans="1:11" ht="15" customHeight="1" x14ac:dyDescent="0.3">
      <c r="A408" s="28">
        <v>3.64</v>
      </c>
      <c r="B408">
        <v>0.14682821037037719</v>
      </c>
      <c r="C408">
        <v>0.77774658327897783</v>
      </c>
      <c r="D408">
        <v>1.2694365389445519</v>
      </c>
      <c r="E408">
        <v>0.41098006770693224</v>
      </c>
      <c r="F408">
        <v>0.52171311472508564</v>
      </c>
      <c r="G408">
        <v>0.3196383434548295</v>
      </c>
      <c r="K408" s="24">
        <f t="shared" si="10"/>
        <v>3.64</v>
      </c>
    </row>
    <row r="409" spans="1:11" ht="15" customHeight="1" x14ac:dyDescent="0.3">
      <c r="A409" s="28">
        <v>3.65</v>
      </c>
      <c r="B409">
        <v>0.14668182647458036</v>
      </c>
      <c r="C409">
        <v>0.77768432634682982</v>
      </c>
      <c r="D409">
        <v>1.2681709438278588</v>
      </c>
      <c r="E409">
        <v>0.40645925737533523</v>
      </c>
      <c r="F409">
        <v>0.51545982005324942</v>
      </c>
      <c r="G409">
        <v>0.31609699375937028</v>
      </c>
      <c r="K409" s="24">
        <f t="shared" si="10"/>
        <v>3.65</v>
      </c>
    </row>
    <row r="410" spans="1:11" ht="15" customHeight="1" x14ac:dyDescent="0.3">
      <c r="A410" s="28">
        <v>3.66</v>
      </c>
      <c r="B410">
        <v>0.14653605409481477</v>
      </c>
      <c r="C410">
        <v>0.77762214739336877</v>
      </c>
      <c r="D410">
        <v>1.2669106357114785</v>
      </c>
      <c r="E410">
        <v>0.40194835693274178</v>
      </c>
      <c r="F410">
        <v>0.50923264840484417</v>
      </c>
      <c r="G410">
        <v>0.31256394445927493</v>
      </c>
      <c r="K410" s="24">
        <f t="shared" si="10"/>
        <v>3.66</v>
      </c>
    </row>
    <row r="411" spans="1:11" ht="15" customHeight="1" x14ac:dyDescent="0.3">
      <c r="A411" s="28">
        <v>3.67</v>
      </c>
      <c r="B411">
        <v>0.14639088895222585</v>
      </c>
      <c r="C411">
        <v>0.7775600468208046</v>
      </c>
      <c r="D411">
        <v>1.2656555776016056</v>
      </c>
      <c r="E411">
        <v>0.39744731971001696</v>
      </c>
      <c r="F411">
        <v>0.5030314169937915</v>
      </c>
      <c r="G411">
        <v>0.30903915652252406</v>
      </c>
      <c r="K411" s="24">
        <f t="shared" si="10"/>
        <v>3.67</v>
      </c>
    </row>
    <row r="412" spans="1:11" ht="15" customHeight="1" x14ac:dyDescent="0.3">
      <c r="A412" s="28">
        <v>3.68</v>
      </c>
      <c r="B412">
        <v>0.14624632681019237</v>
      </c>
      <c r="C412">
        <v>0.77749802502007492</v>
      </c>
      <c r="D412">
        <v>1.2644057328695717</v>
      </c>
      <c r="E412">
        <v>0.39295609939266685</v>
      </c>
      <c r="F412">
        <v>0.49685594483815315</v>
      </c>
      <c r="G412">
        <v>0.30552259119739072</v>
      </c>
      <c r="K412" s="24">
        <f t="shared" si="10"/>
        <v>3.68</v>
      </c>
    </row>
    <row r="413" spans="1:11" ht="15" customHeight="1" x14ac:dyDescent="0.3">
      <c r="A413" s="28">
        <v>3.69</v>
      </c>
      <c r="B413">
        <v>0.14610236347378761</v>
      </c>
      <c r="C413">
        <v>0.77743608237104589</v>
      </c>
      <c r="D413">
        <v>1.2631610652471879</v>
      </c>
      <c r="E413">
        <v>0.38847465001709208</v>
      </c>
      <c r="F413">
        <v>0.49070605273711848</v>
      </c>
      <c r="G413">
        <v>0.30201421000975121</v>
      </c>
      <c r="K413" s="24">
        <f t="shared" si="10"/>
        <v>3.69</v>
      </c>
    </row>
    <row r="414" spans="1:11" ht="15" customHeight="1" x14ac:dyDescent="0.3">
      <c r="A414" s="28">
        <v>3.7</v>
      </c>
      <c r="B414">
        <v>0.14595899478924926</v>
      </c>
      <c r="C414">
        <v>0.77737421924270711</v>
      </c>
      <c r="D414">
        <v>1.2619215388221616</v>
      </c>
      <c r="E414">
        <v>0.38400292596689461</v>
      </c>
      <c r="F414">
        <v>0.48458156324835627</v>
      </c>
      <c r="G414">
        <v>0.29851397476042973</v>
      </c>
      <c r="K414" s="24">
        <f t="shared" si="10"/>
        <v>3.7</v>
      </c>
    </row>
    <row r="415" spans="1:11" ht="15" customHeight="1" x14ac:dyDescent="0.3">
      <c r="A415" s="28">
        <v>3.71</v>
      </c>
      <c r="B415">
        <v>0.14581621664345734</v>
      </c>
      <c r="C415">
        <v>0.77731243599336419</v>
      </c>
      <c r="D415">
        <v>1.2606871180335828</v>
      </c>
      <c r="E415">
        <v>0.37954088196922958</v>
      </c>
      <c r="F415">
        <v>0.47848230066571223</v>
      </c>
      <c r="G415">
        <v>0.29502184752257177</v>
      </c>
      <c r="K415" s="24">
        <f t="shared" si="10"/>
        <v>3.71</v>
      </c>
    </row>
    <row r="416" spans="1:11" ht="15" customHeight="1" x14ac:dyDescent="0.3">
      <c r="A416" s="28">
        <v>3.72</v>
      </c>
      <c r="B416">
        <v>0.14567402496341983</v>
      </c>
      <c r="C416">
        <v>0.77725073297082758</v>
      </c>
      <c r="D416">
        <v>1.2594577676674767</v>
      </c>
      <c r="E416">
        <v>0.37508847309119497</v>
      </c>
      <c r="F416">
        <v>0.47240809099723885</v>
      </c>
      <c r="G416">
        <v>0.29153779063903984</v>
      </c>
      <c r="K416" s="24">
        <f t="shared" si="10"/>
        <v>3.72</v>
      </c>
    </row>
    <row r="417" spans="1:11" ht="15" customHeight="1" x14ac:dyDescent="0.3">
      <c r="A417" s="28">
        <v>3.73</v>
      </c>
      <c r="B417">
        <v>0.14553241571576672</v>
      </c>
      <c r="C417">
        <v>0.77718911051259654</v>
      </c>
      <c r="D417">
        <v>1.2582334528524297</v>
      </c>
      <c r="E417">
        <v>0.37064565473627864</v>
      </c>
      <c r="F417">
        <v>0.46635876194357734</v>
      </c>
      <c r="G417">
        <v>0.28806176671984735</v>
      </c>
      <c r="K417" s="24">
        <f t="shared" si="10"/>
        <v>3.73</v>
      </c>
    </row>
    <row r="418" spans="1:11" ht="15" customHeight="1" x14ac:dyDescent="0.3">
      <c r="A418" s="28">
        <v>3.74</v>
      </c>
      <c r="B418">
        <v>0.14539138490625131</v>
      </c>
      <c r="C418">
        <v>0.77712756894604218</v>
      </c>
      <c r="D418">
        <v>1.2570141390552771</v>
      </c>
      <c r="E418">
        <v>0.36621238264084049</v>
      </c>
      <c r="F418">
        <v>0.4603341428766578</v>
      </c>
      <c r="G418">
        <v>0.28459373863961412</v>
      </c>
      <c r="K418" s="24">
        <f t="shared" si="10"/>
        <v>3.74</v>
      </c>
    </row>
    <row r="419" spans="1:11" ht="15" customHeight="1" x14ac:dyDescent="0.3">
      <c r="A419" s="28">
        <v>3.75</v>
      </c>
      <c r="B419">
        <v>0.1452509285792592</v>
      </c>
      <c r="C419">
        <v>0.77706610858858349</v>
      </c>
      <c r="D419">
        <v>1.2557997920768595</v>
      </c>
      <c r="E419">
        <v>0.36178861287063951</v>
      </c>
      <c r="F419">
        <v>0.45433406481872457</v>
      </c>
      <c r="G419">
        <v>0.28113366953504937</v>
      </c>
      <c r="K419" s="24">
        <f t="shared" si="10"/>
        <v>3.75</v>
      </c>
    </row>
    <row r="420" spans="1:11" ht="15" customHeight="1" x14ac:dyDescent="0.3">
      <c r="A420" s="28">
        <v>3.76</v>
      </c>
      <c r="B420">
        <v>0.14511104281732484</v>
      </c>
      <c r="C420">
        <v>0.77700472974786505</v>
      </c>
      <c r="D420">
        <v>1.2545903780478413</v>
      </c>
      <c r="E420">
        <v>0.35737430181740265</v>
      </c>
      <c r="F420">
        <v>0.44835836042167854</v>
      </c>
      <c r="G420">
        <v>0.27768152280246289</v>
      </c>
      <c r="K420" s="24">
        <f t="shared" si="10"/>
        <v>3.76</v>
      </c>
    </row>
    <row r="421" spans="1:11" ht="15" customHeight="1" x14ac:dyDescent="0.3">
      <c r="A421" s="28">
        <v>3.77</v>
      </c>
      <c r="B421">
        <v>0.14497172374065562</v>
      </c>
      <c r="C421">
        <v>0.77694343272192712</v>
      </c>
      <c r="D421">
        <v>1.2533858634245969</v>
      </c>
      <c r="E421">
        <v>0.35296940619545059</v>
      </c>
      <c r="F421">
        <v>0.4424068639467521</v>
      </c>
      <c r="G421">
        <v>0.27423726209531363</v>
      </c>
      <c r="K421" s="24">
        <f t="shared" si="10"/>
        <v>3.77</v>
      </c>
    </row>
    <row r="422" spans="1:11" ht="15" customHeight="1" x14ac:dyDescent="0.3">
      <c r="A422" s="28">
        <v>3.78</v>
      </c>
      <c r="B422">
        <v>0.14483296750666214</v>
      </c>
      <c r="C422">
        <v>0.77688221779937328</v>
      </c>
      <c r="D422">
        <v>1.2521862149851497</v>
      </c>
      <c r="E422">
        <v>0.34857388303833081</v>
      </c>
      <c r="F422">
        <v>0.43647941124444373</v>
      </c>
      <c r="G422">
        <v>0.2708008513217578</v>
      </c>
      <c r="K422" s="24">
        <f t="shared" si="10"/>
        <v>3.78</v>
      </c>
    </row>
    <row r="423" spans="1:11" ht="15" customHeight="1" x14ac:dyDescent="0.3">
      <c r="A423" s="28">
        <v>3.79</v>
      </c>
      <c r="B423">
        <v>0.14469477030949707</v>
      </c>
      <c r="C423">
        <v>0.77682108525953875</v>
      </c>
      <c r="D423">
        <v>1.2509913998251847</v>
      </c>
      <c r="E423">
        <v>0.34418768969553409</v>
      </c>
      <c r="F423">
        <v>0.4305758397348125</v>
      </c>
      <c r="G423">
        <v>0.26737225464225817</v>
      </c>
      <c r="K423" s="24">
        <f t="shared" si="10"/>
        <v>3.79</v>
      </c>
    </row>
    <row r="424" spans="1:11" ht="15" customHeight="1" x14ac:dyDescent="0.3">
      <c r="A424" s="28">
        <v>3.8</v>
      </c>
      <c r="B424">
        <v>0.14455712837959972</v>
      </c>
      <c r="C424">
        <v>0.77676003537265115</v>
      </c>
      <c r="D424">
        <v>1.2498013853541114</v>
      </c>
      <c r="E424">
        <v>0.33981078382922342</v>
      </c>
      <c r="F424">
        <v>0.42469598838802991</v>
      </c>
      <c r="G424">
        <v>0.26395143646719588</v>
      </c>
      <c r="K424" s="24">
        <f t="shared" si="10"/>
        <v>3.8</v>
      </c>
    </row>
    <row r="425" spans="1:11" ht="15" customHeight="1" x14ac:dyDescent="0.3">
      <c r="A425" s="28">
        <v>3.81</v>
      </c>
      <c r="B425">
        <v>0.14442003798324779</v>
      </c>
      <c r="C425">
        <v>0.77669906839998959</v>
      </c>
      <c r="D425">
        <v>1.2486161392911883</v>
      </c>
      <c r="E425">
        <v>0.33544312341100457</v>
      </c>
      <c r="F425">
        <v>0.41883969770522617</v>
      </c>
      <c r="G425">
        <v>0.26053836145450998</v>
      </c>
      <c r="K425" s="24">
        <f t="shared" si="10"/>
        <v>3.81</v>
      </c>
    </row>
    <row r="426" spans="1:11" ht="15" customHeight="1" x14ac:dyDescent="0.3">
      <c r="A426" s="28">
        <v>3.82</v>
      </c>
      <c r="B426">
        <v>0.14428349542211596</v>
      </c>
      <c r="C426">
        <v>0.77663818459404221</v>
      </c>
      <c r="D426">
        <v>1.2474356296617064</v>
      </c>
      <c r="E426">
        <v>0.33108466671874842</v>
      </c>
      <c r="F426">
        <v>0.4130068096996381</v>
      </c>
      <c r="G426">
        <v>0.25713299450737226</v>
      </c>
      <c r="K426" s="24">
        <f t="shared" si="10"/>
        <v>3.82</v>
      </c>
    </row>
    <row r="427" spans="1:11" ht="15" customHeight="1" x14ac:dyDescent="0.3">
      <c r="A427" s="28">
        <v>3.83</v>
      </c>
      <c r="B427">
        <v>0.14414749703284099</v>
      </c>
      <c r="C427">
        <v>0.77657738419866007</v>
      </c>
      <c r="D427">
        <v>1.2462598247932295</v>
      </c>
      <c r="E427">
        <v>0.32673537233344457</v>
      </c>
      <c r="F427">
        <v>0.40719716787802929</v>
      </c>
      <c r="G427">
        <v>0.25373530077188161</v>
      </c>
      <c r="K427" s="24">
        <f t="shared" si="10"/>
        <v>3.83</v>
      </c>
    </row>
    <row r="428" spans="1:11" ht="15" customHeight="1" x14ac:dyDescent="0.3">
      <c r="A428" s="28">
        <v>3.84</v>
      </c>
      <c r="B428">
        <v>0.14401203918659311</v>
      </c>
      <c r="C428">
        <v>0.77651666744920766</v>
      </c>
      <c r="D428">
        <v>1.2450886933118879</v>
      </c>
      <c r="E428">
        <v>0.32239519913608594</v>
      </c>
      <c r="F428">
        <v>0.40141061722237509</v>
      </c>
      <c r="G428">
        <v>0.25034524563477711</v>
      </c>
      <c r="K428" s="24">
        <f t="shared" ref="K428:K491" si="11">A428</f>
        <v>3.84</v>
      </c>
    </row>
    <row r="429" spans="1:11" ht="15" customHeight="1" x14ac:dyDescent="0.3">
      <c r="A429" s="28">
        <v>3.85</v>
      </c>
      <c r="B429">
        <v>0.14387711828865415</v>
      </c>
      <c r="C429">
        <v>0.77645603457271151</v>
      </c>
      <c r="D429">
        <v>1.2439222041387319</v>
      </c>
      <c r="E429">
        <v>0.31806410630461501</v>
      </c>
      <c r="F429">
        <v>0.39564700417185267</v>
      </c>
      <c r="G429">
        <v>0.24696279472119476</v>
      </c>
      <c r="K429" s="24">
        <f t="shared" si="11"/>
        <v>3.85</v>
      </c>
    </row>
    <row r="430" spans="1:11" ht="15" customHeight="1" x14ac:dyDescent="0.3">
      <c r="A430" s="28">
        <v>3.86</v>
      </c>
      <c r="B430">
        <v>0.14374273077800132</v>
      </c>
      <c r="C430">
        <v>0.77639548578800555</v>
      </c>
      <c r="D430">
        <v>1.2427603264861324</v>
      </c>
      <c r="E430">
        <v>0.31374205331087146</v>
      </c>
      <c r="F430">
        <v>0.38990617660504823</v>
      </c>
      <c r="G430">
        <v>0.24358791389242038</v>
      </c>
      <c r="K430" s="24">
        <f t="shared" si="11"/>
        <v>3.86</v>
      </c>
    </row>
    <row r="431" spans="1:11" ht="15" customHeight="1" x14ac:dyDescent="0.3">
      <c r="A431" s="28">
        <v>3.87</v>
      </c>
      <c r="B431">
        <v>0.14360887312689763</v>
      </c>
      <c r="C431">
        <v>0.77633502130587384</v>
      </c>
      <c r="D431">
        <v>1.2416030298542409</v>
      </c>
      <c r="E431">
        <v>0.30942899991760758</v>
      </c>
      <c r="F431">
        <v>0.38418798382246921</v>
      </c>
      <c r="G431">
        <v>0.24022056924369112</v>
      </c>
      <c r="K431" s="24">
        <f t="shared" si="11"/>
        <v>3.87</v>
      </c>
    </row>
    <row r="432" spans="1:11" ht="15" customHeight="1" x14ac:dyDescent="0.3">
      <c r="A432" s="28">
        <v>3.88</v>
      </c>
      <c r="B432">
        <v>0.14347554184048825</v>
      </c>
      <c r="C432">
        <v>0.77627464132919222</v>
      </c>
      <c r="D432">
        <v>1.240450284027498</v>
      </c>
      <c r="E432">
        <v>0.30512490617552823</v>
      </c>
      <c r="F432">
        <v>0.37849227652929768</v>
      </c>
      <c r="G432">
        <v>0.23686072710201161</v>
      </c>
      <c r="K432" s="24">
        <f t="shared" si="11"/>
        <v>3.88</v>
      </c>
    </row>
    <row r="433" spans="1:11" ht="15" customHeight="1" x14ac:dyDescent="0.3">
      <c r="A433" s="28">
        <v>3.89</v>
      </c>
      <c r="B433">
        <v>0.14334273345640247</v>
      </c>
      <c r="C433">
        <v>0.77621434605306516</v>
      </c>
      <c r="D433">
        <v>1.2393020590711945</v>
      </c>
      <c r="E433">
        <v>0.30082973242035987</v>
      </c>
      <c r="F433">
        <v>0.37281890681838847</v>
      </c>
      <c r="G433">
        <v>0.23350835402398823</v>
      </c>
      <c r="K433" s="24">
        <f t="shared" si="11"/>
        <v>3.89</v>
      </c>
    </row>
    <row r="434" spans="1:11" ht="15" customHeight="1" x14ac:dyDescent="0.3">
      <c r="A434" s="28">
        <v>3.9</v>
      </c>
      <c r="B434">
        <v>0.14321044454436194</v>
      </c>
      <c r="C434">
        <v>0.77615413566496116</v>
      </c>
      <c r="D434">
        <v>1.2381583253280817</v>
      </c>
      <c r="E434">
        <v>0.29654343926996485</v>
      </c>
      <c r="F434">
        <v>0.36716772815352938</v>
      </c>
      <c r="G434">
        <v>0.23016341679369448</v>
      </c>
      <c r="K434" s="24">
        <f t="shared" si="11"/>
        <v>3.9</v>
      </c>
    </row>
    <row r="435" spans="1:11" ht="15" customHeight="1" x14ac:dyDescent="0.3">
      <c r="A435" s="28">
        <v>3.91</v>
      </c>
      <c r="B435">
        <v>0.14307867170579422</v>
      </c>
      <c r="C435">
        <v>0.77609401034484615</v>
      </c>
      <c r="D435">
        <v>1.237019053415032</v>
      </c>
      <c r="E435">
        <v>0.29226598762148442</v>
      </c>
      <c r="F435">
        <v>0.36153859535293814</v>
      </c>
      <c r="G435">
        <v>0.22682588242055501</v>
      </c>
      <c r="K435" s="24">
        <f t="shared" si="11"/>
        <v>3.91</v>
      </c>
    </row>
    <row r="436" spans="1:11" ht="15" customHeight="1" x14ac:dyDescent="0.3">
      <c r="A436" s="28">
        <v>3.92</v>
      </c>
      <c r="B436">
        <v>0.14294741157345228</v>
      </c>
      <c r="C436">
        <v>0.77603397026531462</v>
      </c>
      <c r="D436">
        <v>1.2358842142197493</v>
      </c>
      <c r="E436">
        <v>0.28799733864852106</v>
      </c>
      <c r="F436">
        <v>0.35593136457300645</v>
      </c>
      <c r="G436">
        <v>0.22349571813725613</v>
      </c>
      <c r="K436" s="24">
        <f t="shared" si="11"/>
        <v>3.92</v>
      </c>
    </row>
    <row r="437" spans="1:11" ht="15" customHeight="1" x14ac:dyDescent="0.3">
      <c r="A437" s="28">
        <v>3.93</v>
      </c>
      <c r="B437">
        <v>0.14281666081103925</v>
      </c>
      <c r="C437">
        <v>0.77597401559171619</v>
      </c>
      <c r="D437">
        <v>1.2347537788975227</v>
      </c>
      <c r="E437">
        <v>0.28373745379834436</v>
      </c>
      <c r="F437">
        <v>0.35034589329226695</v>
      </c>
      <c r="G437">
        <v>0.22017289139767032</v>
      </c>
      <c r="K437" s="24">
        <f t="shared" si="11"/>
        <v>3.93</v>
      </c>
    </row>
    <row r="438" spans="1:11" ht="15" customHeight="1" x14ac:dyDescent="0.3">
      <c r="A438" s="28">
        <v>3.94</v>
      </c>
      <c r="B438">
        <v>0.14268641611283892</v>
      </c>
      <c r="C438">
        <v>0.77591414648228396</v>
      </c>
      <c r="D438">
        <v>1.2336277188680349</v>
      </c>
      <c r="E438">
        <v>0.27948629478914544</v>
      </c>
      <c r="F438">
        <v>0.3447820402956126</v>
      </c>
      <c r="G438">
        <v>0.2168573698748158</v>
      </c>
      <c r="K438" s="24">
        <f t="shared" si="11"/>
        <v>3.94</v>
      </c>
    </row>
    <row r="439" spans="1:11" ht="15" customHeight="1" x14ac:dyDescent="0.3">
      <c r="A439" s="28">
        <v>3.95</v>
      </c>
      <c r="B439">
        <v>0.14255667420335119</v>
      </c>
      <c r="C439">
        <v>0.77585436308825706</v>
      </c>
      <c r="D439">
        <v>1.2325060058122079</v>
      </c>
      <c r="E439">
        <v>0.27524382360730842</v>
      </c>
      <c r="F439">
        <v>0.33923966565872365</v>
      </c>
      <c r="G439">
        <v>0.21354912145882485</v>
      </c>
      <c r="K439" s="24">
        <f t="shared" si="11"/>
        <v>3.95</v>
      </c>
    </row>
    <row r="440" spans="1:11" ht="15" customHeight="1" x14ac:dyDescent="0.3">
      <c r="A440" s="28">
        <v>3.96</v>
      </c>
      <c r="B440">
        <v>0.1424274318369331</v>
      </c>
      <c r="C440">
        <v>0.77579466555400201</v>
      </c>
      <c r="D440">
        <v>1.2313886116691006</v>
      </c>
      <c r="E440">
        <v>0.27101000250471996</v>
      </c>
      <c r="F440">
        <v>0.33371863073272656</v>
      </c>
      <c r="G440">
        <v>0.21024811425493847</v>
      </c>
      <c r="K440" s="24">
        <f t="shared" si="11"/>
        <v>3.96</v>
      </c>
    </row>
    <row r="441" spans="1:11" ht="15" customHeight="1" x14ac:dyDescent="0.3">
      <c r="A441" s="28">
        <v>3.97</v>
      </c>
      <c r="B441">
        <v>0.14229868579744484</v>
      </c>
      <c r="C441">
        <v>0.77573505401713261</v>
      </c>
      <c r="D441">
        <v>1.2302755086328481</v>
      </c>
      <c r="E441">
        <v>0.2667847939961166</v>
      </c>
      <c r="F441">
        <v>0.32821879812908195</v>
      </c>
      <c r="G441">
        <v>0.2069543165815271</v>
      </c>
      <c r="K441" s="24">
        <f t="shared" si="11"/>
        <v>3.97</v>
      </c>
    </row>
    <row r="442" spans="1:11" ht="15" customHeight="1" x14ac:dyDescent="0.3">
      <c r="A442" s="28">
        <v>3.98</v>
      </c>
      <c r="B442">
        <v>0.1421704328979011</v>
      </c>
      <c r="C442">
        <v>0.77567552860862843</v>
      </c>
      <c r="D442">
        <v>1.2291666691496472</v>
      </c>
      <c r="E442">
        <v>0.26256816085646001</v>
      </c>
      <c r="F442">
        <v>0.32274003170468374</v>
      </c>
      <c r="G442">
        <v>0.20366769696813</v>
      </c>
      <c r="K442" s="24">
        <f t="shared" si="11"/>
        <v>3.98</v>
      </c>
    </row>
    <row r="443" spans="1:11" ht="15" customHeight="1" x14ac:dyDescent="0.3">
      <c r="A443" s="28">
        <v>3.99</v>
      </c>
      <c r="B443">
        <v>0.14204266998012685</v>
      </c>
      <c r="C443">
        <v>0.77561608945294724</v>
      </c>
      <c r="D443">
        <v>1.2280620659147805</v>
      </c>
      <c r="E443">
        <v>0.25836006611832912</v>
      </c>
      <c r="F443">
        <v>0.3172821965471545</v>
      </c>
      <c r="G443">
        <v>0.20038822415350332</v>
      </c>
      <c r="K443" s="24">
        <f t="shared" si="11"/>
        <v>3.99</v>
      </c>
    </row>
    <row r="444" spans="1:11" ht="15" customHeight="1" x14ac:dyDescent="0.3">
      <c r="A444" s="28">
        <v>4</v>
      </c>
      <c r="B444">
        <v>0.1419153939144189</v>
      </c>
      <c r="C444">
        <v>0.77555673666814162</v>
      </c>
      <c r="D444">
        <v>1.2269616718696907</v>
      </c>
      <c r="E444">
        <v>0.25416047306937767</v>
      </c>
      <c r="F444">
        <v>0.31184515896039511</v>
      </c>
      <c r="G444">
        <v>0.19711586708371764</v>
      </c>
      <c r="K444" s="24">
        <f t="shared" si="11"/>
        <v>4</v>
      </c>
    </row>
    <row r="445" spans="1:11" ht="15" customHeight="1" x14ac:dyDescent="0.3">
      <c r="A445" s="28">
        <v>4.01</v>
      </c>
      <c r="B445">
        <v>0.14178860159921122</v>
      </c>
      <c r="C445">
        <v>0.77549747036596828</v>
      </c>
      <c r="D445">
        <v>1.2258654601990859</v>
      </c>
      <c r="E445">
        <v>0.24996934524977241</v>
      </c>
      <c r="F445">
        <v>0.30642878645027644</v>
      </c>
      <c r="G445">
        <v>0.19385059491023587</v>
      </c>
      <c r="K445" s="24">
        <f t="shared" si="11"/>
        <v>4.01</v>
      </c>
    </row>
    <row r="446" spans="1:11" ht="15" customHeight="1" x14ac:dyDescent="0.3">
      <c r="A446" s="28">
        <v>4.0199999999999996</v>
      </c>
      <c r="B446">
        <v>0.1416622899607459</v>
      </c>
      <c r="C446">
        <v>0.77543829065199721</v>
      </c>
      <c r="D446">
        <v>1.2247734043280964</v>
      </c>
      <c r="E446">
        <v>0.2457866464497073</v>
      </c>
      <c r="F446">
        <v>0.30103294771059425</v>
      </c>
      <c r="G446">
        <v>0.19059237698804782</v>
      </c>
      <c r="K446" s="24">
        <f t="shared" si="11"/>
        <v>4.0199999999999996</v>
      </c>
    </row>
    <row r="447" spans="1:11" ht="15" customHeight="1" x14ac:dyDescent="0.3">
      <c r="A447" s="28">
        <v>4.03</v>
      </c>
      <c r="B447">
        <v>0.14153645595274833</v>
      </c>
      <c r="C447">
        <v>0.77537919762572083</v>
      </c>
      <c r="D447">
        <v>1.2236854779194657</v>
      </c>
      <c r="E447">
        <v>0.24161234070692031</v>
      </c>
      <c r="F447">
        <v>0.29565751260918854</v>
      </c>
      <c r="G447">
        <v>0.18734118287380416</v>
      </c>
      <c r="K447" s="24">
        <f t="shared" si="11"/>
        <v>4.03</v>
      </c>
    </row>
    <row r="448" spans="1:11" ht="15" customHeight="1" x14ac:dyDescent="0.3">
      <c r="A448" s="28">
        <v>4.04</v>
      </c>
      <c r="B448">
        <v>0.14141109655610734</v>
      </c>
      <c r="C448">
        <v>0.77532019138065811</v>
      </c>
      <c r="D448">
        <v>1.2226016548707839</v>
      </c>
      <c r="E448">
        <v>0.23744639230425116</v>
      </c>
      <c r="F448">
        <v>0.2903023521742748</v>
      </c>
      <c r="G448">
        <v>0.18409698232397884</v>
      </c>
      <c r="K448" s="24">
        <f t="shared" si="11"/>
        <v>4.04</v>
      </c>
    </row>
    <row r="449" spans="1:11" ht="15" customHeight="1" x14ac:dyDescent="0.3">
      <c r="A449" s="28">
        <v>4.05</v>
      </c>
      <c r="B449">
        <v>0.14128620877855907</v>
      </c>
      <c r="C449">
        <v>0.77526127200445838</v>
      </c>
      <c r="D449">
        <v>1.2215219093117564</v>
      </c>
      <c r="E449">
        <v>0.23328876576721277</v>
      </c>
      <c r="F449">
        <v>0.28496733858094886</v>
      </c>
      <c r="G449">
        <v>0.18085974529303953</v>
      </c>
      <c r="K449" s="24">
        <f t="shared" si="11"/>
        <v>4.05</v>
      </c>
    </row>
    <row r="450" spans="1:11" ht="15" customHeight="1" x14ac:dyDescent="0.3">
      <c r="A450" s="28">
        <v>4.0599999999999996</v>
      </c>
      <c r="B450">
        <v>0.14116178965437634</v>
      </c>
      <c r="C450">
        <v>0.77520243957900392</v>
      </c>
      <c r="D450">
        <v>1.2204462156015177</v>
      </c>
      <c r="E450">
        <v>0.22913942586161504</v>
      </c>
      <c r="F450">
        <v>0.27965234513791259</v>
      </c>
      <c r="G450">
        <v>0.17762944193165628</v>
      </c>
      <c r="K450" s="24">
        <f t="shared" si="11"/>
        <v>4.0599999999999996</v>
      </c>
    </row>
    <row r="451" spans="1:11" ht="15" customHeight="1" x14ac:dyDescent="0.3">
      <c r="A451" s="28">
        <v>4.07</v>
      </c>
      <c r="B451">
        <v>0.14103783624406152</v>
      </c>
      <c r="C451">
        <v>0.7751436941805101</v>
      </c>
      <c r="D451">
        <v>1.219374548325975</v>
      </c>
      <c r="E451">
        <v>0.22499833759118848</v>
      </c>
      <c r="F451">
        <v>0.27435724627435071</v>
      </c>
      <c r="G451">
        <v>0.17440604258490738</v>
      </c>
      <c r="K451" s="24">
        <f t="shared" si="11"/>
        <v>4.07</v>
      </c>
    </row>
    <row r="452" spans="1:11" ht="15" customHeight="1" x14ac:dyDescent="0.3">
      <c r="A452" s="28">
        <v>4.08</v>
      </c>
      <c r="B452">
        <v>0.14091434563404434</v>
      </c>
      <c r="C452">
        <v>0.77508503587962341</v>
      </c>
      <c r="D452">
        <v>1.218306882295197</v>
      </c>
      <c r="E452">
        <v>0.22086546619526348</v>
      </c>
      <c r="F452">
        <v>0.2690819175270267</v>
      </c>
      <c r="G452">
        <v>0.17118951779052555</v>
      </c>
      <c r="K452" s="24">
        <f t="shared" si="11"/>
        <v>4.08</v>
      </c>
    </row>
    <row r="453" spans="1:11" ht="15" customHeight="1" x14ac:dyDescent="0.3">
      <c r="A453" s="28">
        <v>4.09</v>
      </c>
      <c r="B453">
        <v>0.14079131493638294</v>
      </c>
      <c r="C453">
        <v>0.77502646474151837</v>
      </c>
      <c r="D453">
        <v>1.2172431925408287</v>
      </c>
      <c r="E453">
        <v>0.21674077714643883</v>
      </c>
      <c r="F453">
        <v>0.26382623552751144</v>
      </c>
      <c r="G453">
        <v>0.16797983827713375</v>
      </c>
      <c r="K453" s="24">
        <f t="shared" si="11"/>
        <v>4.09</v>
      </c>
    </row>
    <row r="454" spans="1:11" ht="15" customHeight="1" x14ac:dyDescent="0.3">
      <c r="A454" s="28">
        <v>4.0999999999999996</v>
      </c>
      <c r="B454">
        <v>0.14066874128847084</v>
      </c>
      <c r="C454">
        <v>0.77496798082599172</v>
      </c>
      <c r="D454">
        <v>1.2161834543135572</v>
      </c>
      <c r="E454">
        <v>0.21262423614833431</v>
      </c>
      <c r="F454">
        <v>0.25859007798966271</v>
      </c>
      <c r="G454">
        <v>0.16477697496254348</v>
      </c>
      <c r="K454" s="24">
        <f t="shared" si="11"/>
        <v>4.0999999999999996</v>
      </c>
    </row>
    <row r="455" spans="1:11" ht="15" customHeight="1" x14ac:dyDescent="0.3">
      <c r="A455" s="28">
        <v>4.1100000000000003</v>
      </c>
      <c r="B455">
        <v>0.14054662185274586</v>
      </c>
      <c r="C455">
        <v>0.77490958418755873</v>
      </c>
      <c r="D455">
        <v>1.2151276430805964</v>
      </c>
      <c r="E455">
        <v>0.20851580913330189</v>
      </c>
      <c r="F455">
        <v>0.25337332369719262</v>
      </c>
      <c r="G455">
        <v>0.16158089895201933</v>
      </c>
      <c r="K455" s="24">
        <f t="shared" si="11"/>
        <v>4.1100000000000003</v>
      </c>
    </row>
    <row r="456" spans="1:11" ht="15" customHeight="1" x14ac:dyDescent="0.3">
      <c r="A456" s="28">
        <v>4.12</v>
      </c>
      <c r="B456">
        <v>0.14042495381640471</v>
      </c>
      <c r="C456">
        <v>0.77485127487554062</v>
      </c>
      <c r="D456">
        <v>1.2140757345232185</v>
      </c>
      <c r="E456">
        <v>0.20441546226021615</v>
      </c>
      <c r="F456">
        <v>0.24817585249147517</v>
      </c>
      <c r="G456">
        <v>0.15839158153660143</v>
      </c>
      <c r="K456" s="24">
        <f t="shared" si="11"/>
        <v>4.12</v>
      </c>
    </row>
    <row r="457" spans="1:11" ht="15" customHeight="1" x14ac:dyDescent="0.3">
      <c r="A457" s="28">
        <v>4.13</v>
      </c>
      <c r="B457">
        <v>0.14030373439112087</v>
      </c>
      <c r="C457">
        <v>0.77479305293415957</v>
      </c>
      <c r="D457">
        <v>1.2130277045343152</v>
      </c>
      <c r="E457">
        <v>0.20032316191226646</v>
      </c>
      <c r="F457">
        <v>0.24299754525949252</v>
      </c>
      <c r="G457">
        <v>0.15520899419142889</v>
      </c>
      <c r="K457" s="24">
        <f t="shared" si="11"/>
        <v>4.13</v>
      </c>
    </row>
    <row r="458" spans="1:11" ht="15" customHeight="1" x14ac:dyDescent="0.3">
      <c r="A458" s="28">
        <v>4.1399999999999997</v>
      </c>
      <c r="B458">
        <v>0.14018296081276616</v>
      </c>
      <c r="C458">
        <v>0.77473491840262387</v>
      </c>
      <c r="D458">
        <v>1.2119835292159902</v>
      </c>
      <c r="E458">
        <v>0.19623887469477233</v>
      </c>
      <c r="F458">
        <v>0.23783828392194462</v>
      </c>
      <c r="G458">
        <v>0.15203310857407717</v>
      </c>
      <c r="K458" s="24">
        <f t="shared" si="11"/>
        <v>4.1399999999999997</v>
      </c>
    </row>
    <row r="459" spans="1:11" ht="15" customHeight="1" x14ac:dyDescent="0.3">
      <c r="A459" s="28">
        <v>4.1500000000000004</v>
      </c>
      <c r="B459">
        <v>0.14006263034113675</v>
      </c>
      <c r="C459">
        <v>0.77467687131521645</v>
      </c>
      <c r="D459">
        <v>1.2109431848771914</v>
      </c>
      <c r="E459">
        <v>0.19216256743304139</v>
      </c>
      <c r="F459">
        <v>0.2326979514215452</v>
      </c>
      <c r="G459">
        <v>0.14886389652292781</v>
      </c>
      <c r="K459" s="24">
        <f t="shared" si="11"/>
        <v>4.1500000000000004</v>
      </c>
    </row>
    <row r="460" spans="1:11" ht="15" customHeight="1" x14ac:dyDescent="0.3">
      <c r="A460" s="28">
        <v>4.16</v>
      </c>
      <c r="B460">
        <v>0.13994274025968237</v>
      </c>
      <c r="C460">
        <v>0.77461891170138064</v>
      </c>
      <c r="D460">
        <v>1.2099066480313678</v>
      </c>
      <c r="E460">
        <v>0.18809420717022546</v>
      </c>
      <c r="F460">
        <v>0.22757643171144515</v>
      </c>
      <c r="G460">
        <v>0.14570133005553407</v>
      </c>
      <c r="K460" s="24">
        <f t="shared" si="11"/>
        <v>4.16</v>
      </c>
    </row>
    <row r="461" spans="1:11" ht="15" customHeight="1" x14ac:dyDescent="0.3">
      <c r="A461" s="28">
        <v>4.17</v>
      </c>
      <c r="B461">
        <v>0.13982328787523968</v>
      </c>
      <c r="C461">
        <v>0.7745610395858048</v>
      </c>
      <c r="D461">
        <v>1.208873895394166</v>
      </c>
      <c r="E461">
        <v>0.18403376116523232</v>
      </c>
      <c r="F461">
        <v>0.222473609743854</v>
      </c>
      <c r="G461">
        <v>0.14254538136702805</v>
      </c>
      <c r="K461" s="24">
        <f t="shared" si="11"/>
        <v>4.17</v>
      </c>
    </row>
    <row r="462" spans="1:11" ht="15" customHeight="1" x14ac:dyDescent="0.3">
      <c r="A462" s="28">
        <v>4.18</v>
      </c>
      <c r="B462">
        <v>0.13970427051776882</v>
      </c>
      <c r="C462">
        <v>0.77450325498850503</v>
      </c>
      <c r="D462">
        <v>1.2078449038811523</v>
      </c>
      <c r="E462">
        <v>0.17998119689063222</v>
      </c>
      <c r="F462">
        <v>0.2173893714587804</v>
      </c>
      <c r="G462">
        <v>0.13939602282852165</v>
      </c>
      <c r="K462" s="24">
        <f t="shared" si="11"/>
        <v>4.18</v>
      </c>
    </row>
    <row r="463" spans="1:11" ht="15" customHeight="1" x14ac:dyDescent="0.3">
      <c r="A463" s="28">
        <v>4.1900000000000004</v>
      </c>
      <c r="B463">
        <v>0.13958568554009398</v>
      </c>
      <c r="C463">
        <v>0.77444555792490466</v>
      </c>
      <c r="D463">
        <v>1.2068196506055684</v>
      </c>
      <c r="E463">
        <v>0.17593648203060588</v>
      </c>
      <c r="F463">
        <v>0.21232360377294865</v>
      </c>
      <c r="G463">
        <v>0.13625322698553755</v>
      </c>
      <c r="K463" s="24">
        <f t="shared" si="11"/>
        <v>4.1900000000000004</v>
      </c>
    </row>
    <row r="464" spans="1:11" ht="15" customHeight="1" x14ac:dyDescent="0.3">
      <c r="A464" s="28">
        <v>4.2</v>
      </c>
      <c r="B464">
        <v>0.13946753031764741</v>
      </c>
      <c r="C464">
        <v>0.77438794840591751</v>
      </c>
      <c r="D464">
        <v>1.2057981128761195</v>
      </c>
      <c r="E464">
        <v>0.17189958447891365</v>
      </c>
      <c r="F464">
        <v>0.20727619456886315</v>
      </c>
      <c r="G464">
        <v>0.13311696655645563</v>
      </c>
      <c r="K464" s="24">
        <f t="shared" si="11"/>
        <v>4.2</v>
      </c>
    </row>
    <row r="465" spans="1:11" ht="15" customHeight="1" x14ac:dyDescent="0.3">
      <c r="A465" s="28">
        <v>4.21</v>
      </c>
      <c r="B465">
        <v>0.13934980224821653</v>
      </c>
      <c r="C465">
        <v>0.77433042643802463</v>
      </c>
      <c r="D465">
        <v>1.2047802681947875</v>
      </c>
      <c r="E465">
        <v>0.16787047233687807</v>
      </c>
      <c r="F465">
        <v>0.20224703268400962</v>
      </c>
      <c r="G465">
        <v>0.12998721443096742</v>
      </c>
      <c r="K465" s="24">
        <f t="shared" si="11"/>
        <v>4.21</v>
      </c>
    </row>
    <row r="466" spans="1:11" ht="15" customHeight="1" x14ac:dyDescent="0.3">
      <c r="A466" s="28">
        <v>4.22</v>
      </c>
      <c r="B466">
        <v>0.13923249875169505</v>
      </c>
      <c r="C466">
        <v>0.77427299202335198</v>
      </c>
      <c r="D466">
        <v>1.2037660942546795</v>
      </c>
      <c r="E466">
        <v>0.16384911391140397</v>
      </c>
      <c r="F466">
        <v>0.19723600790022083</v>
      </c>
      <c r="G466">
        <v>0.12686394366855777</v>
      </c>
      <c r="K466" s="24">
        <f t="shared" si="11"/>
        <v>4.22</v>
      </c>
    </row>
    <row r="467" spans="1:11" ht="15" customHeight="1" x14ac:dyDescent="0.3">
      <c r="A467" s="28">
        <v>4.2300000000000004</v>
      </c>
      <c r="B467">
        <v>0.13911561726983693</v>
      </c>
      <c r="C467">
        <v>0.77421564515974672</v>
      </c>
      <c r="D467">
        <v>1.2027555689379001</v>
      </c>
      <c r="E467">
        <v>0.15983547771300266</v>
      </c>
      <c r="F467">
        <v>0.19224301093316359</v>
      </c>
      <c r="G467">
        <v>0.12374712749698867</v>
      </c>
      <c r="K467" s="24">
        <f t="shared" si="11"/>
        <v>4.2300000000000004</v>
      </c>
    </row>
    <row r="468" spans="1:11" ht="15" customHeight="1" x14ac:dyDescent="0.3">
      <c r="A468" s="28">
        <v>4.24</v>
      </c>
      <c r="B468">
        <v>0.13899915526601425</v>
      </c>
      <c r="C468">
        <v>0.77415838584085184</v>
      </c>
      <c r="D468">
        <v>1.2017486703134581</v>
      </c>
      <c r="E468">
        <v>0.15582953245386238</v>
      </c>
      <c r="F468">
        <v>0.18726793342199699</v>
      </c>
      <c r="G468">
        <v>0.12063673931081674</v>
      </c>
      <c r="K468" s="24">
        <f t="shared" si="11"/>
        <v>4.24</v>
      </c>
    </row>
    <row r="469" spans="1:11" ht="15" customHeight="1" x14ac:dyDescent="0.3">
      <c r="A469" s="28">
        <v>4.25</v>
      </c>
      <c r="B469">
        <v>0.13888311022497757</v>
      </c>
      <c r="C469">
        <v>0.77410121405618026</v>
      </c>
      <c r="D469">
        <v>1.2007453766351952</v>
      </c>
      <c r="E469">
        <v>0.15183124704591519</v>
      </c>
      <c r="F469">
        <v>0.1823106679191388</v>
      </c>
      <c r="G469">
        <v>0.11753275266990679</v>
      </c>
      <c r="K469" s="24">
        <f t="shared" si="11"/>
        <v>4.25</v>
      </c>
    </row>
    <row r="470" spans="1:11" ht="15" customHeight="1" x14ac:dyDescent="0.3">
      <c r="A470" s="28">
        <v>4.26</v>
      </c>
      <c r="B470">
        <v>0.13876747965262023</v>
      </c>
      <c r="C470">
        <v>0.77404412979118586</v>
      </c>
      <c r="D470">
        <v>1.1997456663397472</v>
      </c>
      <c r="E470">
        <v>0.14784059059894403</v>
      </c>
      <c r="F470">
        <v>0.17737110788019186</v>
      </c>
      <c r="G470">
        <v>0.11443514129797461</v>
      </c>
      <c r="K470" s="24">
        <f t="shared" si="11"/>
        <v>4.26</v>
      </c>
    </row>
    <row r="471" spans="1:11" ht="15" customHeight="1" x14ac:dyDescent="0.3">
      <c r="A471" s="28">
        <v>4.2699999999999996</v>
      </c>
      <c r="B471">
        <v>0.13865226107574552</v>
      </c>
      <c r="C471">
        <v>0.77398713302733646</v>
      </c>
      <c r="D471">
        <v>1.1987495180445318</v>
      </c>
      <c r="E471">
        <v>0.14385753241870433</v>
      </c>
      <c r="F471">
        <v>0.17244914765399741</v>
      </c>
      <c r="G471">
        <v>0.11134387908114007</v>
      </c>
      <c r="K471" s="24">
        <f t="shared" si="11"/>
        <v>4.2699999999999996</v>
      </c>
    </row>
    <row r="472" spans="1:11" ht="15" customHeight="1" x14ac:dyDescent="0.3">
      <c r="A472" s="28">
        <v>4.28</v>
      </c>
      <c r="B472">
        <v>0.13853745204183648</v>
      </c>
      <c r="C472">
        <v>0.77393022374218179</v>
      </c>
      <c r="D472">
        <v>1.1977569105457588</v>
      </c>
      <c r="E472">
        <v>0.1398820420050586</v>
      </c>
      <c r="F472">
        <v>0.16754468247281104</v>
      </c>
      <c r="G472">
        <v>0.10825894006648827</v>
      </c>
      <c r="K472" s="24">
        <f t="shared" si="11"/>
        <v>4.28</v>
      </c>
    </row>
    <row r="473" spans="1:11" ht="15" customHeight="1" x14ac:dyDescent="0.3">
      <c r="A473" s="28">
        <v>4.29</v>
      </c>
      <c r="B473">
        <v>0.13842305011882985</v>
      </c>
      <c r="C473">
        <v>0.773873401909424</v>
      </c>
      <c r="D473">
        <v>1.1967678228164744</v>
      </c>
      <c r="E473">
        <v>0.13591408905014973</v>
      </c>
      <c r="F473">
        <v>0.16265760844263211</v>
      </c>
      <c r="G473">
        <v>0.10518029846065977</v>
      </c>
      <c r="K473" s="24">
        <f t="shared" si="11"/>
        <v>4.29</v>
      </c>
    </row>
    <row r="474" spans="1:11" ht="15" customHeight="1" x14ac:dyDescent="0.3">
      <c r="A474" s="28">
        <v>4.3</v>
      </c>
      <c r="B474">
        <v>0.13830905289489223</v>
      </c>
      <c r="C474">
        <v>0.7738166674989837</v>
      </c>
      <c r="D474">
        <v>1.1957822340046267</v>
      </c>
      <c r="E474">
        <v>0.13195364343658603</v>
      </c>
      <c r="F474">
        <v>0.15778782253365078</v>
      </c>
      <c r="G474">
        <v>0.10210792862844814</v>
      </c>
      <c r="K474" s="24">
        <f t="shared" si="11"/>
        <v>4.3</v>
      </c>
    </row>
    <row r="475" spans="1:11" ht="15" customHeight="1" x14ac:dyDescent="0.3">
      <c r="A475" s="28">
        <v>4.3099999999999996</v>
      </c>
      <c r="B475">
        <v>0.13819545797819907</v>
      </c>
      <c r="C475">
        <v>0.77376002047706793</v>
      </c>
      <c r="D475">
        <v>1.1948001234311552</v>
      </c>
      <c r="E475">
        <v>0.12800067523563238</v>
      </c>
      <c r="F475">
        <v>0.15293522257080477</v>
      </c>
      <c r="G475">
        <v>9.9041805091401439E-2</v>
      </c>
      <c r="K475" s="24">
        <f t="shared" si="11"/>
        <v>4.3099999999999996</v>
      </c>
    </row>
    <row r="476" spans="1:11" ht="15" customHeight="1" x14ac:dyDescent="0.3">
      <c r="A476" s="28">
        <v>4.32</v>
      </c>
      <c r="B476">
        <v>0.13808226299671733</v>
      </c>
      <c r="C476">
        <v>0.77370346080623442</v>
      </c>
      <c r="D476">
        <v>1.1938214705881109</v>
      </c>
      <c r="E476">
        <v>0.12405515470544831</v>
      </c>
      <c r="F476">
        <v>0.14809970722449392</v>
      </c>
      <c r="G476">
        <v>9.5981902526458177E-2</v>
      </c>
      <c r="K476" s="24">
        <f t="shared" si="11"/>
        <v>4.32</v>
      </c>
    </row>
    <row r="477" spans="1:11" ht="15" customHeight="1" x14ac:dyDescent="0.3">
      <c r="A477" s="28">
        <v>4.33</v>
      </c>
      <c r="B477">
        <v>0.13796946559799061</v>
      </c>
      <c r="C477">
        <v>0.7736469884454571</v>
      </c>
      <c r="D477">
        <v>1.1928462551367995</v>
      </c>
      <c r="E477">
        <v>0.12011705228933342</v>
      </c>
      <c r="F477">
        <v>0.1432811760014025</v>
      </c>
      <c r="G477">
        <v>9.2928195764588301E-2</v>
      </c>
      <c r="K477" s="24">
        <f t="shared" si="11"/>
        <v>4.33</v>
      </c>
    </row>
    <row r="478" spans="1:11" ht="15" customHeight="1" x14ac:dyDescent="0.3">
      <c r="A478" s="28">
        <v>4.34</v>
      </c>
      <c r="B478">
        <v>0.13785706344892662</v>
      </c>
      <c r="C478">
        <v>0.77359060335018792</v>
      </c>
      <c r="D478">
        <v>1.1918744569059432</v>
      </c>
      <c r="E478">
        <v>0.11618633861397364</v>
      </c>
      <c r="F478">
        <v>0.13847952923541984</v>
      </c>
      <c r="G478">
        <v>8.9880659789433104E-2</v>
      </c>
      <c r="K478" s="24">
        <f t="shared" si="11"/>
        <v>4.34</v>
      </c>
    </row>
    <row r="479" spans="1:11" ht="15" customHeight="1" x14ac:dyDescent="0.3">
      <c r="A479" s="28">
        <v>4.3499999999999996</v>
      </c>
      <c r="B479">
        <v>0.13774505423558836</v>
      </c>
      <c r="C479">
        <v>0.77353430547241964</v>
      </c>
      <c r="D479">
        <v>1.1909060558898759</v>
      </c>
      <c r="E479">
        <v>0.11226298448773915</v>
      </c>
      <c r="F479">
        <v>0.13369466807871974</v>
      </c>
      <c r="G479">
        <v>8.6839269735984326E-2</v>
      </c>
      <c r="K479" s="24">
        <f t="shared" si="11"/>
        <v>4.3499999999999996</v>
      </c>
    </row>
    <row r="480" spans="1:11" ht="15" customHeight="1" x14ac:dyDescent="0.3">
      <c r="A480" s="28">
        <v>4.3600000000000003</v>
      </c>
      <c r="B480">
        <v>0.1376334356629878</v>
      </c>
      <c r="C480">
        <v>0.77347809476074847</v>
      </c>
      <c r="D480">
        <v>1.1899410322467587</v>
      </c>
      <c r="E480">
        <v>0.1083469608989925</v>
      </c>
      <c r="F480">
        <v>0.12892649449294633</v>
      </c>
      <c r="G480">
        <v>8.3804000889270022E-2</v>
      </c>
      <c r="K480" s="24">
        <f t="shared" si="11"/>
        <v>4.3600000000000003</v>
      </c>
    </row>
    <row r="481" spans="1:11" ht="15" customHeight="1" x14ac:dyDescent="0.3">
      <c r="A481" s="28">
        <v>4.37</v>
      </c>
      <c r="B481">
        <v>0.13752220545488134</v>
      </c>
      <c r="C481">
        <v>0.77342197116043188</v>
      </c>
      <c r="D481">
        <v>1.1889793662968124</v>
      </c>
      <c r="E481">
        <v>0.10443823901438461</v>
      </c>
      <c r="F481">
        <v>0.12417491124047804</v>
      </c>
      <c r="G481">
        <v>8.0774828683029667E-2</v>
      </c>
      <c r="K481" s="24">
        <f t="shared" si="11"/>
        <v>4.37</v>
      </c>
    </row>
    <row r="482" spans="1:11" ht="15" customHeight="1" x14ac:dyDescent="0.3">
      <c r="A482" s="28">
        <v>4.38</v>
      </c>
      <c r="B482">
        <v>0.13741136135356954</v>
      </c>
      <c r="C482">
        <v>0.77336593461344882</v>
      </c>
      <c r="D482">
        <v>1.1880210385205852</v>
      </c>
      <c r="E482">
        <v>0.10053679017722168</v>
      </c>
      <c r="F482">
        <v>0.11943982187586906</v>
      </c>
      <c r="G482">
        <v>7.7751728698443254E-2</v>
      </c>
      <c r="K482" s="24">
        <f t="shared" si="11"/>
        <v>4.38</v>
      </c>
    </row>
    <row r="483" spans="1:11" ht="15" customHeight="1" x14ac:dyDescent="0.3">
      <c r="A483" s="28">
        <v>4.3899999999999997</v>
      </c>
      <c r="B483">
        <v>0.13730090111969806</v>
      </c>
      <c r="C483">
        <v>0.77330998505855908</v>
      </c>
      <c r="D483">
        <v>1.1870660295572319</v>
      </c>
      <c r="E483">
        <v>9.6642585905807724E-2</v>
      </c>
      <c r="F483">
        <v>0.11472113073735088</v>
      </c>
      <c r="G483">
        <v>7.4734676662840685E-2</v>
      </c>
      <c r="K483" s="24">
        <f t="shared" si="11"/>
        <v>4.3899999999999997</v>
      </c>
    </row>
    <row r="484" spans="1:11" ht="15" customHeight="1" x14ac:dyDescent="0.3">
      <c r="A484" s="28">
        <v>4.4000000000000004</v>
      </c>
      <c r="B484">
        <v>0.13719082253206188</v>
      </c>
      <c r="C484">
        <v>0.77325412243135894</v>
      </c>
      <c r="D484">
        <v>1.1861143202028219</v>
      </c>
      <c r="E484">
        <v>9.2755597891821723E-2</v>
      </c>
      <c r="F484">
        <v>0.11001874293846443</v>
      </c>
      <c r="G484">
        <v>7.1723648448436608E-2</v>
      </c>
      <c r="K484" s="24">
        <f t="shared" si="11"/>
        <v>4.4000000000000004</v>
      </c>
    </row>
    <row r="485" spans="1:11" ht="15" customHeight="1" x14ac:dyDescent="0.3">
      <c r="A485" s="28">
        <v>4.41</v>
      </c>
      <c r="B485">
        <v>0.1370811233874121</v>
      </c>
      <c r="C485">
        <v>0.77319834666433884</v>
      </c>
      <c r="D485">
        <v>1.1851658914086678</v>
      </c>
      <c r="E485">
        <v>8.8875797998718281E-2</v>
      </c>
      <c r="F485">
        <v>0.10533256435980765</v>
      </c>
      <c r="G485">
        <v>6.8718620071082731E-2</v>
      </c>
      <c r="K485" s="24">
        <f t="shared" si="11"/>
        <v>4.41</v>
      </c>
    </row>
    <row r="486" spans="1:11" ht="15" customHeight="1" x14ac:dyDescent="0.3">
      <c r="A486" s="28">
        <v>4.42</v>
      </c>
      <c r="B486">
        <v>0.13697180150026467</v>
      </c>
      <c r="C486">
        <v>0.7731426576869368</v>
      </c>
      <c r="D486">
        <v>1.1842207242796723</v>
      </c>
      <c r="E486">
        <v>8.5003158260127096E-2</v>
      </c>
      <c r="F486">
        <v>0.10066250164086732</v>
      </c>
      <c r="G486">
        <v>6.571956768901796E-2</v>
      </c>
      <c r="K486" s="24">
        <f t="shared" si="11"/>
        <v>4.42</v>
      </c>
    </row>
    <row r="487" spans="1:11" ht="15" customHeight="1" x14ac:dyDescent="0.3">
      <c r="A487" s="28">
        <v>4.43</v>
      </c>
      <c r="B487">
        <v>0.13686285470271253</v>
      </c>
      <c r="C487">
        <v>0.77308705542559597</v>
      </c>
      <c r="D487">
        <v>1.1832788000727039</v>
      </c>
      <c r="E487">
        <v>8.1137650878297038E-2</v>
      </c>
      <c r="F487">
        <v>9.6008462171989287E-2</v>
      </c>
      <c r="G487">
        <v>6.272646760165268E-2</v>
      </c>
      <c r="K487" s="24">
        <f t="shared" si="11"/>
        <v>4.43</v>
      </c>
    </row>
    <row r="488" spans="1:11" ht="15" customHeight="1" x14ac:dyDescent="0.3">
      <c r="A488" s="28">
        <v>4.4400000000000004</v>
      </c>
      <c r="B488">
        <v>0.1367542808442391</v>
      </c>
      <c r="C488">
        <v>0.77303153980381589</v>
      </c>
      <c r="D488">
        <v>1.1823401001949849</v>
      </c>
      <c r="E488">
        <v>7.7279248222530086E-2</v>
      </c>
      <c r="F488">
        <v>9.1370354086419331E-2</v>
      </c>
      <c r="G488">
        <v>5.9739296248343732E-2</v>
      </c>
      <c r="K488" s="24">
        <f t="shared" si="11"/>
        <v>4.4400000000000004</v>
      </c>
    </row>
    <row r="489" spans="1:11" ht="15" customHeight="1" x14ac:dyDescent="0.3">
      <c r="A489" s="28">
        <v>4.45</v>
      </c>
      <c r="B489">
        <v>0.13664607779153518</v>
      </c>
      <c r="C489">
        <v>0.77297611074220618</v>
      </c>
      <c r="D489">
        <v>1.1814046062025076</v>
      </c>
      <c r="E489">
        <v>7.3427922827652273E-2</v>
      </c>
      <c r="F489">
        <v>8.6748086252470658E-2</v>
      </c>
      <c r="G489">
        <v>5.675803020719751E-2</v>
      </c>
      <c r="K489" s="24">
        <f t="shared" si="11"/>
        <v>4.45</v>
      </c>
    </row>
    <row r="490" spans="1:11" ht="15" customHeight="1" x14ac:dyDescent="0.3">
      <c r="A490" s="28">
        <v>4.46</v>
      </c>
      <c r="B490">
        <v>0.13653824342831736</v>
      </c>
      <c r="C490">
        <v>0.7729207681585385</v>
      </c>
      <c r="D490">
        <v>1.1804722997984642</v>
      </c>
      <c r="E490">
        <v>6.9583647392486472E-2</v>
      </c>
      <c r="F490">
        <v>8.2141568265773915E-2</v>
      </c>
      <c r="G490">
        <v>5.3782646193873532E-2</v>
      </c>
      <c r="K490" s="24">
        <f t="shared" si="11"/>
        <v>4.46</v>
      </c>
    </row>
    <row r="491" spans="1:11" ht="15" customHeight="1" x14ac:dyDescent="0.3">
      <c r="A491" s="28">
        <v>4.47</v>
      </c>
      <c r="B491">
        <v>0.13643077565514936</v>
      </c>
      <c r="C491">
        <v>0.77286551196779762</v>
      </c>
      <c r="D491">
        <v>1.1795431628317035</v>
      </c>
      <c r="E491">
        <v>6.5746394778355977E-2</v>
      </c>
      <c r="F491">
        <v>7.75507104416438E-2</v>
      </c>
      <c r="G491">
        <v>5.0813121060411026E-2</v>
      </c>
      <c r="K491" s="24">
        <f t="shared" si="11"/>
        <v>4.47</v>
      </c>
    </row>
    <row r="492" spans="1:11" ht="15" customHeight="1" x14ac:dyDescent="0.3">
      <c r="A492" s="28">
        <v>4.4800000000000004</v>
      </c>
      <c r="B492">
        <v>0.1363236723892654</v>
      </c>
      <c r="C492">
        <v>0.77281034208223109</v>
      </c>
      <c r="D492">
        <v>1.1786171772952019</v>
      </c>
      <c r="E492">
        <v>6.1916138007596246E-2</v>
      </c>
      <c r="F492">
        <v>7.297542380753326E-2</v>
      </c>
      <c r="G492">
        <v>4.7849431794061086E-2</v>
      </c>
      <c r="K492" s="24">
        <f t="shared" ref="K492:K531" si="12">A492</f>
        <v>4.4800000000000004</v>
      </c>
    </row>
    <row r="493" spans="1:11" ht="15" customHeight="1" x14ac:dyDescent="0.3">
      <c r="A493" s="28">
        <v>4.49</v>
      </c>
      <c r="B493">
        <v>0.13621693156439582</v>
      </c>
      <c r="C493">
        <v>0.77275525841140069</v>
      </c>
      <c r="D493">
        <v>1.1776943253245571</v>
      </c>
      <c r="E493">
        <v>5.8092850262080081E-2</v>
      </c>
      <c r="F493">
        <v>6.8415620095580928E-2</v>
      </c>
      <c r="G493">
        <v>4.4891555516128501E-2</v>
      </c>
      <c r="K493" s="24">
        <f t="shared" si="12"/>
        <v>4.49</v>
      </c>
    </row>
    <row r="494" spans="1:11" ht="15" customHeight="1" x14ac:dyDescent="0.3">
      <c r="A494" s="28">
        <v>4.5</v>
      </c>
      <c r="B494">
        <v>0.136110551130595</v>
      </c>
      <c r="C494">
        <v>0.77270026086222821</v>
      </c>
      <c r="D494">
        <v>1.1767745891965005</v>
      </c>
      <c r="E494">
        <v>5.4276504881771E-2</v>
      </c>
      <c r="F494">
        <v>6.3871211735267927E-2</v>
      </c>
      <c r="G494">
        <v>4.1939469480834456E-2</v>
      </c>
      <c r="K494" s="24">
        <f t="shared" si="12"/>
        <v>4.5</v>
      </c>
    </row>
    <row r="495" spans="1:11" ht="15" customHeight="1" x14ac:dyDescent="0.3">
      <c r="A495" s="28">
        <v>4.51</v>
      </c>
      <c r="B495">
        <v>0.13600452905407134</v>
      </c>
      <c r="C495">
        <v>0.77264534933904583</v>
      </c>
      <c r="D495">
        <v>1.1758579513274261</v>
      </c>
      <c r="E495">
        <v>5.0467075363275174E-2</v>
      </c>
      <c r="F495">
        <v>5.9342111846147558E-2</v>
      </c>
      <c r="G495">
        <v>3.8993151074177702E-2</v>
      </c>
      <c r="K495" s="24">
        <f t="shared" si="12"/>
        <v>4.51</v>
      </c>
    </row>
    <row r="496" spans="1:11" ht="15" customHeight="1" x14ac:dyDescent="0.3">
      <c r="A496" s="28">
        <v>4.5199999999999996</v>
      </c>
      <c r="B496">
        <v>0.13589886331701956</v>
      </c>
      <c r="C496">
        <v>0.7725905237436419</v>
      </c>
      <c r="D496">
        <v>1.1749443942719415</v>
      </c>
      <c r="E496">
        <v>4.6664535358424145E-2</v>
      </c>
      <c r="F496">
        <v>5.4828234230685252E-2</v>
      </c>
      <c r="G496">
        <v>3.6052577812818606E-2</v>
      </c>
      <c r="K496" s="24">
        <f t="shared" si="12"/>
        <v>4.5199999999999996</v>
      </c>
    </row>
    <row r="497" spans="1:11" ht="15" customHeight="1" x14ac:dyDescent="0.3">
      <c r="A497" s="28">
        <v>4.53</v>
      </c>
      <c r="B497">
        <v>0.13579355191745499</v>
      </c>
      <c r="C497">
        <v>0.77253578397530775</v>
      </c>
      <c r="D497">
        <v>1.1740339007214349</v>
      </c>
      <c r="E497">
        <v>4.2868858672862546E-2</v>
      </c>
      <c r="F497">
        <v>5.0329493367176723E-2</v>
      </c>
      <c r="G497">
        <v>3.3117727342966537E-2</v>
      </c>
      <c r="K497" s="24">
        <f t="shared" si="12"/>
        <v>4.53</v>
      </c>
    </row>
    <row r="498" spans="1:11" ht="15" customHeight="1" x14ac:dyDescent="0.3">
      <c r="A498" s="28">
        <v>4.54</v>
      </c>
      <c r="B498">
        <v>0.13568859286905016</v>
      </c>
      <c r="C498">
        <v>0.77248112993088358</v>
      </c>
      <c r="D498">
        <v>1.1731264535026624</v>
      </c>
      <c r="E498">
        <v>3.9080019264664645E-2</v>
      </c>
      <c r="F498">
        <v>4.5845804402771757E-2</v>
      </c>
      <c r="G498">
        <v>3.0188577439288843E-2</v>
      </c>
      <c r="K498" s="24">
        <f t="shared" si="12"/>
        <v>4.54</v>
      </c>
    </row>
    <row r="499" spans="1:11" ht="15" customHeight="1" x14ac:dyDescent="0.3">
      <c r="A499" s="28">
        <v>4.55</v>
      </c>
      <c r="B499">
        <v>0.1355839842009732</v>
      </c>
      <c r="C499">
        <v>0.77242656150480293</v>
      </c>
      <c r="D499">
        <v>1.1722220355763509</v>
      </c>
      <c r="E499">
        <v>3.529799124294955E-2</v>
      </c>
      <c r="F499">
        <v>4.1377083146566532E-2</v>
      </c>
      <c r="G499">
        <v>2.7265106003818165E-2</v>
      </c>
      <c r="K499" s="24">
        <f t="shared" si="12"/>
        <v>4.55</v>
      </c>
    </row>
    <row r="500" spans="1:11" ht="15" customHeight="1" x14ac:dyDescent="0.3">
      <c r="A500" s="28">
        <v>4.5599999999999996</v>
      </c>
      <c r="B500">
        <v>0.13547972395772831</v>
      </c>
      <c r="C500">
        <v>0.77237207858913737</v>
      </c>
      <c r="D500">
        <v>1.1713206300358185</v>
      </c>
      <c r="E500">
        <v>3.1522748866517493E-2</v>
      </c>
      <c r="F500">
        <v>3.6923246062790155E-2</v>
      </c>
      <c r="G500">
        <v>2.434729106487549E-2</v>
      </c>
      <c r="K500" s="24">
        <f t="shared" si="12"/>
        <v>4.5599999999999996</v>
      </c>
    </row>
    <row r="501" spans="1:11" ht="15" customHeight="1" x14ac:dyDescent="0.3">
      <c r="A501" s="28">
        <v>4.57</v>
      </c>
      <c r="B501">
        <v>0.13537581019899839</v>
      </c>
      <c r="C501">
        <v>0.77231768107363929</v>
      </c>
      <c r="D501">
        <v>1.1704222201056145</v>
      </c>
      <c r="E501">
        <v>2.7754266542505915E-2</v>
      </c>
      <c r="F501">
        <v>3.2484210264082748E-2</v>
      </c>
      <c r="G501">
        <v>2.1435110776007862E-2</v>
      </c>
      <c r="K501" s="24">
        <f t="shared" si="12"/>
        <v>4.57</v>
      </c>
    </row>
    <row r="502" spans="1:11" ht="15" customHeight="1" x14ac:dyDescent="0.3">
      <c r="A502" s="28">
        <v>4.58</v>
      </c>
      <c r="B502">
        <v>0.1352722409994897</v>
      </c>
      <c r="C502">
        <v>0.77226336884578628</v>
      </c>
      <c r="D502">
        <v>1.1695267891401759</v>
      </c>
      <c r="E502">
        <v>2.3992518825064067E-2</v>
      </c>
      <c r="F502">
        <v>2.8059893504862404E-2</v>
      </c>
      <c r="G502">
        <v>1.8528543414939921E-2</v>
      </c>
      <c r="K502" s="24">
        <f t="shared" si="12"/>
        <v>4.58</v>
      </c>
    </row>
    <row r="503" spans="1:11" ht="15" customHeight="1" x14ac:dyDescent="0.3">
      <c r="A503" s="28">
        <v>4.59</v>
      </c>
      <c r="B503">
        <v>0.13516901444877799</v>
      </c>
      <c r="C503">
        <v>0.77220914179082134</v>
      </c>
      <c r="D503">
        <v>1.1686343206224972</v>
      </c>
      <c r="E503">
        <v>2.0237480414014207E-2</v>
      </c>
      <c r="F503">
        <v>2.3650214174742584E-2</v>
      </c>
      <c r="G503">
        <v>1.5627567382514466E-2</v>
      </c>
      <c r="K503" s="24">
        <f t="shared" si="12"/>
        <v>4.59</v>
      </c>
    </row>
    <row r="504" spans="1:11" ht="15" customHeight="1" x14ac:dyDescent="0.3">
      <c r="A504" s="28">
        <v>4.5999999999999996</v>
      </c>
      <c r="B504">
        <v>0.13506612865115705</v>
      </c>
      <c r="C504">
        <v>0.7721549997917948</v>
      </c>
      <c r="D504">
        <v>1.1677447981628213</v>
      </c>
      <c r="E504">
        <v>1.6489126153564487E-2</v>
      </c>
      <c r="F504">
        <v>1.925509129207546E-2</v>
      </c>
      <c r="G504">
        <v>1.2732161201672466E-2</v>
      </c>
      <c r="K504" s="24">
        <f t="shared" si="12"/>
        <v>4.5999999999999996</v>
      </c>
    </row>
    <row r="505" spans="1:11" ht="15" customHeight="1" x14ac:dyDescent="0.3">
      <c r="A505" s="28">
        <v>4.6100000000000003</v>
      </c>
      <c r="B505">
        <v>0.13496358172548903</v>
      </c>
      <c r="C505">
        <v>0.77210094272960716</v>
      </c>
      <c r="D505">
        <v>1.1668582054973449</v>
      </c>
      <c r="E505">
        <v>1.2747431031011659E-2</v>
      </c>
      <c r="F505">
        <v>1.4874444497547433E-2</v>
      </c>
      <c r="G505">
        <v>9.8423035164247503E-3</v>
      </c>
      <c r="K505" s="24">
        <f t="shared" si="12"/>
        <v>4.6100000000000003</v>
      </c>
    </row>
    <row r="506" spans="1:11" ht="15" customHeight="1" x14ac:dyDescent="0.3">
      <c r="A506" s="28">
        <v>4.62</v>
      </c>
      <c r="B506">
        <v>0.13486137180505661</v>
      </c>
      <c r="C506">
        <v>0.77204697048304605</v>
      </c>
      <c r="D506">
        <v>1.1659745264869406</v>
      </c>
      <c r="E506">
        <v>9.0123701754686401E-3</v>
      </c>
      <c r="F506">
        <v>1.0508194047867072E-2</v>
      </c>
      <c r="G506">
        <v>6.9579730908423216E-3</v>
      </c>
      <c r="K506" s="24">
        <f t="shared" si="12"/>
        <v>4.62</v>
      </c>
    </row>
    <row r="507" spans="1:11" ht="15" customHeight="1" x14ac:dyDescent="0.3">
      <c r="A507" s="28">
        <v>4.63</v>
      </c>
      <c r="B507">
        <v>0.1347594970374168</v>
      </c>
      <c r="C507">
        <v>0.77199308292882862</v>
      </c>
      <c r="D507">
        <v>1.1650937451158929</v>
      </c>
      <c r="E507">
        <v>5.2839188565978763E-3</v>
      </c>
      <c r="F507">
        <v>6.1562608095221067E-3</v>
      </c>
      <c r="G507">
        <v>4.0791488080507655E-3</v>
      </c>
      <c r="K507" s="24">
        <f t="shared" si="12"/>
        <v>4.63</v>
      </c>
    </row>
    <row r="508" spans="1:11" ht="15" customHeight="1" x14ac:dyDescent="0.3">
      <c r="A508" s="28">
        <v>4.6399999999999997</v>
      </c>
      <c r="B508">
        <v>0.13465795558425672</v>
      </c>
      <c r="C508">
        <v>0.77193927994163913</v>
      </c>
      <c r="D508">
        <v>1.1642158454906522</v>
      </c>
      <c r="E508">
        <v>1.5620524833618902E-3</v>
      </c>
      <c r="F508">
        <v>1.8185662526179359E-3</v>
      </c>
      <c r="G508">
        <v>1.2058096692374267E-3</v>
      </c>
      <c r="K508" s="24">
        <f t="shared" si="12"/>
        <v>4.6399999999999997</v>
      </c>
    </row>
    <row r="509" spans="1:11" ht="15" customHeight="1" x14ac:dyDescent="0.3">
      <c r="A509" s="28">
        <v>4.6500000000000004</v>
      </c>
      <c r="B509">
        <v>0.13455674562125122</v>
      </c>
      <c r="C509">
        <v>0.77188556139416753</v>
      </c>
      <c r="D509">
        <v>1.1633408118386019</v>
      </c>
      <c r="E509">
        <v>-2.1532533972133698E-3</v>
      </c>
      <c r="F509">
        <v>-2.5049675552084294E-3</v>
      </c>
      <c r="G509">
        <v>0</v>
      </c>
      <c r="K509" s="24">
        <f t="shared" si="12"/>
        <v>4.6500000000000004</v>
      </c>
    </row>
    <row r="510" spans="1:11" ht="15" customHeight="1" x14ac:dyDescent="0.3">
      <c r="A510" s="28">
        <v>4.66</v>
      </c>
      <c r="B510">
        <v>0.13445586533792225</v>
      </c>
      <c r="C510">
        <v>0.77183192715714666</v>
      </c>
      <c r="D510">
        <v>1.1624686285068442</v>
      </c>
      <c r="E510">
        <v>-5.8620231012560349E-3</v>
      </c>
      <c r="F510">
        <v>-6.8144179547925407E-3</v>
      </c>
      <c r="G510">
        <v>0</v>
      </c>
      <c r="K510" s="24">
        <f t="shared" si="12"/>
        <v>4.66</v>
      </c>
    </row>
    <row r="511" spans="1:11" ht="15" customHeight="1" x14ac:dyDescent="0.3">
      <c r="A511" s="28">
        <v>4.67</v>
      </c>
      <c r="B511">
        <v>0.13435531293749978</v>
      </c>
      <c r="C511">
        <v>0.77177837709939034</v>
      </c>
      <c r="D511">
        <v>1.1615992799609967</v>
      </c>
      <c r="E511">
        <v>-9.5642808092626323E-3</v>
      </c>
      <c r="F511">
        <v>-1.1109861701384251E-2</v>
      </c>
      <c r="G511">
        <v>0</v>
      </c>
      <c r="K511" s="24">
        <f t="shared" si="12"/>
        <v>4.67</v>
      </c>
    </row>
    <row r="512" spans="1:11" ht="15" customHeight="1" x14ac:dyDescent="0.3">
      <c r="A512" s="28">
        <v>4.68</v>
      </c>
      <c r="B512">
        <v>0.13425508663678473</v>
      </c>
      <c r="C512">
        <v>0.77172491108782992</v>
      </c>
      <c r="D512">
        <v>1.1607327507840082</v>
      </c>
      <c r="E512">
        <v>-1.3260050567286859E-2</v>
      </c>
      <c r="F512">
        <v>-1.5391374970501925E-2</v>
      </c>
      <c r="G512">
        <v>0</v>
      </c>
      <c r="K512" s="24">
        <f t="shared" si="12"/>
        <v>4.68</v>
      </c>
    </row>
    <row r="513" spans="1:11" ht="15" customHeight="1" x14ac:dyDescent="0.3">
      <c r="A513" s="28">
        <v>4.6900000000000004</v>
      </c>
      <c r="B513">
        <v>0.13415518466601295</v>
      </c>
      <c r="C513">
        <v>0.7716715289875492</v>
      </c>
      <c r="D513">
        <v>1.159869025674982</v>
      </c>
      <c r="E513">
        <v>-1.6949356288143046E-2</v>
      </c>
      <c r="F513">
        <v>-1.9659033363746602E-2</v>
      </c>
      <c r="G513">
        <v>0</v>
      </c>
      <c r="K513" s="24">
        <f t="shared" si="12"/>
        <v>4.6900000000000004</v>
      </c>
    </row>
    <row r="514" spans="1:11" ht="15" customHeight="1" x14ac:dyDescent="0.3">
      <c r="A514" s="28">
        <v>4.7</v>
      </c>
      <c r="B514">
        <v>0.13405560526872184</v>
      </c>
      <c r="C514">
        <v>0.77161823066182089</v>
      </c>
      <c r="D514">
        <v>1.1590080894480232</v>
      </c>
      <c r="E514">
        <v>-2.0632221752552159E-2</v>
      </c>
      <c r="F514">
        <v>-2.3912911914493424E-2</v>
      </c>
      <c r="G514">
        <v>0</v>
      </c>
      <c r="K514" s="24">
        <f t="shared" si="12"/>
        <v>4.7</v>
      </c>
    </row>
    <row r="515" spans="1:11" ht="15" customHeight="1" x14ac:dyDescent="0.3">
      <c r="A515" s="28">
        <v>4.71</v>
      </c>
      <c r="B515">
        <v>0.13395634670161788</v>
      </c>
      <c r="C515">
        <v>0.77156501597214133</v>
      </c>
      <c r="D515">
        <v>1.1581499270310924</v>
      </c>
      <c r="E515">
        <v>-2.4308670610317797E-2</v>
      </c>
      <c r="F515">
        <v>-2.815308509356242E-2</v>
      </c>
      <c r="G515">
        <v>0</v>
      </c>
      <c r="K515" s="24">
        <f t="shared" si="12"/>
        <v>4.71</v>
      </c>
    </row>
    <row r="516" spans="1:11" ht="15" customHeight="1" x14ac:dyDescent="0.3">
      <c r="A516" s="28">
        <v>4.72</v>
      </c>
      <c r="B516">
        <v>0.13385740723444584</v>
      </c>
      <c r="C516">
        <v>0.77151188477826427</v>
      </c>
      <c r="D516">
        <v>1.1572945234648766</v>
      </c>
      <c r="E516">
        <v>-2.797872638146455E-2</v>
      </c>
      <c r="F516">
        <v>-3.2379626814791188E-2</v>
      </c>
      <c r="G516">
        <v>0</v>
      </c>
      <c r="K516" s="24">
        <f t="shared" si="12"/>
        <v>4.72</v>
      </c>
    </row>
    <row r="517" spans="1:11" ht="15" customHeight="1" x14ac:dyDescent="0.3">
      <c r="A517" s="28">
        <v>4.7300000000000004</v>
      </c>
      <c r="B517">
        <v>0.13375878514985981</v>
      </c>
      <c r="C517">
        <v>0.77145883693823603</v>
      </c>
      <c r="D517">
        <v>1.1564418639016729</v>
      </c>
      <c r="E517">
        <v>-3.1642412457375042E-2</v>
      </c>
      <c r="F517">
        <v>-3.6592610440552308E-2</v>
      </c>
      <c r="G517">
        <v>0</v>
      </c>
      <c r="K517" s="24">
        <f t="shared" si="12"/>
        <v>4.7300000000000004</v>
      </c>
    </row>
    <row r="518" spans="1:11" ht="15" customHeight="1" x14ac:dyDescent="0.3">
      <c r="A518" s="28">
        <v>4.74</v>
      </c>
      <c r="B518">
        <v>0.13366047874329554</v>
      </c>
      <c r="C518">
        <v>0.77140587230842672</v>
      </c>
      <c r="D518">
        <v>1.155591933604285</v>
      </c>
      <c r="E518">
        <v>-3.5299752101918075E-2</v>
      </c>
      <c r="F518">
        <v>-4.0792108787207432E-2</v>
      </c>
      <c r="G518">
        <v>0</v>
      </c>
      <c r="K518" s="24">
        <f t="shared" si="12"/>
        <v>4.74</v>
      </c>
    </row>
    <row r="519" spans="1:11" ht="15" customHeight="1" x14ac:dyDescent="0.3">
      <c r="A519" s="28">
        <v>4.75</v>
      </c>
      <c r="B519">
        <v>0.1335624863228449</v>
      </c>
      <c r="C519">
        <v>0.77135299074356511</v>
      </c>
      <c r="D519">
        <v>1.1547447179449382</v>
      </c>
      <c r="E519">
        <v>-3.8950768452539697E-2</v>
      </c>
      <c r="F519">
        <v>-4.4978194130466553E-2</v>
      </c>
      <c r="G519">
        <v>0</v>
      </c>
      <c r="K519" s="24">
        <f t="shared" si="12"/>
        <v>4.75</v>
      </c>
    </row>
    <row r="520" spans="1:11" ht="15" customHeight="1" x14ac:dyDescent="0.3">
      <c r="A520" s="28">
        <v>4.76</v>
      </c>
      <c r="B520">
        <v>0.13346480620913079</v>
      </c>
      <c r="C520">
        <v>0.77130019209677059</v>
      </c>
      <c r="D520">
        <v>1.1539002024041973</v>
      </c>
      <c r="E520">
        <v>-4.2595484521388172E-2</v>
      </c>
      <c r="F520">
        <v>-4.9150938210734664E-2</v>
      </c>
      <c r="G520">
        <v>0</v>
      </c>
      <c r="K520" s="24">
        <f t="shared" si="12"/>
        <v>4.76</v>
      </c>
    </row>
    <row r="521" spans="1:11" ht="15" customHeight="1" x14ac:dyDescent="0.3">
      <c r="A521" s="28">
        <v>4.7699999999999996</v>
      </c>
      <c r="B521">
        <v>0.13336743673518478</v>
      </c>
      <c r="C521">
        <v>0.77124747621958267</v>
      </c>
      <c r="D521">
        <v>1.1530583725699095</v>
      </c>
      <c r="E521">
        <v>-4.6233923196376307E-2</v>
      </c>
      <c r="F521">
        <v>-5.3310412238335859E-2</v>
      </c>
      <c r="G521">
        <v>0</v>
      </c>
      <c r="K521" s="24">
        <f t="shared" si="12"/>
        <v>4.7699999999999996</v>
      </c>
    </row>
    <row r="522" spans="1:11" ht="15" customHeight="1" x14ac:dyDescent="0.3">
      <c r="A522" s="28">
        <v>4.78</v>
      </c>
      <c r="B522">
        <v>0.13327037624632532</v>
      </c>
      <c r="C522">
        <v>0.77119484296199581</v>
      </c>
      <c r="D522">
        <v>1.1522192141361507</v>
      </c>
      <c r="E522">
        <v>-4.9866107242271938E-2</v>
      </c>
      <c r="F522">
        <v>-5.7456686898719592E-2</v>
      </c>
      <c r="G522">
        <v>0</v>
      </c>
      <c r="K522" s="24">
        <f t="shared" si="12"/>
        <v>4.78</v>
      </c>
    </row>
    <row r="523" spans="1:11" ht="15" customHeight="1" x14ac:dyDescent="0.3">
      <c r="A523" s="28">
        <v>4.79</v>
      </c>
      <c r="B523">
        <v>0.13317362310003766</v>
      </c>
      <c r="C523">
        <v>0.7711422921724872</v>
      </c>
      <c r="D523">
        <v>1.1513827129021879</v>
      </c>
      <c r="E523">
        <v>-5.3492059301760909E-2</v>
      </c>
      <c r="F523">
        <v>-6.1589832357586194E-2</v>
      </c>
      <c r="G523">
        <v>0</v>
      </c>
      <c r="K523" s="24">
        <f t="shared" si="12"/>
        <v>4.79</v>
      </c>
    </row>
    <row r="524" spans="1:11" ht="15" customHeight="1" x14ac:dyDescent="0.3">
      <c r="A524" s="28">
        <v>4.8</v>
      </c>
      <c r="B524">
        <v>0.13307717566585572</v>
      </c>
      <c r="C524">
        <v>0.77108982369804935</v>
      </c>
      <c r="D524">
        <v>1.1505488547714569</v>
      </c>
      <c r="E524">
        <v>-5.7111801896488394E-2</v>
      </c>
      <c r="F524">
        <v>-6.5709918265939041E-2</v>
      </c>
      <c r="G524">
        <v>0</v>
      </c>
      <c r="K524" s="24">
        <f t="shared" si="12"/>
        <v>4.8</v>
      </c>
    </row>
    <row r="525" spans="1:11" ht="15" customHeight="1" x14ac:dyDescent="0.3">
      <c r="A525" s="28">
        <v>4.8099999999999996</v>
      </c>
      <c r="B525">
        <v>0.13298103232524433</v>
      </c>
      <c r="C525">
        <v>0.77103743738421882</v>
      </c>
      <c r="D525">
        <v>1.1497176257505457</v>
      </c>
      <c r="E525">
        <v>-6.0725357428115495E-2</v>
      </c>
      <c r="F525">
        <v>-6.9817013765106212E-2</v>
      </c>
      <c r="G525">
        <v>0</v>
      </c>
      <c r="K525" s="24">
        <f t="shared" si="12"/>
        <v>4.8099999999999996</v>
      </c>
    </row>
    <row r="526" spans="1:11" ht="15" customHeight="1" x14ac:dyDescent="0.3">
      <c r="A526" s="28">
        <v>4.82</v>
      </c>
      <c r="B526">
        <v>0.13288519147148412</v>
      </c>
      <c r="C526">
        <v>0.77098513307510597</v>
      </c>
      <c r="D526">
        <v>1.1488890119481985</v>
      </c>
      <c r="E526">
        <v>-6.4332748179333113E-2</v>
      </c>
      <c r="F526">
        <v>-7.391118749166628E-2</v>
      </c>
      <c r="G526">
        <v>0</v>
      </c>
      <c r="K526" s="24">
        <f t="shared" si="12"/>
        <v>4.82</v>
      </c>
    </row>
    <row r="527" spans="1:11" ht="15" customHeight="1" x14ac:dyDescent="0.3">
      <c r="A527" s="28">
        <v>4.83</v>
      </c>
      <c r="B527">
        <v>0.1327896515095566</v>
      </c>
      <c r="C527">
        <v>0.77093291061342384</v>
      </c>
      <c r="D527">
        <v>1.1480629995743215</v>
      </c>
      <c r="E527">
        <v>-6.7933996314899353E-2</v>
      </c>
      <c r="F527">
        <v>-7.7992507582354251E-2</v>
      </c>
      <c r="G527">
        <v>0</v>
      </c>
      <c r="K527" s="24">
        <f t="shared" si="12"/>
        <v>4.83</v>
      </c>
    </row>
    <row r="528" spans="1:11" ht="15" customHeight="1" x14ac:dyDescent="0.3">
      <c r="A528" s="28">
        <v>4.84</v>
      </c>
      <c r="B528">
        <v>0.13269441085603145</v>
      </c>
      <c r="C528">
        <v>0.77088076984051612</v>
      </c>
      <c r="D528">
        <v>1.1472395749390092</v>
      </c>
      <c r="E528">
        <v>-7.1529123882635576E-2</v>
      </c>
      <c r="F528">
        <v>-8.2061041678874569E-2</v>
      </c>
      <c r="G528">
        <v>0</v>
      </c>
      <c r="K528" s="24">
        <f t="shared" si="12"/>
        <v>4.84</v>
      </c>
    </row>
    <row r="529" spans="1:11" ht="15" customHeight="1" x14ac:dyDescent="0.3">
      <c r="A529" s="28">
        <v>4.8499999999999996</v>
      </c>
      <c r="B529">
        <v>0.13259946793895483</v>
      </c>
      <c r="C529">
        <v>0.7708287105963868</v>
      </c>
      <c r="D529">
        <v>1.1464187244515787</v>
      </c>
      <c r="E529">
        <v>-7.5118152814430614E-2</v>
      </c>
      <c r="F529">
        <v>-8.6116856932678301E-2</v>
      </c>
      <c r="G529">
        <v>0</v>
      </c>
      <c r="K529" s="24">
        <f t="shared" si="12"/>
        <v>4.8499999999999996</v>
      </c>
    </row>
    <row r="530" spans="1:11" ht="15" customHeight="1" x14ac:dyDescent="0.3">
      <c r="A530" s="28">
        <v>4.8600000000000003</v>
      </c>
      <c r="B530">
        <v>0.1325048211977389</v>
      </c>
      <c r="C530">
        <v>0.77077673271972713</v>
      </c>
      <c r="D530">
        <v>1.1456004346196149</v>
      </c>
      <c r="E530">
        <v>-7.870110492722332E-2</v>
      </c>
      <c r="F530">
        <v>-9.0160020009670952E-2</v>
      </c>
      <c r="G530">
        <v>0</v>
      </c>
      <c r="K530" s="24">
        <f t="shared" si="12"/>
        <v>4.8600000000000003</v>
      </c>
    </row>
    <row r="531" spans="1:11" ht="15" customHeight="1" x14ac:dyDescent="0.3">
      <c r="A531" s="28">
        <v>4.87</v>
      </c>
      <c r="B531">
        <v>0.13241046908305287</v>
      </c>
      <c r="C531">
        <v>0.77072483604794217</v>
      </c>
      <c r="D531">
        <v>1.1447846920480274</v>
      </c>
      <c r="E531">
        <v>-8.227800192399029E-2</v>
      </c>
      <c r="F531">
        <v>-9.4190597094882228E-2</v>
      </c>
      <c r="G531">
        <v>0</v>
      </c>
      <c r="K531" s="24">
        <f t="shared" si="12"/>
        <v>4.87</v>
      </c>
    </row>
    <row r="532" spans="1:11" ht="15" customHeight="1" x14ac:dyDescent="0.3">
      <c r="A532" s="28">
        <v>4.88</v>
      </c>
      <c r="B532">
        <v>0.13231641005671546</v>
      </c>
      <c r="C532">
        <v>0.77067302041717833</v>
      </c>
      <c r="D532">
        <v>1.1439714834381214</v>
      </c>
      <c r="E532">
        <v>-8.5848865394693871E-2</v>
      </c>
      <c r="F532">
        <v>-9.8208653897047554E-2</v>
      </c>
      <c r="G532">
        <v>0</v>
      </c>
      <c r="K532" s="24">
        <f t="shared" ref="K532:K547" si="13">A532</f>
        <v>4.88</v>
      </c>
    </row>
    <row r="533" spans="1:11" ht="15" customHeight="1" x14ac:dyDescent="0.3">
      <c r="A533" s="28">
        <v>4.8899999999999997</v>
      </c>
      <c r="B533">
        <v>0.13222264259158775</v>
      </c>
      <c r="C533">
        <v>0.77062128566235011</v>
      </c>
      <c r="D533">
        <v>1.1431607955866721</v>
      </c>
      <c r="E533">
        <v>-8.9413716817267355E-2</v>
      </c>
      <c r="F533">
        <v>-0.10221425565318876</v>
      </c>
      <c r="G533">
        <v>0</v>
      </c>
      <c r="K533" s="24">
        <f t="shared" si="13"/>
        <v>4.8899999999999997</v>
      </c>
    </row>
    <row r="534" spans="1:11" ht="15" customHeight="1" x14ac:dyDescent="0.3">
      <c r="A534" s="28">
        <v>4.9000000000000004</v>
      </c>
      <c r="B534">
        <v>0.13212916517146889</v>
      </c>
      <c r="C534">
        <v>0.77056963161716541</v>
      </c>
      <c r="D534">
        <v>1.1423526153850212</v>
      </c>
      <c r="E534">
        <v>-9.2972577558531069E-2</v>
      </c>
      <c r="F534">
        <v>-0.10620746713307469</v>
      </c>
      <c r="G534">
        <v>0</v>
      </c>
      <c r="K534" s="24">
        <f t="shared" si="13"/>
        <v>4.9000000000000004</v>
      </c>
    </row>
    <row r="535" spans="1:11" ht="15" customHeight="1" x14ac:dyDescent="0.3">
      <c r="A535" s="28">
        <v>4.91</v>
      </c>
      <c r="B535">
        <v>0.13203597629099129</v>
      </c>
      <c r="C535">
        <v>0.77051805811415175</v>
      </c>
      <c r="D535">
        <v>1.1415469298181729</v>
      </c>
      <c r="E535">
        <v>-9.6525468875151399E-2</v>
      </c>
      <c r="F535">
        <v>-0.11018835264368869</v>
      </c>
      <c r="G535">
        <v>0</v>
      </c>
      <c r="K535" s="24">
        <f t="shared" si="13"/>
        <v>4.91</v>
      </c>
    </row>
    <row r="536" spans="1:11" ht="15" customHeight="1" x14ac:dyDescent="0.3">
      <c r="A536" s="28">
        <v>4.92</v>
      </c>
      <c r="B536">
        <v>0.13194307445551837</v>
      </c>
      <c r="C536">
        <v>0.77046656498468158</v>
      </c>
      <c r="D536">
        <v>1.1407437259639077</v>
      </c>
      <c r="E536">
        <v>-0.10007241191455682</v>
      </c>
      <c r="F536">
        <v>-0.1141569760336065</v>
      </c>
      <c r="G536">
        <v>0</v>
      </c>
      <c r="K536" s="24">
        <f t="shared" si="13"/>
        <v>4.92</v>
      </c>
    </row>
    <row r="537" spans="1:11" ht="15" customHeight="1" x14ac:dyDescent="0.3">
      <c r="A537" s="28">
        <v>4.93</v>
      </c>
      <c r="B537">
        <v>0.13185045818104257</v>
      </c>
      <c r="C537">
        <v>0.77041515205899713</v>
      </c>
      <c r="D537">
        <v>1.1399429909919025</v>
      </c>
      <c r="E537">
        <v>-0.10361342771586445</v>
      </c>
      <c r="F537">
        <v>-0.11811340069734581</v>
      </c>
      <c r="G537">
        <v>0</v>
      </c>
      <c r="K537" s="24">
        <f t="shared" si="13"/>
        <v>4.93</v>
      </c>
    </row>
    <row r="538" spans="1:11" ht="15" customHeight="1" x14ac:dyDescent="0.3">
      <c r="A538" s="28">
        <v>4.9400000000000004</v>
      </c>
      <c r="B538">
        <v>0.13175812599408529</v>
      </c>
      <c r="C538">
        <v>0.7703638191662342</v>
      </c>
      <c r="D538">
        <v>1.1391447121628644</v>
      </c>
      <c r="E538">
        <v>-0.10714853721077813</v>
      </c>
      <c r="F538">
        <v>-0.12205768957964383</v>
      </c>
      <c r="G538">
        <v>0</v>
      </c>
      <c r="K538" s="24">
        <f t="shared" si="13"/>
        <v>4.9400000000000004</v>
      </c>
    </row>
    <row r="539" spans="1:11" ht="15" customHeight="1" x14ac:dyDescent="0.3">
      <c r="A539" s="28">
        <v>4.95</v>
      </c>
      <c r="B539">
        <v>0.13166607643159758</v>
      </c>
      <c r="C539">
        <v>0.77031256613444776</v>
      </c>
      <c r="D539">
        <v>1.1383488768276724</v>
      </c>
      <c r="E539">
        <v>-0.11067776122449013</v>
      </c>
      <c r="F539">
        <v>-0.12598990517969966</v>
      </c>
      <c r="G539">
        <v>0</v>
      </c>
      <c r="K539" s="24">
        <f t="shared" si="13"/>
        <v>4.95</v>
      </c>
    </row>
    <row r="540" spans="1:11" ht="15" customHeight="1" x14ac:dyDescent="0.3">
      <c r="A540" s="28">
        <v>4.96</v>
      </c>
      <c r="B540">
        <v>0.1315743080408619</v>
      </c>
      <c r="C540">
        <v>0.77026139279063466</v>
      </c>
      <c r="D540">
        <v>1.1375554724265278</v>
      </c>
      <c r="E540">
        <v>-0.11420112047657667</v>
      </c>
      <c r="F540">
        <v>-0.129910109555371</v>
      </c>
      <c r="G540">
        <v>0</v>
      </c>
      <c r="K540" s="24">
        <f t="shared" si="13"/>
        <v>4.96</v>
      </c>
    </row>
    <row r="541" spans="1:11" ht="15" customHeight="1" x14ac:dyDescent="0.3">
      <c r="A541" s="28">
        <v>4.97</v>
      </c>
      <c r="B541">
        <v>0.13148281937939552</v>
      </c>
      <c r="C541">
        <v>0.77021029896075732</v>
      </c>
      <c r="D541">
        <v>1.1367644864881201</v>
      </c>
      <c r="E541">
        <v>-0.11771863558186124</v>
      </c>
      <c r="F541">
        <v>-0.13381836432729663</v>
      </c>
      <c r="G541">
        <v>0</v>
      </c>
      <c r="K541" s="24">
        <f t="shared" si="13"/>
        <v>4.97</v>
      </c>
    </row>
    <row r="542" spans="1:11" ht="15" customHeight="1" x14ac:dyDescent="0.3">
      <c r="A542" s="28">
        <v>4.9800000000000004</v>
      </c>
      <c r="B542">
        <v>0.1313916090148543</v>
      </c>
      <c r="C542">
        <v>0.77015928446976722</v>
      </c>
      <c r="D542">
        <v>1.1359759066287933</v>
      </c>
      <c r="E542">
        <v>-0.12123032705130832</v>
      </c>
      <c r="F542">
        <v>-0.1377147306830151</v>
      </c>
      <c r="G542">
        <v>0</v>
      </c>
      <c r="K542" s="24">
        <f t="shared" si="13"/>
        <v>4.9800000000000004</v>
      </c>
    </row>
    <row r="543" spans="1:11" ht="15" customHeight="1" x14ac:dyDescent="0.3">
      <c r="A543" s="28">
        <v>4.99</v>
      </c>
      <c r="B543">
        <v>0.13130067552493829</v>
      </c>
      <c r="C543">
        <v>0.77010834914162674</v>
      </c>
      <c r="D543">
        <v>1.1351897205517312</v>
      </c>
      <c r="E543">
        <v>-0.1247362152928681</v>
      </c>
      <c r="F543">
        <v>-0.14159926938099152</v>
      </c>
      <c r="G543">
        <v>0</v>
      </c>
      <c r="K543" s="24">
        <f t="shared" si="13"/>
        <v>4.99</v>
      </c>
    </row>
    <row r="544" spans="1:11" ht="15" customHeight="1" x14ac:dyDescent="0.3">
      <c r="A544" s="28">
        <v>5</v>
      </c>
      <c r="B544">
        <v>0.13121001749729819</v>
      </c>
      <c r="C544">
        <v>0.77005749279933322</v>
      </c>
      <c r="D544">
        <v>1.1344059160461482</v>
      </c>
      <c r="E544">
        <v>-0.12823632061232496</v>
      </c>
      <c r="F544">
        <v>-0.14547204075461204</v>
      </c>
      <c r="G544">
        <v>0</v>
      </c>
      <c r="K544" s="24">
        <f t="shared" si="13"/>
        <v>5</v>
      </c>
    </row>
    <row r="545" spans="1:11" ht="15" customHeight="1" x14ac:dyDescent="0.3">
      <c r="A545" s="28">
        <v>10</v>
      </c>
      <c r="B545">
        <v>0.10443490769012664</v>
      </c>
      <c r="C545">
        <v>0.75076172148830833</v>
      </c>
      <c r="D545">
        <v>0.90291564154278503</v>
      </c>
      <c r="E545">
        <v>-1.4278892206243408</v>
      </c>
      <c r="F545">
        <v>-1.2892635116920539</v>
      </c>
      <c r="G545">
        <v>0</v>
      </c>
      <c r="K545" s="24">
        <f t="shared" si="13"/>
        <v>10</v>
      </c>
    </row>
    <row r="546" spans="1:11" ht="15" customHeight="1" x14ac:dyDescent="0.3">
      <c r="A546" s="28">
        <v>20</v>
      </c>
      <c r="B546">
        <v>8.1398173687757411E-2</v>
      </c>
      <c r="C546">
        <v>0.7218559281009348</v>
      </c>
      <c r="D546">
        <v>0.70374634153711102</v>
      </c>
      <c r="E546">
        <v>-3.2303646772452601</v>
      </c>
      <c r="F546">
        <v>-2.2733573234420623</v>
      </c>
      <c r="G546">
        <v>0</v>
      </c>
      <c r="K546" s="24">
        <f t="shared" si="13"/>
        <v>20</v>
      </c>
    </row>
    <row r="547" spans="1:11" ht="15" customHeight="1" x14ac:dyDescent="0.3">
      <c r="A547" s="28">
        <v>35</v>
      </c>
      <c r="B547">
        <v>6.3405413323626592E-2</v>
      </c>
      <c r="C547">
        <v>0.69190472323922658</v>
      </c>
      <c r="D547">
        <v>0.54818585772351081</v>
      </c>
      <c r="E547">
        <v>-5.5491769874331318</v>
      </c>
      <c r="F547">
        <v>-3.041980346515599</v>
      </c>
      <c r="G547">
        <v>0</v>
      </c>
      <c r="K547" s="24">
        <f t="shared" si="13"/>
        <v>35</v>
      </c>
    </row>
    <row r="548" spans="1:11" ht="15" customHeight="1" x14ac:dyDescent="0.3">
      <c r="A548" s="28"/>
      <c r="K548" s="24"/>
    </row>
    <row r="549" spans="1:11" ht="15" customHeight="1" x14ac:dyDescent="0.3">
      <c r="A549" s="28"/>
      <c r="K549" s="24"/>
    </row>
    <row r="550" spans="1:11" ht="15" customHeight="1" x14ac:dyDescent="0.3">
      <c r="A550" s="28"/>
      <c r="K550" s="24"/>
    </row>
    <row r="551" spans="1:11" ht="15" customHeight="1" x14ac:dyDescent="0.3">
      <c r="A551" s="28"/>
      <c r="K551" s="24"/>
    </row>
  </sheetData>
  <mergeCells count="2">
    <mergeCell ref="A1:A4"/>
    <mergeCell ref="A41:G4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AF506"/>
  <sheetViews>
    <sheetView workbookViewId="0">
      <selection activeCell="R13" sqref="R13"/>
    </sheetView>
  </sheetViews>
  <sheetFormatPr defaultRowHeight="14.4" x14ac:dyDescent="0.3"/>
  <cols>
    <col min="17" max="17" width="13.5546875" bestFit="1" customWidth="1"/>
    <col min="21" max="27" width="8.88671875" style="86"/>
  </cols>
  <sheetData>
    <row r="1" spans="8:32" x14ac:dyDescent="0.3">
      <c r="H1" s="58">
        <v>0</v>
      </c>
      <c r="Q1" t="s">
        <v>178</v>
      </c>
      <c r="R1" t="s">
        <v>19</v>
      </c>
      <c r="S1" t="s">
        <v>179</v>
      </c>
      <c r="U1" s="86" t="str">
        <f>MSY!A42</f>
        <v>F</v>
      </c>
      <c r="V1" s="86" t="str">
        <f>MSY!B42</f>
        <v>SPR</v>
      </c>
      <c r="W1" s="86" t="str">
        <f>MSY!C42</f>
        <v>YPR</v>
      </c>
      <c r="X1" s="86" t="str">
        <f>MSY!D42</f>
        <v>φF</v>
      </c>
      <c r="Y1" s="86" t="str">
        <f>MSY!E42</f>
        <v>Eq_recF</v>
      </c>
      <c r="Z1" s="86" t="str">
        <f>MSY!F42</f>
        <v>Eq_SSBF</v>
      </c>
      <c r="AA1" s="86" t="str">
        <f>MSY!G42</f>
        <v>Yield</v>
      </c>
      <c r="AB1" t="s">
        <v>176</v>
      </c>
      <c r="AC1" t="s">
        <v>175</v>
      </c>
      <c r="AF1" t="str">
        <f>U1</f>
        <v>F</v>
      </c>
    </row>
    <row r="2" spans="8:32" x14ac:dyDescent="0.3">
      <c r="H2" s="58">
        <v>40</v>
      </c>
      <c r="Q2" t="s">
        <v>173</v>
      </c>
      <c r="R2">
        <f>VLOOKUP(MAX(W2:W506),W2:AF506,10,FALSE)</f>
        <v>1.59</v>
      </c>
      <c r="S2">
        <f>VLOOKUP(R2,$U$2:$Z$506,6,FALSE)</f>
        <v>2.9181119799874535</v>
      </c>
      <c r="V2" s="86">
        <f>MSY!B43</f>
        <v>0.68533628984063166</v>
      </c>
      <c r="W2" s="86">
        <f>MSY!C43</f>
        <v>0.41864035422401591</v>
      </c>
      <c r="X2" s="86">
        <f>MSY!D43</f>
        <v>5.9252300739334878</v>
      </c>
      <c r="Y2" s="86">
        <f>MSY!E43</f>
        <v>3.9704701670849145</v>
      </c>
      <c r="Z2" s="86">
        <f>MSY!F43</f>
        <v>23.525949241667259</v>
      </c>
      <c r="AA2" s="86">
        <f>MSY!G43</f>
        <v>1.6621990371843163</v>
      </c>
      <c r="AF2">
        <f t="shared" ref="AF2:AF65" si="0">U2</f>
        <v>0</v>
      </c>
    </row>
    <row r="3" spans="8:32" x14ac:dyDescent="0.3">
      <c r="Q3" t="s">
        <v>174</v>
      </c>
      <c r="R3">
        <f>VLOOKUP(MIN(AC5:AC506),AC5:AF506,4,FALSE)</f>
        <v>0.28000000000000003</v>
      </c>
      <c r="S3">
        <f t="shared" ref="S3:S4" si="1">VLOOKUP(R3,$U$2:$Z$506,6,FALSE)</f>
        <v>13.86850860156645</v>
      </c>
      <c r="U3" s="86">
        <f>MSY!A44</f>
        <v>9.9999999999999995E-7</v>
      </c>
      <c r="V3" s="86">
        <f>MSY!B44</f>
        <v>0.9999952134662361</v>
      </c>
      <c r="W3" s="86">
        <f>MSY!C44</f>
        <v>6.8168912694935867E-6</v>
      </c>
      <c r="X3" s="86">
        <f>MSY!D44</f>
        <v>8.6456850460925221</v>
      </c>
      <c r="Y3" s="86">
        <f>MSY!E44</f>
        <v>4.2758548163009662</v>
      </c>
      <c r="Z3" s="86">
        <f>MSY!F44</f>
        <v>36.967694044555962</v>
      </c>
      <c r="AA3" s="86">
        <f>MSY!G44</f>
        <v>2.914803736686416E-5</v>
      </c>
      <c r="AB3" s="55">
        <f>(W3)/(U3)</f>
        <v>6.8168912694935875</v>
      </c>
      <c r="AC3" s="55">
        <f>AB3*0.1</f>
        <v>0.68168912694935879</v>
      </c>
      <c r="AF3">
        <f t="shared" si="0"/>
        <v>9.9999999999999995E-7</v>
      </c>
    </row>
    <row r="4" spans="8:32" x14ac:dyDescent="0.3">
      <c r="Q4" t="s">
        <v>177</v>
      </c>
      <c r="R4">
        <f>MSY!E27</f>
        <v>0.34</v>
      </c>
      <c r="S4">
        <f t="shared" si="1"/>
        <v>12.147382264741063</v>
      </c>
      <c r="U4" s="86">
        <f>MSY!A45</f>
        <v>0.01</v>
      </c>
      <c r="V4" s="86">
        <f>MSY!B45</f>
        <v>0.95448419702497456</v>
      </c>
      <c r="W4" s="86">
        <f>MSY!C45</f>
        <v>6.43343462730398E-2</v>
      </c>
      <c r="X4" s="86">
        <f>MSY!D45</f>
        <v>8.2522092484286453</v>
      </c>
      <c r="Y4" s="86">
        <f>MSY!E45</f>
        <v>4.2441402576683238</v>
      </c>
      <c r="Z4" s="86">
        <f>MSY!F45</f>
        <v>35.023533485958886</v>
      </c>
      <c r="AA4" s="86">
        <f>MSY!G45</f>
        <v>0.27304398896818233</v>
      </c>
      <c r="AF4">
        <f t="shared" si="0"/>
        <v>0.01</v>
      </c>
    </row>
    <row r="5" spans="8:32" x14ac:dyDescent="0.3">
      <c r="Q5" t="s">
        <v>180</v>
      </c>
      <c r="R5">
        <v>0</v>
      </c>
      <c r="S5">
        <f>MSY!E19</f>
        <v>36.967898517909518</v>
      </c>
      <c r="U5" s="86">
        <f>MSY!A46</f>
        <v>0.02</v>
      </c>
      <c r="V5" s="86">
        <f>MSY!B46</f>
        <v>0.91323765685305125</v>
      </c>
      <c r="W5" s="86">
        <f>MSY!C46</f>
        <v>0.12173192642859101</v>
      </c>
      <c r="X5" s="86">
        <f>MSY!D46</f>
        <v>7.8956029459530868</v>
      </c>
      <c r="Y5" s="86">
        <f>MSY!E46</f>
        <v>4.2126668496566033</v>
      </c>
      <c r="Z5" s="86">
        <f>MSY!F46</f>
        <v>33.261544788467582</v>
      </c>
      <c r="AA5" s="86">
        <f>MSY!G46</f>
        <v>0.51281605101056194</v>
      </c>
      <c r="AB5">
        <f>(W6-W4)/(U6-U4)</f>
        <v>5.4406448130078049</v>
      </c>
      <c r="AC5">
        <f>ABS(AB5-$AC$3)</f>
        <v>4.7589556860584459</v>
      </c>
      <c r="AF5">
        <f t="shared" si="0"/>
        <v>0.02</v>
      </c>
    </row>
    <row r="6" spans="8:32" x14ac:dyDescent="0.3">
      <c r="U6" s="86">
        <f>MSY!A47</f>
        <v>0.03</v>
      </c>
      <c r="V6" s="86">
        <f>MSY!B47</f>
        <v>0.87569913806345145</v>
      </c>
      <c r="W6" s="86">
        <f>MSY!C47</f>
        <v>0.17314724253319588</v>
      </c>
      <c r="X6" s="86">
        <f>MSY!D47</f>
        <v>7.5710551819425493</v>
      </c>
      <c r="Y6" s="86">
        <f>MSY!E47</f>
        <v>4.1814458216434645</v>
      </c>
      <c r="Z6" s="86">
        <f>MSY!F47</f>
        <v>31.65795705596577</v>
      </c>
      <c r="AA6" s="86">
        <f>MSY!G47</f>
        <v>0.72400581381951945</v>
      </c>
      <c r="AB6">
        <f t="shared" ref="AB6:AB69" si="2">(W7-W5)/(U7-U5)</f>
        <v>4.8820764299387198</v>
      </c>
      <c r="AC6">
        <f t="shared" ref="AC6:AC69" si="3">ABS(AB6-$AC$3)</f>
        <v>4.2003873029893608</v>
      </c>
      <c r="AF6">
        <f t="shared" si="0"/>
        <v>0.03</v>
      </c>
    </row>
    <row r="7" spans="8:32" x14ac:dyDescent="0.3">
      <c r="U7" s="86">
        <f>MSY!A48</f>
        <v>0.04</v>
      </c>
      <c r="V7" s="86">
        <f>MSY!B48</f>
        <v>0.84140098817357856</v>
      </c>
      <c r="W7" s="86">
        <f>MSY!C48</f>
        <v>0.21937345502736541</v>
      </c>
      <c r="X7" s="86">
        <f>MSY!D48</f>
        <v>7.2745227609685905</v>
      </c>
      <c r="Y7" s="86">
        <f>MSY!E48</f>
        <v>4.1504843529176494</v>
      </c>
      <c r="Z7" s="86">
        <f>MSY!F48</f>
        <v>30.192792894343413</v>
      </c>
      <c r="AA7" s="86">
        <f>MSY!G48</f>
        <v>0.91050609253656378</v>
      </c>
      <c r="AB7">
        <f t="shared" si="2"/>
        <v>4.3963742054686312</v>
      </c>
      <c r="AC7">
        <f t="shared" si="3"/>
        <v>3.7146850785192722</v>
      </c>
      <c r="AF7">
        <f t="shared" si="0"/>
        <v>0.04</v>
      </c>
    </row>
    <row r="8" spans="8:32" x14ac:dyDescent="0.3">
      <c r="U8" s="86">
        <f>MSY!A49</f>
        <v>0.05</v>
      </c>
      <c r="V8" s="86">
        <f>MSY!B49</f>
        <v>0.80995044719986264</v>
      </c>
      <c r="W8" s="86">
        <f>MSY!C49</f>
        <v>0.26107472664256853</v>
      </c>
      <c r="X8" s="86">
        <f>MSY!D49</f>
        <v>7.0026099876609447</v>
      </c>
      <c r="Y8" s="86">
        <f>MSY!E49</f>
        <v>4.1197888005453667</v>
      </c>
      <c r="Z8" s="86">
        <f>MSY!F49</f>
        <v>28.849274201752682</v>
      </c>
      <c r="AA8" s="86">
        <f>MSY!G49</f>
        <v>1.0755727349274968</v>
      </c>
      <c r="AB8">
        <f t="shared" si="2"/>
        <v>3.9718826054960874</v>
      </c>
      <c r="AC8">
        <f t="shared" si="3"/>
        <v>3.2901934785467288</v>
      </c>
      <c r="AF8">
        <f t="shared" si="0"/>
        <v>0.05</v>
      </c>
    </row>
    <row r="9" spans="8:32" x14ac:dyDescent="0.3">
      <c r="U9" s="86">
        <f>MSY!A50</f>
        <v>0.06</v>
      </c>
      <c r="V9" s="86">
        <f>MSY!B50</f>
        <v>0.78101525965315455</v>
      </c>
      <c r="W9" s="86">
        <f>MSY!C50</f>
        <v>0.29881110713728715</v>
      </c>
      <c r="X9" s="86">
        <f>MSY!D50</f>
        <v>6.7524442719558433</v>
      </c>
      <c r="Y9" s="86">
        <f>MSY!E50</f>
        <v>4.0893647430581561</v>
      </c>
      <c r="Z9" s="86">
        <f>MSY!F50</f>
        <v>27.613207535201237</v>
      </c>
      <c r="AA9" s="86">
        <f>MSY!G50</f>
        <v>1.2219476063613954</v>
      </c>
      <c r="AB9">
        <f t="shared" si="2"/>
        <v>3.5991581808123332</v>
      </c>
      <c r="AC9">
        <f t="shared" si="3"/>
        <v>2.9174690538629742</v>
      </c>
      <c r="AF9">
        <f t="shared" si="0"/>
        <v>0.06</v>
      </c>
    </row>
    <row r="10" spans="8:32" x14ac:dyDescent="0.3">
      <c r="U10" s="86">
        <f>MSY!A51</f>
        <v>7.0000000000000007E-2</v>
      </c>
      <c r="V10" s="86">
        <f>MSY!B51</f>
        <v>0.75431247955756053</v>
      </c>
      <c r="W10" s="86">
        <f>MSY!C51</f>
        <v>0.33305789025881521</v>
      </c>
      <c r="X10" s="86">
        <f>MSY!D51</f>
        <v>6.5215793403514786</v>
      </c>
      <c r="Y10" s="86">
        <f>MSY!E51</f>
        <v>4.0592170234587295</v>
      </c>
      <c r="Z10" s="86">
        <f>MSY!F51</f>
        <v>26.472505878191477</v>
      </c>
      <c r="AA10" s="86">
        <f>MSY!G51</f>
        <v>1.3519542579358321</v>
      </c>
      <c r="AB10">
        <f t="shared" si="2"/>
        <v>3.2704858058458015</v>
      </c>
      <c r="AC10">
        <f t="shared" si="3"/>
        <v>2.5887966788964425</v>
      </c>
      <c r="AF10">
        <f t="shared" si="0"/>
        <v>7.0000000000000007E-2</v>
      </c>
    </row>
    <row r="11" spans="8:32" x14ac:dyDescent="0.3">
      <c r="U11" s="86">
        <f>MSY!A52</f>
        <v>0.08</v>
      </c>
      <c r="V11" s="86">
        <f>MSY!B52</f>
        <v>0.72959967133015535</v>
      </c>
      <c r="W11" s="86">
        <f>MSY!C52</f>
        <v>0.36422082325420319</v>
      </c>
      <c r="X11" s="86">
        <f>MSY!D52</f>
        <v>6.3079191611211876</v>
      </c>
      <c r="Y11" s="86">
        <f>MSY!E52</f>
        <v>4.0293497913708958</v>
      </c>
      <c r="Z11" s="86">
        <f>MSY!F52</f>
        <v>25.416812755848127</v>
      </c>
      <c r="AA11" s="86">
        <f>MSY!G52</f>
        <v>1.4675730981922595</v>
      </c>
      <c r="AB11">
        <f t="shared" si="2"/>
        <v>2.9795139354946363</v>
      </c>
      <c r="AC11">
        <f t="shared" si="3"/>
        <v>2.2978248085452773</v>
      </c>
      <c r="AF11">
        <f t="shared" si="0"/>
        <v>0.08</v>
      </c>
    </row>
    <row r="12" spans="8:32" x14ac:dyDescent="0.3">
      <c r="U12" s="86">
        <f>MSY!A53</f>
        <v>0.09</v>
      </c>
      <c r="V12" s="86">
        <f>MSY!B53</f>
        <v>0.7066679289726443</v>
      </c>
      <c r="W12" s="86">
        <f>MSY!C53</f>
        <v>0.39264816896870791</v>
      </c>
      <c r="X12" s="86">
        <f>MSY!D53</f>
        <v>6.1096575901543044</v>
      </c>
      <c r="Y12" s="86">
        <f>MSY!E53</f>
        <v>3.9997665441862602</v>
      </c>
      <c r="Z12" s="86">
        <f>MSY!F53</f>
        <v>24.437204025532836</v>
      </c>
      <c r="AA12" s="86">
        <f>MSY!G53</f>
        <v>1.5705010098770316</v>
      </c>
      <c r="AB12">
        <f t="shared" si="2"/>
        <v>2.7209765484906359</v>
      </c>
      <c r="AC12">
        <f t="shared" si="3"/>
        <v>2.0392874215412773</v>
      </c>
      <c r="AF12">
        <f t="shared" si="0"/>
        <v>0.09</v>
      </c>
    </row>
    <row r="13" spans="8:32" x14ac:dyDescent="0.3">
      <c r="U13" s="86">
        <f>MSY!A54</f>
        <v>0.1</v>
      </c>
      <c r="V13" s="86">
        <f>MSY!B54</f>
        <v>0.68533628984063166</v>
      </c>
      <c r="W13" s="86">
        <f>MSY!C54</f>
        <v>0.41864035422401591</v>
      </c>
      <c r="X13" s="86">
        <f>MSY!D54</f>
        <v>5.9252300739334878</v>
      </c>
      <c r="Y13" s="86">
        <f>MSY!E54</f>
        <v>3.9704701670849145</v>
      </c>
      <c r="Z13" s="86">
        <f>MSY!F54</f>
        <v>23.525949241667259</v>
      </c>
      <c r="AA13" s="86">
        <f>MSY!G54</f>
        <v>1.6621990371843163</v>
      </c>
      <c r="AB13">
        <f t="shared" si="2"/>
        <v>2.4904790042033769</v>
      </c>
      <c r="AC13">
        <f t="shared" si="3"/>
        <v>1.8087898772540181</v>
      </c>
      <c r="AF13">
        <f t="shared" si="0"/>
        <v>0.1</v>
      </c>
    </row>
    <row r="14" spans="8:32" x14ac:dyDescent="0.3">
      <c r="U14" s="86">
        <f>MSY!A55</f>
        <v>0.11</v>
      </c>
      <c r="V14" s="86">
        <f>MSY!B55</f>
        <v>0.66544722847070559</v>
      </c>
      <c r="W14" s="86">
        <f>MSY!C55</f>
        <v>0.44245774905277546</v>
      </c>
      <c r="X14" s="86">
        <f>MSY!D55</f>
        <v>5.7532746903964522</v>
      </c>
      <c r="Y14" s="86">
        <f>MSY!E55</f>
        <v>3.941462971829834</v>
      </c>
      <c r="Z14" s="86">
        <f>MSY!F55</f>
        <v>22.676319158963373</v>
      </c>
      <c r="AA14" s="86">
        <f>MSY!G55</f>
        <v>1.7439308344906912</v>
      </c>
      <c r="AB14">
        <f t="shared" si="2"/>
        <v>2.2843315575625311</v>
      </c>
      <c r="AC14">
        <f t="shared" si="3"/>
        <v>1.6026424306131724</v>
      </c>
      <c r="AF14">
        <f t="shared" si="0"/>
        <v>0.11</v>
      </c>
    </row>
    <row r="15" spans="8:32" x14ac:dyDescent="0.3">
      <c r="U15" s="86">
        <f>MSY!A56</f>
        <v>0.12</v>
      </c>
      <c r="V15" s="86">
        <f>MSY!B56</f>
        <v>0.64686299448063744</v>
      </c>
      <c r="W15" s="86">
        <f>MSY!C56</f>
        <v>0.46432698537526651</v>
      </c>
      <c r="X15" s="86">
        <f>MSY!D56</f>
        <v>5.5926004874229376</v>
      </c>
      <c r="Y15" s="86">
        <f>MSY!E56</f>
        <v>3.912746734255133</v>
      </c>
      <c r="Z15" s="86">
        <f>MSY!F56</f>
        <v>21.88242929315776</v>
      </c>
      <c r="AA15" s="86">
        <f>MSY!G56</f>
        <v>1.8167938956536049</v>
      </c>
      <c r="AB15">
        <f t="shared" si="2"/>
        <v>2.0994187852990005</v>
      </c>
      <c r="AC15">
        <f t="shared" si="3"/>
        <v>1.4177296583496417</v>
      </c>
      <c r="AF15">
        <f t="shared" si="0"/>
        <v>0.12</v>
      </c>
    </row>
    <row r="16" spans="8:32" x14ac:dyDescent="0.3">
      <c r="U16" s="86">
        <f>MSY!A57</f>
        <v>0.13</v>
      </c>
      <c r="V16" s="86">
        <f>MSY!B57</f>
        <v>0.62946261569958595</v>
      </c>
      <c r="W16" s="86">
        <f>MSY!C57</f>
        <v>0.48444612475875548</v>
      </c>
      <c r="X16" s="86">
        <f>MSY!D57</f>
        <v>5.4421615727183106</v>
      </c>
      <c r="Y16" s="86">
        <f>MSY!E57</f>
        <v>3.8843227303868546</v>
      </c>
      <c r="Z16" s="86">
        <f>MSY!F57</f>
        <v>21.139111899347601</v>
      </c>
      <c r="AA16" s="86">
        <f>MSY!G57</f>
        <v>1.8817450940482598</v>
      </c>
      <c r="AB16">
        <f t="shared" si="2"/>
        <v>1.9330963370806846</v>
      </c>
      <c r="AC16">
        <f t="shared" si="3"/>
        <v>1.2514072101313258</v>
      </c>
      <c r="AF16">
        <f t="shared" si="0"/>
        <v>0.13</v>
      </c>
    </row>
    <row r="17" spans="21:32" x14ac:dyDescent="0.3">
      <c r="U17" s="86">
        <f>MSY!A58</f>
        <v>0.14000000000000001</v>
      </c>
      <c r="V17" s="86">
        <f>MSY!B58</f>
        <v>0.6131394297182754</v>
      </c>
      <c r="W17" s="86">
        <f>MSY!C58</f>
        <v>0.50298891211688024</v>
      </c>
      <c r="X17" s="86">
        <f>MSY!D58</f>
        <v>5.3010357722716979</v>
      </c>
      <c r="Y17" s="86">
        <f>MSY!E58</f>
        <v>3.8561917711516003</v>
      </c>
      <c r="Z17" s="86">
        <f>MSY!F58</f>
        <v>20.441810523614382</v>
      </c>
      <c r="AA17" s="86">
        <f>MSY!G58</f>
        <v>1.9396217038856089</v>
      </c>
      <c r="AB17">
        <f t="shared" si="2"/>
        <v>1.7831086679955153</v>
      </c>
      <c r="AC17">
        <f t="shared" si="3"/>
        <v>1.1014195410461565</v>
      </c>
      <c r="AF17">
        <f t="shared" si="0"/>
        <v>0.14000000000000001</v>
      </c>
    </row>
    <row r="18" spans="21:32" x14ac:dyDescent="0.3">
      <c r="U18" s="86">
        <f>MSY!A59</f>
        <v>0.15</v>
      </c>
      <c r="V18" s="86">
        <f>MSY!B59</f>
        <v>0.59779903828564174</v>
      </c>
      <c r="W18" s="86">
        <f>MSY!C59</f>
        <v>0.52010829811866577</v>
      </c>
      <c r="X18" s="86">
        <f>MSY!D59</f>
        <v>5.1684069446290097</v>
      </c>
      <c r="Y18" s="86">
        <f>MSY!E59</f>
        <v>3.8283542356431353</v>
      </c>
      <c r="Z18" s="86">
        <f>MSY!F59</f>
        <v>19.786492617997865</v>
      </c>
      <c r="AA18" s="86">
        <f>MSY!G59</f>
        <v>1.9911588060957366</v>
      </c>
      <c r="AB18">
        <f t="shared" si="2"/>
        <v>1.6475230189988874</v>
      </c>
      <c r="AC18">
        <f t="shared" si="3"/>
        <v>0.96583389204952863</v>
      </c>
      <c r="AF18">
        <f t="shared" si="0"/>
        <v>0.15</v>
      </c>
    </row>
    <row r="19" spans="21:32" x14ac:dyDescent="0.3">
      <c r="U19" s="86">
        <f>MSY!A60</f>
        <v>0.16</v>
      </c>
      <c r="V19" s="86">
        <f>MSY!B60</f>
        <v>0.58335760241424339</v>
      </c>
      <c r="W19" s="86">
        <f>MSY!C60</f>
        <v>0.53593937249685797</v>
      </c>
      <c r="X19" s="86">
        <f>MSY!D60</f>
        <v>5.0435502408407284</v>
      </c>
      <c r="Y19" s="86">
        <f>MSY!E60</f>
        <v>3.8008101029302708</v>
      </c>
      <c r="Z19" s="86">
        <f>MSY!F60</f>
        <v>19.169576710023843</v>
      </c>
      <c r="AA19" s="86">
        <f>MSY!G60</f>
        <v>2.0370037815441675</v>
      </c>
      <c r="AB19">
        <f t="shared" si="2"/>
        <v>1.5246760803777779</v>
      </c>
      <c r="AC19">
        <f t="shared" si="3"/>
        <v>0.84298695342841912</v>
      </c>
      <c r="AF19">
        <f t="shared" si="0"/>
        <v>0.16</v>
      </c>
    </row>
    <row r="20" spans="21:32" x14ac:dyDescent="0.3">
      <c r="U20" s="86">
        <f>MSY!A61</f>
        <v>0.17</v>
      </c>
      <c r="V20" s="86">
        <f>MSY!B61</f>
        <v>0.56974041379787388</v>
      </c>
      <c r="W20" s="86">
        <f>MSY!C61</f>
        <v>0.55060181972622135</v>
      </c>
      <c r="X20" s="86">
        <f>MSY!D61</f>
        <v>4.9258197533294084</v>
      </c>
      <c r="Y20" s="86">
        <f>MSY!E61</f>
        <v>3.7735589824008846</v>
      </c>
      <c r="Z20" s="86">
        <f>MSY!F61</f>
        <v>18.587871375863898</v>
      </c>
      <c r="AA20" s="86">
        <f>MSY!G61</f>
        <v>2.0777284425541551</v>
      </c>
      <c r="AB20">
        <f t="shared" si="2"/>
        <v>1.4131306297537511</v>
      </c>
      <c r="AC20">
        <f t="shared" si="3"/>
        <v>0.73144150280439235</v>
      </c>
      <c r="AF20">
        <f t="shared" si="0"/>
        <v>0.17</v>
      </c>
    </row>
    <row r="21" spans="21:32" x14ac:dyDescent="0.3">
      <c r="U21" s="86">
        <f>MSY!A62</f>
        <v>0.18</v>
      </c>
      <c r="V21" s="86">
        <f>MSY!B62</f>
        <v>0.55688069168838961</v>
      </c>
      <c r="W21" s="86">
        <f>MSY!C62</f>
        <v>0.56420198509193298</v>
      </c>
      <c r="X21" s="86">
        <f>MSY!D62</f>
        <v>4.8146381140158638</v>
      </c>
      <c r="Y21" s="86">
        <f>MSY!E62</f>
        <v>3.7466001426470301</v>
      </c>
      <c r="Z21" s="86">
        <f>MSY!F62</f>
        <v>18.03852384476566</v>
      </c>
      <c r="AA21" s="86">
        <f>MSY!G62</f>
        <v>2.1138392378271735</v>
      </c>
      <c r="AB21">
        <f t="shared" si="2"/>
        <v>1.3116400699049797</v>
      </c>
      <c r="AC21">
        <f t="shared" si="3"/>
        <v>0.62995094295562093</v>
      </c>
      <c r="AF21">
        <f t="shared" si="0"/>
        <v>0.18</v>
      </c>
    </row>
    <row r="22" spans="21:32" x14ac:dyDescent="0.3">
      <c r="U22" s="86">
        <f>MSY!A63</f>
        <v>0.19</v>
      </c>
      <c r="V22" s="86">
        <f>MSY!B63</f>
        <v>0.54471856479999958</v>
      </c>
      <c r="W22" s="86">
        <f>MSY!C63</f>
        <v>0.57683462112432093</v>
      </c>
      <c r="X22" s="86">
        <f>MSY!D63</f>
        <v>4.7094876921421855</v>
      </c>
      <c r="Y22" s="86">
        <f>MSY!E63</f>
        <v>3.719932538904807</v>
      </c>
      <c r="Z22" s="86">
        <f>MSY!F63</f>
        <v>17.51897650757142</v>
      </c>
      <c r="AA22" s="86">
        <f>MSY!G63</f>
        <v>2.1457858766871878</v>
      </c>
      <c r="AB22">
        <f t="shared" si="2"/>
        <v>1.2191192648329952</v>
      </c>
      <c r="AC22">
        <f t="shared" si="3"/>
        <v>0.53743013788363636</v>
      </c>
      <c r="AF22">
        <f t="shared" si="0"/>
        <v>0.19</v>
      </c>
    </row>
    <row r="23" spans="21:32" x14ac:dyDescent="0.3">
      <c r="U23" s="86">
        <f>MSY!A64</f>
        <v>0.2</v>
      </c>
      <c r="V23" s="86">
        <f>MSY!B64</f>
        <v>0.53320020588797934</v>
      </c>
      <c r="W23" s="86">
        <f>MSY!C64</f>
        <v>0.5885843703885929</v>
      </c>
      <c r="X23" s="86">
        <f>MSY!D64</f>
        <v>4.6099031120760507</v>
      </c>
      <c r="Y23" s="86">
        <f>MSY!E64</f>
        <v>3.6935548390701554</v>
      </c>
      <c r="Z23" s="86">
        <f>MSY!F64</f>
        <v>17.02692994725307</v>
      </c>
      <c r="AA23" s="86">
        <f>MSY!G64</f>
        <v>2.173968649449848</v>
      </c>
      <c r="AB23">
        <f t="shared" si="2"/>
        <v>1.134620428705408</v>
      </c>
      <c r="AC23">
        <f t="shared" si="3"/>
        <v>0.45293130175604923</v>
      </c>
      <c r="AF23">
        <f t="shared" si="0"/>
        <v>0.2</v>
      </c>
    </row>
    <row r="24" spans="21:32" x14ac:dyDescent="0.3">
      <c r="U24" s="86">
        <f>MSY!A65</f>
        <v>0.21</v>
      </c>
      <c r="V24" s="86">
        <f>MSY!B65</f>
        <v>0.52227709295577129</v>
      </c>
      <c r="W24" s="86">
        <f>MSY!C65</f>
        <v>0.59952702969842908</v>
      </c>
      <c r="X24" s="86">
        <f>MSY!D65</f>
        <v>4.5154648659094265</v>
      </c>
      <c r="Y24" s="86">
        <f>MSY!E65</f>
        <v>3.6674654483180258</v>
      </c>
      <c r="Z24" s="86">
        <f>MSY!F65</f>
        <v>16.560311378816806</v>
      </c>
      <c r="AA24" s="86">
        <f>MSY!G65</f>
        <v>2.1987446667517236</v>
      </c>
      <c r="AB24">
        <f t="shared" si="2"/>
        <v>1.0573130926019474</v>
      </c>
      <c r="AC24">
        <f t="shared" si="3"/>
        <v>0.3756239656525886</v>
      </c>
      <c r="AF24">
        <f t="shared" si="0"/>
        <v>0.21</v>
      </c>
    </row>
    <row r="25" spans="21:32" x14ac:dyDescent="0.3">
      <c r="U25" s="86">
        <f>MSY!A66</f>
        <v>0.22</v>
      </c>
      <c r="V25" s="86">
        <f>MSY!B66</f>
        <v>0.51190537600119057</v>
      </c>
      <c r="W25" s="86">
        <f>MSY!C66</f>
        <v>0.60973063224063184</v>
      </c>
      <c r="X25" s="86">
        <f>MSY!D66</f>
        <v>4.4257938385195033</v>
      </c>
      <c r="Y25" s="86">
        <f>MSY!E66</f>
        <v>3.6416625323576834</v>
      </c>
      <c r="Z25" s="86">
        <f>MSY!F66</f>
        <v>16.11724759767597</v>
      </c>
      <c r="AA25" s="86">
        <f>MSY!G66</f>
        <v>2.2204331982614707</v>
      </c>
      <c r="AB25">
        <f t="shared" si="2"/>
        <v>0.98646738063558526</v>
      </c>
      <c r="AC25">
        <f t="shared" si="3"/>
        <v>0.30477825368622646</v>
      </c>
      <c r="AF25">
        <f t="shared" si="0"/>
        <v>0.22</v>
      </c>
    </row>
    <row r="26" spans="21:32" x14ac:dyDescent="0.3">
      <c r="U26" s="86">
        <f>MSY!A67</f>
        <v>0.23</v>
      </c>
      <c r="V26" s="86">
        <f>MSY!B67</f>
        <v>0.50204533213265934</v>
      </c>
      <c r="W26" s="86">
        <f>MSY!C67</f>
        <v>0.6192563773111408</v>
      </c>
      <c r="X26" s="86">
        <f>MSY!D67</f>
        <v>4.3405465966527252</v>
      </c>
      <c r="Y26" s="86">
        <f>MSY!E67</f>
        <v>3.6161440393612114</v>
      </c>
      <c r="Z26" s="86">
        <f>MSY!F67</f>
        <v>15.696041703055343</v>
      </c>
      <c r="AA26" s="86">
        <f>MSY!G67</f>
        <v>2.2393202576500992</v>
      </c>
      <c r="AB26">
        <f t="shared" si="2"/>
        <v>0.92143998612244138</v>
      </c>
      <c r="AC26">
        <f t="shared" si="3"/>
        <v>0.23975085917308259</v>
      </c>
      <c r="AF26">
        <f t="shared" si="0"/>
        <v>0.23</v>
      </c>
    </row>
    <row r="27" spans="21:32" x14ac:dyDescent="0.3">
      <c r="U27" s="86">
        <f>MSY!A68</f>
        <v>0.24</v>
      </c>
      <c r="V27" s="86">
        <f>MSY!B68</f>
        <v>0.4926608950054514</v>
      </c>
      <c r="W27" s="86">
        <f>MSY!C68</f>
        <v>0.62815943196308066</v>
      </c>
      <c r="X27" s="86">
        <f>MSY!D68</f>
        <v>4.2594113205592894</v>
      </c>
      <c r="Y27" s="86">
        <f>MSY!E68</f>
        <v>3.5909077206057849</v>
      </c>
      <c r="Z27" s="86">
        <f>MSY!F68</f>
        <v>15.29515299623203</v>
      </c>
      <c r="AA27" s="86">
        <f>MSY!G68</f>
        <v>2.2556625540075705</v>
      </c>
      <c r="AB27">
        <f t="shared" si="2"/>
        <v>0.86166236179764422</v>
      </c>
      <c r="AC27">
        <f t="shared" si="3"/>
        <v>0.17997323484828542</v>
      </c>
      <c r="AF27">
        <f t="shared" si="0"/>
        <v>0.24</v>
      </c>
    </row>
    <row r="28" spans="21:32" x14ac:dyDescent="0.3">
      <c r="U28" s="86">
        <f>MSY!A69</f>
        <v>0.25</v>
      </c>
      <c r="V28" s="86">
        <f>MSY!B69</f>
        <v>0.48371924702369723</v>
      </c>
      <c r="W28" s="86">
        <f>MSY!C69</f>
        <v>0.63648962454709368</v>
      </c>
      <c r="X28" s="86">
        <f>MSY!D69</f>
        <v>4.182104278283246</v>
      </c>
      <c r="Y28" s="86">
        <f>MSY!E69</f>
        <v>3.5659511498729834</v>
      </c>
      <c r="Z28" s="86">
        <f>MSY!F69</f>
        <v>14.913179560032866</v>
      </c>
      <c r="AA28" s="86">
        <f>MSY!G69</f>
        <v>2.269690908535932</v>
      </c>
      <c r="AB28">
        <f t="shared" si="2"/>
        <v>0.80663073427508714</v>
      </c>
      <c r="AC28">
        <f t="shared" si="3"/>
        <v>0.12494160732572834</v>
      </c>
      <c r="AF28">
        <f t="shared" si="0"/>
        <v>0.25</v>
      </c>
    </row>
    <row r="29" spans="21:32" x14ac:dyDescent="0.3">
      <c r="U29" s="86">
        <f>MSY!A70</f>
        <v>0.26</v>
      </c>
      <c r="V29" s="86">
        <f>MSY!B70</f>
        <v>0.47519046476178278</v>
      </c>
      <c r="W29" s="86">
        <f>MSY!C70</f>
        <v>0.64429204664858242</v>
      </c>
      <c r="X29" s="86">
        <f>MSY!D70</f>
        <v>4.1083667600729123</v>
      </c>
      <c r="Y29" s="86">
        <f>MSY!E70</f>
        <v>3.5412717416505011</v>
      </c>
      <c r="Z29" s="86">
        <f>MSY!F70</f>
        <v>14.54884311178243</v>
      </c>
      <c r="AA29" s="86">
        <f>MSY!G70</f>
        <v>2.2816132181667914</v>
      </c>
      <c r="AB29">
        <f t="shared" si="2"/>
        <v>0.75589762844785957</v>
      </c>
      <c r="AC29">
        <f t="shared" si="3"/>
        <v>7.4208501498500778E-2</v>
      </c>
      <c r="AF29">
        <f t="shared" si="0"/>
        <v>0.26</v>
      </c>
    </row>
    <row r="30" spans="21:32" x14ac:dyDescent="0.3">
      <c r="U30" s="86">
        <f>MSY!A71</f>
        <v>0.27</v>
      </c>
      <c r="V30" s="86">
        <f>MSY!B71</f>
        <v>0.46704720968245955</v>
      </c>
      <c r="W30" s="86">
        <f>MSY!C71</f>
        <v>0.65160757711605088</v>
      </c>
      <c r="X30" s="86">
        <f>MSY!D71</f>
        <v>4.037962404414265</v>
      </c>
      <c r="Y30" s="86">
        <f>MSY!E71</f>
        <v>3.5168667681830086</v>
      </c>
      <c r="Z30" s="86">
        <f>MSY!F71</f>
        <v>14.200975791256885</v>
      </c>
      <c r="AA30" s="86">
        <f>MSY!G71</f>
        <v>2.2916170338556863</v>
      </c>
      <c r="AB30">
        <f t="shared" si="2"/>
        <v>0.70906464712097095</v>
      </c>
      <c r="AC30">
        <f t="shared" si="3"/>
        <v>2.7375520171612155E-2</v>
      </c>
      <c r="AF30">
        <f t="shared" si="0"/>
        <v>0.27</v>
      </c>
    </row>
    <row r="31" spans="21:32" x14ac:dyDescent="0.3">
      <c r="U31" s="86">
        <f>MSY!A72</f>
        <v>0.28000000000000003</v>
      </c>
      <c r="V31" s="86">
        <f>MSY!B72</f>
        <v>0.45926445754849993</v>
      </c>
      <c r="W31" s="86">
        <f>MSY!C72</f>
        <v>0.65847333959100185</v>
      </c>
      <c r="X31" s="86">
        <f>MSY!D72</f>
        <v>3.970674858598136</v>
      </c>
      <c r="Y31" s="86">
        <f>MSY!E72</f>
        <v>3.4927333754199124</v>
      </c>
      <c r="Z31" s="86">
        <f>MSY!F72</f>
        <v>13.86850860156645</v>
      </c>
      <c r="AA31" s="86">
        <f>MSY!G72</f>
        <v>2.2998718100137019</v>
      </c>
      <c r="AB31">
        <f t="shared" si="2"/>
        <v>0.66577629846840247</v>
      </c>
      <c r="AC31">
        <f t="shared" si="3"/>
        <v>1.591282848095632E-2</v>
      </c>
      <c r="AF31">
        <f t="shared" si="0"/>
        <v>0.28000000000000003</v>
      </c>
    </row>
    <row r="32" spans="21:32" x14ac:dyDescent="0.3">
      <c r="U32" s="86">
        <f>MSY!A73</f>
        <v>0.28999999999999998</v>
      </c>
      <c r="V32" s="86">
        <f>MSY!B73</f>
        <v>0.45181926100204461</v>
      </c>
      <c r="W32" s="86">
        <f>MSY!C73</f>
        <v>0.66492310308541891</v>
      </c>
      <c r="X32" s="86">
        <f>MSY!D73</f>
        <v>3.9063057260462011</v>
      </c>
      <c r="Y32" s="86">
        <f>MSY!E73</f>
        <v>3.4688685979081861</v>
      </c>
      <c r="Z32" s="86">
        <f>MSY!F73</f>
        <v>13.550461266910602</v>
      </c>
      <c r="AA32" s="86">
        <f>MSY!G73</f>
        <v>2.3065308723166775</v>
      </c>
      <c r="AB32">
        <f t="shared" si="2"/>
        <v>0.62571470164534249</v>
      </c>
      <c r="AC32">
        <f t="shared" si="3"/>
        <v>5.5974425304016306E-2</v>
      </c>
      <c r="AF32">
        <f t="shared" si="0"/>
        <v>0.28999999999999998</v>
      </c>
    </row>
    <row r="33" spans="21:32" x14ac:dyDescent="0.3">
      <c r="U33" s="86">
        <f>MSY!A74</f>
        <v>0.3</v>
      </c>
      <c r="V33" s="86">
        <f>MSY!B74</f>
        <v>0.44469054066934505</v>
      </c>
      <c r="W33" s="86">
        <f>MSY!C74</f>
        <v>0.67098763362390867</v>
      </c>
      <c r="X33" s="86">
        <f>MSY!D74</f>
        <v>3.844672760259733</v>
      </c>
      <c r="Y33" s="86">
        <f>MSY!E74</f>
        <v>3.4452693726785366</v>
      </c>
      <c r="Z33" s="86">
        <f>MSY!F74</f>
        <v>13.245933308894308</v>
      </c>
      <c r="AA33" s="86">
        <f>MSY!G74</f>
        <v>2.3117331435704997</v>
      </c>
      <c r="AB33">
        <f t="shared" si="2"/>
        <v>0.58859503114884137</v>
      </c>
      <c r="AC33">
        <f t="shared" si="3"/>
        <v>9.3094095800517418E-2</v>
      </c>
      <c r="AF33">
        <f t="shared" si="0"/>
        <v>0.3</v>
      </c>
    </row>
    <row r="34" spans="21:32" x14ac:dyDescent="0.3">
      <c r="U34" s="86">
        <f>MSY!A75</f>
        <v>0.31</v>
      </c>
      <c r="V34" s="86">
        <f>MSY!B75</f>
        <v>0.43785890087636159</v>
      </c>
      <c r="W34" s="86">
        <f>MSY!C75</f>
        <v>0.67669500370839575</v>
      </c>
      <c r="X34" s="86">
        <f>MSY!D75</f>
        <v>3.7856082715470758</v>
      </c>
      <c r="Y34" s="86">
        <f>MSY!E75</f>
        <v>3.4219325521729305</v>
      </c>
      <c r="Z34" s="86">
        <f>MSY!F75</f>
        <v>12.954096174182045</v>
      </c>
      <c r="AA34" s="86">
        <f>MSY!G75</f>
        <v>2.3156046610825411</v>
      </c>
      <c r="AB34">
        <f t="shared" si="2"/>
        <v>0.55416158490289535</v>
      </c>
      <c r="AC34">
        <f t="shared" si="3"/>
        <v>0.12752754204646344</v>
      </c>
      <c r="AF34">
        <f t="shared" si="0"/>
        <v>0.31</v>
      </c>
    </row>
    <row r="35" spans="21:32" x14ac:dyDescent="0.3">
      <c r="U35" s="86">
        <f>MSY!A76</f>
        <v>0.32</v>
      </c>
      <c r="V35" s="86">
        <f>MSY!B76</f>
        <v>0.43130646666254246</v>
      </c>
      <c r="W35" s="86">
        <f>MSY!C76</f>
        <v>0.68207086532196659</v>
      </c>
      <c r="X35" s="86">
        <f>MSY!D76</f>
        <v>3.7289577178893669</v>
      </c>
      <c r="Y35" s="86">
        <f>MSY!E76</f>
        <v>3.3988549162609152</v>
      </c>
      <c r="Z35" s="86">
        <f>MSY!F76</f>
        <v>12.674186271977357</v>
      </c>
      <c r="AA35" s="86">
        <f>MSY!G76</f>
        <v>2.3182599138379025</v>
      </c>
      <c r="AB35">
        <f t="shared" si="2"/>
        <v>0.52218438077999929</v>
      </c>
      <c r="AC35">
        <f t="shared" si="3"/>
        <v>0.1595047461693595</v>
      </c>
      <c r="AF35">
        <f t="shared" si="0"/>
        <v>0.32</v>
      </c>
    </row>
    <row r="36" spans="21:32" x14ac:dyDescent="0.3">
      <c r="U36" s="86">
        <f>MSY!A77</f>
        <v>0.33</v>
      </c>
      <c r="V36" s="86">
        <f>MSY!B77</f>
        <v>0.42501673927986727</v>
      </c>
      <c r="W36" s="86">
        <f>MSY!C77</f>
        <v>0.68713869132399574</v>
      </c>
      <c r="X36" s="86">
        <f>MSY!D77</f>
        <v>3.6745784556247987</v>
      </c>
      <c r="Y36" s="86">
        <f>MSY!E77</f>
        <v>3.3760331833914146</v>
      </c>
      <c r="Z36" s="86">
        <f>MSY!F77</f>
        <v>12.405498801164498</v>
      </c>
      <c r="AA36" s="86">
        <f>MSY!G77</f>
        <v>2.3198030235019598</v>
      </c>
      <c r="AB36">
        <f t="shared" si="2"/>
        <v>0.49245620231682063</v>
      </c>
      <c r="AC36">
        <f t="shared" si="3"/>
        <v>0.18923292463253816</v>
      </c>
      <c r="AF36">
        <f t="shared" si="0"/>
        <v>0.33</v>
      </c>
    </row>
    <row r="37" spans="21:32" x14ac:dyDescent="0.3">
      <c r="U37" s="86">
        <f>MSY!A78</f>
        <v>0.34</v>
      </c>
      <c r="V37" s="86">
        <f>MSY!B78</f>
        <v>0.41897446778074526</v>
      </c>
      <c r="W37" s="86">
        <f>MSY!C78</f>
        <v>0.69191998936830301</v>
      </c>
      <c r="X37" s="86">
        <f>MSY!D78</f>
        <v>3.6223386292327158</v>
      </c>
      <c r="Y37" s="86">
        <f>MSY!E78</f>
        <v>3.3534640209256543</v>
      </c>
      <c r="Z37" s="86">
        <f>MSY!F78</f>
        <v>12.147382264741063</v>
      </c>
      <c r="AA37" s="86">
        <f>MSY!G78</f>
        <v>2.3203287897058655</v>
      </c>
      <c r="AB37">
        <f t="shared" si="2"/>
        <v>0.46479002748086118</v>
      </c>
      <c r="AC37">
        <f t="shared" si="3"/>
        <v>0.21689909946849761</v>
      </c>
      <c r="AF37">
        <f t="shared" si="0"/>
        <v>0.34</v>
      </c>
    </row>
    <row r="38" spans="21:32" x14ac:dyDescent="0.3">
      <c r="U38" s="86">
        <f>MSY!A79</f>
        <v>0.35</v>
      </c>
      <c r="V38" s="86">
        <f>MSY!B79</f>
        <v>0.41316553464675532</v>
      </c>
      <c r="W38" s="86">
        <f>MSY!C79</f>
        <v>0.69643449187361295</v>
      </c>
      <c r="X38" s="86">
        <f>MSY!D79</f>
        <v>3.5721161825109902</v>
      </c>
      <c r="Y38" s="86">
        <f>MSY!E79</f>
        <v>3.331144054695732</v>
      </c>
      <c r="Z38" s="86">
        <f>MSY!F79</f>
        <v>11.899233584053899</v>
      </c>
      <c r="AA38" s="86">
        <f>MSY!G79</f>
        <v>2.3199236170898287</v>
      </c>
      <c r="AB38">
        <f t="shared" si="2"/>
        <v>0.43901678508318581</v>
      </c>
      <c r="AC38">
        <f t="shared" si="3"/>
        <v>0.24267234186617298</v>
      </c>
      <c r="AF38">
        <f t="shared" si="0"/>
        <v>0.35</v>
      </c>
    </row>
    <row r="39" spans="21:32" x14ac:dyDescent="0.3">
      <c r="U39" s="86">
        <f>MSY!A80</f>
        <v>0.36</v>
      </c>
      <c r="V39" s="86">
        <f>MSY!B80</f>
        <v>0.40757685370266106</v>
      </c>
      <c r="W39" s="86">
        <f>MSY!C80</f>
        <v>0.70070032506996671</v>
      </c>
      <c r="X39" s="86">
        <f>MSY!D80</f>
        <v>3.5237979759685256</v>
      </c>
      <c r="Y39" s="86">
        <f>MSY!E80</f>
        <v>3.309069877832036</v>
      </c>
      <c r="Z39" s="86">
        <f>MSY!F80</f>
        <v>11.660493737842945</v>
      </c>
      <c r="AA39" s="86">
        <f>MSY!G80</f>
        <v>2.3186663390761426</v>
      </c>
      <c r="AB39">
        <f t="shared" si="2"/>
        <v>0.41498339226924658</v>
      </c>
      <c r="AC39">
        <f t="shared" si="3"/>
        <v>0.26670573468011222</v>
      </c>
      <c r="AF39">
        <f t="shared" si="0"/>
        <v>0.36</v>
      </c>
    </row>
    <row r="40" spans="21:32" x14ac:dyDescent="0.3">
      <c r="U40" s="86">
        <f>MSY!A81</f>
        <v>0.37</v>
      </c>
      <c r="V40" s="86">
        <f>MSY!B81</f>
        <v>0.40219627880642972</v>
      </c>
      <c r="W40" s="86">
        <f>MSY!C81</f>
        <v>0.70473415971899789</v>
      </c>
      <c r="X40" s="86">
        <f>MSY!D81</f>
        <v>3.4772789973841358</v>
      </c>
      <c r="Y40" s="86">
        <f>MSY!E81</f>
        <v>3.2872380589013401</v>
      </c>
      <c r="Z40" s="86">
        <f>MSY!F81</f>
        <v>11.430643861619425</v>
      </c>
      <c r="AA40" s="86">
        <f>MSY!G81</f>
        <v>2.3166289512361455</v>
      </c>
      <c r="AB40">
        <f t="shared" si="2"/>
        <v>0.39255103381826106</v>
      </c>
      <c r="AC40">
        <f t="shared" si="3"/>
        <v>0.28913809313109773</v>
      </c>
      <c r="AF40">
        <f t="shared" si="0"/>
        <v>0.37</v>
      </c>
    </row>
    <row r="41" spans="21:32" x14ac:dyDescent="0.3">
      <c r="U41" s="86">
        <f>MSY!A82</f>
        <v>0.38</v>
      </c>
      <c r="V41" s="86">
        <f>MSY!B82</f>
        <v>0.39701252201407877</v>
      </c>
      <c r="W41" s="86">
        <f>MSY!C82</f>
        <v>0.70855134574633194</v>
      </c>
      <c r="X41" s="86">
        <f>MSY!D82</f>
        <v>3.4324616542822004</v>
      </c>
      <c r="Y41" s="86">
        <f>MSY!E82</f>
        <v>3.2656451493958984</v>
      </c>
      <c r="Z41" s="86">
        <f>MSY!F82</f>
        <v>11.209201751794087</v>
      </c>
      <c r="AA41" s="86">
        <f>MSY!G82</f>
        <v>2.3138772653344453</v>
      </c>
      <c r="AB41">
        <f t="shared" si="2"/>
        <v>0.37159365003214229</v>
      </c>
      <c r="AC41">
        <f t="shared" si="3"/>
        <v>0.31009547691721651</v>
      </c>
      <c r="AF41">
        <f t="shared" si="0"/>
        <v>0.38</v>
      </c>
    </row>
    <row r="42" spans="21:32" x14ac:dyDescent="0.3">
      <c r="U42" s="86">
        <f>MSY!A83</f>
        <v>0.39</v>
      </c>
      <c r="V42" s="86">
        <f>MSY!B83</f>
        <v>0.3920150800945556</v>
      </c>
      <c r="W42" s="86">
        <f>MSY!C83</f>
        <v>0.71216603271964074</v>
      </c>
      <c r="X42" s="86">
        <f>MSY!D83</f>
        <v>3.3892551386004168</v>
      </c>
      <c r="Y42" s="86">
        <f>MSY!E83</f>
        <v>3.2442876906123534</v>
      </c>
      <c r="Z42" s="86">
        <f>MSY!F83</f>
        <v>10.995718726505999</v>
      </c>
      <c r="AA42" s="86">
        <f>MSY!G83</f>
        <v>2.3104714936245649</v>
      </c>
      <c r="AB42">
        <f t="shared" si="2"/>
        <v>0.35199660502840369</v>
      </c>
      <c r="AC42">
        <f t="shared" si="3"/>
        <v>0.32969252192095511</v>
      </c>
      <c r="AF42">
        <f t="shared" si="0"/>
        <v>0.39</v>
      </c>
    </row>
    <row r="43" spans="21:32" x14ac:dyDescent="0.3">
      <c r="U43" s="86">
        <f>MSY!A84</f>
        <v>0.4</v>
      </c>
      <c r="V43" s="86">
        <f>MSY!B84</f>
        <v>0.38719416841978377</v>
      </c>
      <c r="W43" s="86">
        <f>MSY!C84</f>
        <v>0.71559127784690002</v>
      </c>
      <c r="X43" s="86">
        <f>MSY!D84</f>
        <v>3.3475748551212252</v>
      </c>
      <c r="Y43" s="86">
        <f>MSY!E84</f>
        <v>3.2231622199576879</v>
      </c>
      <c r="Z43" s="86">
        <f>MSY!F84</f>
        <v>10.789776801507063</v>
      </c>
      <c r="AA43" s="86">
        <f>MSY!G84</f>
        <v>2.306466771687373</v>
      </c>
      <c r="AB43">
        <f t="shared" si="2"/>
        <v>0.33365551145132571</v>
      </c>
      <c r="AC43">
        <f t="shared" si="3"/>
        <v>0.34803361549803308</v>
      </c>
      <c r="AF43">
        <f t="shared" si="0"/>
        <v>0.4</v>
      </c>
    </row>
    <row r="44" spans="21:32" x14ac:dyDescent="0.3">
      <c r="U44" s="86">
        <f>MSY!A85</f>
        <v>0.41</v>
      </c>
      <c r="V44" s="86">
        <f>MSY!B85</f>
        <v>0.3825406613828321</v>
      </c>
      <c r="W44" s="86">
        <f>MSY!C85</f>
        <v>0.71883914294866724</v>
      </c>
      <c r="X44" s="86">
        <f>MSY!D85</f>
        <v>3.307341906343598</v>
      </c>
      <c r="Y44" s="86">
        <f>MSY!E85</f>
        <v>3.2022652767178648</v>
      </c>
      <c r="Z44" s="86">
        <f>MSY!F85</f>
        <v>10.590986144917974</v>
      </c>
      <c r="AA44" s="86">
        <f>MSY!G85</f>
        <v>2.3019136270101468</v>
      </c>
      <c r="AB44">
        <f t="shared" si="2"/>
        <v>0.31647519113352013</v>
      </c>
      <c r="AC44">
        <f t="shared" si="3"/>
        <v>0.36521393581583866</v>
      </c>
      <c r="AF44">
        <f t="shared" si="0"/>
        <v>0.41</v>
      </c>
    </row>
    <row r="45" spans="21:32" x14ac:dyDescent="0.3">
      <c r="U45" s="86">
        <f>MSY!A86</f>
        <v>0.42</v>
      </c>
      <c r="V45" s="86">
        <f>MSY!B86</f>
        <v>0.37804603860644587</v>
      </c>
      <c r="W45" s="86">
        <f>MSY!C86</f>
        <v>0.72192078166957041</v>
      </c>
      <c r="X45" s="86">
        <f>MSY!D86</f>
        <v>3.2684826274167182</v>
      </c>
      <c r="Y45" s="86">
        <f>MSY!E86</f>
        <v>3.1815934073231986</v>
      </c>
      <c r="Z45" s="86">
        <f>MSY!F86</f>
        <v>10.398982779339436</v>
      </c>
      <c r="AA45" s="86">
        <f>MSY!G86</f>
        <v>2.2968583995695155</v>
      </c>
      <c r="AB45">
        <f t="shared" si="2"/>
        <v>0.3003687541931252</v>
      </c>
      <c r="AC45">
        <f t="shared" si="3"/>
        <v>0.38132037275623359</v>
      </c>
      <c r="AF45">
        <f t="shared" si="0"/>
        <v>0.42</v>
      </c>
    </row>
    <row r="46" spans="21:32" x14ac:dyDescent="0.3">
      <c r="U46" s="86">
        <f>MSY!A87</f>
        <v>0.43</v>
      </c>
      <c r="V46" s="86">
        <f>MSY!B87</f>
        <v>0.37370233629784722</v>
      </c>
      <c r="W46" s="86">
        <f>MSY!C87</f>
        <v>0.72484651803252975</v>
      </c>
      <c r="X46" s="86">
        <f>MSY!D87</f>
        <v>3.2309281655668896</v>
      </c>
      <c r="Y46" s="86">
        <f>MSY!E87</f>
        <v>3.1611431701429229</v>
      </c>
      <c r="Z46" s="86">
        <f>MSY!F87</f>
        <v>10.213426503804175</v>
      </c>
      <c r="AA46" s="86">
        <f>MSY!G87</f>
        <v>2.2913436198804105</v>
      </c>
      <c r="AB46">
        <f t="shared" si="2"/>
        <v>0.28525678154058237</v>
      </c>
      <c r="AC46">
        <f t="shared" si="3"/>
        <v>0.39643234540877642</v>
      </c>
      <c r="AF46">
        <f t="shared" si="0"/>
        <v>0.43</v>
      </c>
    </row>
    <row r="47" spans="21:32" x14ac:dyDescent="0.3">
      <c r="U47" s="86">
        <f>MSY!A88</f>
        <v>0.44</v>
      </c>
      <c r="V47" s="86">
        <f>MSY!B88</f>
        <v>0.36950210318622317</v>
      </c>
      <c r="W47" s="86">
        <f>MSY!C88</f>
        <v>0.72762591730038206</v>
      </c>
      <c r="X47" s="86">
        <f>MSY!D88</f>
        <v>3.194614099145114</v>
      </c>
      <c r="Y47" s="86">
        <f>MSY!E88</f>
        <v>3.1409111398398122</v>
      </c>
      <c r="Z47" s="86">
        <f>MSY!F88</f>
        <v>10.033999011494213</v>
      </c>
      <c r="AA47" s="86">
        <f>MSY!G88</f>
        <v>2.285408349284932</v>
      </c>
      <c r="AB47">
        <f t="shared" si="2"/>
        <v>0.27106659787141085</v>
      </c>
      <c r="AC47">
        <f t="shared" si="3"/>
        <v>0.41062252907794794</v>
      </c>
      <c r="AF47">
        <f t="shared" si="0"/>
        <v>0.44</v>
      </c>
    </row>
    <row r="48" spans="21:32" x14ac:dyDescent="0.3">
      <c r="U48" s="86">
        <f>MSY!A89</f>
        <v>0.45</v>
      </c>
      <c r="V48" s="86">
        <f>MSY!B89</f>
        <v>0.36543836054868317</v>
      </c>
      <c r="W48" s="86">
        <f>MSY!C89</f>
        <v>0.73026784998995797</v>
      </c>
      <c r="X48" s="86">
        <f>MSY!D89</f>
        <v>3.1594800920224544</v>
      </c>
      <c r="Y48" s="86">
        <f>MSY!E89</f>
        <v>3.1208939113142136</v>
      </c>
      <c r="Z48" s="86">
        <f>MSY!F89</f>
        <v>9.8604021821113488</v>
      </c>
      <c r="AA48" s="86">
        <f>MSY!G89</f>
        <v>2.2790884866621814</v>
      </c>
      <c r="AB48">
        <f t="shared" si="2"/>
        <v>0.25773162400162231</v>
      </c>
      <c r="AC48">
        <f t="shared" si="3"/>
        <v>0.42395750294773649</v>
      </c>
      <c r="AF48">
        <f t="shared" si="0"/>
        <v>0.45</v>
      </c>
    </row>
    <row r="49" spans="21:32" x14ac:dyDescent="0.3">
      <c r="U49" s="86">
        <f>MSY!A90</f>
        <v>0.46</v>
      </c>
      <c r="V49" s="86">
        <f>MSY!B90</f>
        <v>0.36150456589037933</v>
      </c>
      <c r="W49" s="86">
        <f>MSY!C90</f>
        <v>0.73278054978041451</v>
      </c>
      <c r="X49" s="86">
        <f>MSY!D90</f>
        <v>3.1254695795782919</v>
      </c>
      <c r="Y49" s="86">
        <f>MSY!E90</f>
        <v>3.1010881032652815</v>
      </c>
      <c r="Z49" s="86">
        <f>MSY!F90</f>
        <v>9.6923565303477819</v>
      </c>
      <c r="AA49" s="86">
        <f>MSY!G90</f>
        <v>2.2724170452282357</v>
      </c>
      <c r="AB49">
        <f t="shared" si="2"/>
        <v>0.24519079891598453</v>
      </c>
      <c r="AC49">
        <f t="shared" si="3"/>
        <v>0.43649832803337429</v>
      </c>
      <c r="AF49">
        <f t="shared" si="0"/>
        <v>0.46</v>
      </c>
    </row>
    <row r="50" spans="21:32" x14ac:dyDescent="0.3">
      <c r="U50" s="86">
        <f>MSY!A91</f>
        <v>0.47</v>
      </c>
      <c r="V50" s="86">
        <f>MSY!B91</f>
        <v>0.35769457989634645</v>
      </c>
      <c r="W50" s="86">
        <f>MSY!C91</f>
        <v>0.73517166596827765</v>
      </c>
      <c r="X50" s="86">
        <f>MSY!D91</f>
        <v>3.0925294829749754</v>
      </c>
      <c r="Y50" s="86">
        <f>MSY!E91</f>
        <v>3.0814903613957667</v>
      </c>
      <c r="Z50" s="86">
        <f>MSY!F91</f>
        <v>9.5295997941196227</v>
      </c>
      <c r="AA50" s="86">
        <f>MSY!G91</f>
        <v>2.2654244026525157</v>
      </c>
      <c r="AB50">
        <f t="shared" si="2"/>
        <v>0.23338806318735683</v>
      </c>
      <c r="AC50">
        <f t="shared" si="3"/>
        <v>0.44830106376200196</v>
      </c>
      <c r="AF50">
        <f t="shared" si="0"/>
        <v>0.47</v>
      </c>
    </row>
    <row r="51" spans="21:32" x14ac:dyDescent="0.3">
      <c r="U51" s="86">
        <f>MSY!A92</f>
        <v>0.48</v>
      </c>
      <c r="V51" s="86">
        <f>MSY!B92</f>
        <v>0.35400263631762141</v>
      </c>
      <c r="W51" s="86">
        <f>MSY!C92</f>
        <v>0.73744831104416164</v>
      </c>
      <c r="X51" s="86">
        <f>MSY!D92</f>
        <v>3.0606099488014471</v>
      </c>
      <c r="Y51" s="86">
        <f>MSY!E92</f>
        <v>3.0620973612852325</v>
      </c>
      <c r="Z51" s="86">
        <f>MSY!F92</f>
        <v>9.3718856481482433</v>
      </c>
      <c r="AA51" s="86">
        <f>MSY!G92</f>
        <v>2.2581385273325787</v>
      </c>
      <c r="AB51">
        <f t="shared" si="2"/>
        <v>0.22227189652551085</v>
      </c>
      <c r="AC51">
        <f t="shared" si="3"/>
        <v>0.45941723042384797</v>
      </c>
      <c r="AF51">
        <f t="shared" si="0"/>
        <v>0.48</v>
      </c>
    </row>
    <row r="52" spans="21:32" x14ac:dyDescent="0.3">
      <c r="U52" s="86">
        <f>MSY!A93</f>
        <v>0.49</v>
      </c>
      <c r="V52" s="86">
        <f>MSY!B93</f>
        <v>0.35042331449334041</v>
      </c>
      <c r="W52" s="86">
        <f>MSY!C93</f>
        <v>0.73961710389878788</v>
      </c>
      <c r="X52" s="86">
        <f>MSY!D93</f>
        <v>3.029664111506813</v>
      </c>
      <c r="Y52" s="86">
        <f>MSY!E93</f>
        <v>3.0429058109552307</v>
      </c>
      <c r="Z52" s="86">
        <f>MSY!F93</f>
        <v>9.2189825301465955</v>
      </c>
      <c r="AA52" s="86">
        <f>MSY!G93</f>
        <v>2.2505851833355002</v>
      </c>
      <c r="AB52">
        <f t="shared" si="2"/>
        <v>0.21179490315553753</v>
      </c>
      <c r="AC52">
        <f t="shared" si="3"/>
        <v>0.46989422379382129</v>
      </c>
      <c r="AF52">
        <f t="shared" si="0"/>
        <v>0.49</v>
      </c>
    </row>
    <row r="53" spans="21:32" x14ac:dyDescent="0.3">
      <c r="U53" s="86">
        <f>MSY!A94</f>
        <v>0.5</v>
      </c>
      <c r="V53" s="86">
        <f>MSY!B94</f>
        <v>0.34695151424461262</v>
      </c>
      <c r="W53" s="86">
        <f>MSY!C94</f>
        <v>0.7416842091072724</v>
      </c>
      <c r="X53" s="86">
        <f>MSY!D94</f>
        <v>2.9996478763396439</v>
      </c>
      <c r="Y53" s="86">
        <f>MSY!E94</f>
        <v>3.023912453148585</v>
      </c>
      <c r="Z53" s="86">
        <f>MSY!F94</f>
        <v>9.0706725683241558</v>
      </c>
      <c r="AA53" s="86">
        <f>MSY!G94</f>
        <v>2.24278811622314</v>
      </c>
      <c r="AB53">
        <f t="shared" si="2"/>
        <v>0.20191343953387381</v>
      </c>
      <c r="AC53">
        <f t="shared" si="3"/>
        <v>0.47977568741548499</v>
      </c>
      <c r="AF53">
        <f t="shared" si="0"/>
        <v>0.5</v>
      </c>
    </row>
    <row r="54" spans="21:32" x14ac:dyDescent="0.3">
      <c r="U54" s="86">
        <f>MSY!A95</f>
        <v>0.51</v>
      </c>
      <c r="V54" s="86">
        <f>MSY!B95</f>
        <v>0.34358243290575535</v>
      </c>
      <c r="W54" s="86">
        <f>MSY!C95</f>
        <v>0.74365537268946535</v>
      </c>
      <c r="X54" s="86">
        <f>MSY!D95</f>
        <v>2.9705197207663159</v>
      </c>
      <c r="Y54" s="86">
        <f>MSY!E95</f>
        <v>3.0051140673436554</v>
      </c>
      <c r="Z54" s="86">
        <f>MSY!F95</f>
        <v>8.9267506001966002</v>
      </c>
      <c r="AA54" s="86">
        <f>MSY!G95</f>
        <v>2.2347692217248012</v>
      </c>
      <c r="AB54">
        <f t="shared" si="2"/>
        <v>0.19258727960431138</v>
      </c>
      <c r="AC54">
        <f t="shared" si="3"/>
        <v>0.48910184734504741</v>
      </c>
      <c r="AF54">
        <f t="shared" si="0"/>
        <v>0.51</v>
      </c>
    </row>
    <row r="55" spans="21:32" x14ac:dyDescent="0.3">
      <c r="U55" s="86">
        <f>MSY!A96</f>
        <v>0.52</v>
      </c>
      <c r="V55" s="86">
        <f>MSY!B96</f>
        <v>0.34031154428453309</v>
      </c>
      <c r="W55" s="86">
        <f>MSY!C96</f>
        <v>0.74553595469935863</v>
      </c>
      <c r="X55" s="86">
        <f>MSY!D96</f>
        <v>2.9422405125669959</v>
      </c>
      <c r="Y55" s="86">
        <f>MSY!E96</f>
        <v>2.9865074715232311</v>
      </c>
      <c r="Z55" s="86">
        <f>MSY!F96</f>
        <v>8.7870232737996758</v>
      </c>
      <c r="AA55" s="86">
        <f>MSY!G96</f>
        <v>2.2265486989988399</v>
      </c>
      <c r="AB55">
        <f t="shared" si="2"/>
        <v>0.18377931339528791</v>
      </c>
      <c r="AC55">
        <f t="shared" si="3"/>
        <v>0.49790981355407088</v>
      </c>
      <c r="AF55">
        <f t="shared" si="0"/>
        <v>0.52</v>
      </c>
    </row>
    <row r="56" spans="21:32" x14ac:dyDescent="0.3">
      <c r="U56" s="86">
        <f>MSY!A97</f>
        <v>0.53</v>
      </c>
      <c r="V56" s="86">
        <f>MSY!B97</f>
        <v>0.33713457936589597</v>
      </c>
      <c r="W56" s="86">
        <f>MSY!C97</f>
        <v>0.74733095895737112</v>
      </c>
      <c r="X56" s="86">
        <f>MSY!D97</f>
        <v>2.9147733430054399</v>
      </c>
      <c r="Y56" s="86">
        <f>MSY!E97</f>
        <v>2.968089523716491</v>
      </c>
      <c r="Z56" s="86">
        <f>MSY!F97</f>
        <v>8.6513082233825429</v>
      </c>
      <c r="AA56" s="86">
        <f>MSY!G97</f>
        <v>2.2181451900303721</v>
      </c>
      <c r="AB56">
        <f t="shared" si="2"/>
        <v>0.17545527527694765</v>
      </c>
      <c r="AC56">
        <f t="shared" si="3"/>
        <v>0.50623385167241119</v>
      </c>
      <c r="AF56">
        <f t="shared" si="0"/>
        <v>0.53</v>
      </c>
    </row>
    <row r="57" spans="21:32" x14ac:dyDescent="0.3">
      <c r="U57" s="86">
        <f>MSY!A98</f>
        <v>0.54</v>
      </c>
      <c r="V57" s="86">
        <f>MSY!B98</f>
        <v>0.3340475085937758</v>
      </c>
      <c r="W57" s="86">
        <f>MSY!C98</f>
        <v>0.74904506020489758</v>
      </c>
      <c r="X57" s="86">
        <f>MSY!D98</f>
        <v>2.8880833736422518</v>
      </c>
      <c r="Y57" s="86">
        <f>MSY!E98</f>
        <v>2.9498571233313493</v>
      </c>
      <c r="Z57" s="86">
        <f>MSY!F98</f>
        <v>8.5194333125134314</v>
      </c>
      <c r="AA57" s="86">
        <f>MSY!G98</f>
        <v>2.2095759065415765</v>
      </c>
      <c r="AB57">
        <f t="shared" si="2"/>
        <v>0.16758349864341979</v>
      </c>
      <c r="AC57">
        <f t="shared" si="3"/>
        <v>0.51410562830593898</v>
      </c>
      <c r="AF57">
        <f t="shared" si="0"/>
        <v>0.54</v>
      </c>
    </row>
    <row r="58" spans="21:32" x14ac:dyDescent="0.3">
      <c r="U58" s="86">
        <f>MSY!A99</f>
        <v>0.55000000000000004</v>
      </c>
      <c r="V58" s="86">
        <f>MSY!B99</f>
        <v>0.33104652558316783</v>
      </c>
      <c r="W58" s="86">
        <f>MSY!C99</f>
        <v>0.75068262893023951</v>
      </c>
      <c r="X58" s="86">
        <f>MSY!D99</f>
        <v>2.8621376955139963</v>
      </c>
      <c r="Y58" s="86">
        <f>MSY!E99</f>
        <v>2.9318072122934336</v>
      </c>
      <c r="Z58" s="86">
        <f>MSY!F99</f>
        <v>8.39123593828484</v>
      </c>
      <c r="AA58" s="86">
        <f>MSY!G99</f>
        <v>2.2008567456410715</v>
      </c>
      <c r="AB58">
        <f t="shared" si="2"/>
        <v>0.16013469417453505</v>
      </c>
      <c r="AC58">
        <f t="shared" si="3"/>
        <v>0.52155443277482372</v>
      </c>
      <c r="AF58">
        <f t="shared" si="0"/>
        <v>0.55000000000000004</v>
      </c>
    </row>
    <row r="59" spans="21:32" x14ac:dyDescent="0.3">
      <c r="U59" s="86">
        <f>MSY!A100</f>
        <v>0.56000000000000005</v>
      </c>
      <c r="V59" s="86">
        <f>MSY!B100</f>
        <v>0.32812803213029046</v>
      </c>
      <c r="W59" s="86">
        <f>MSY!C100</f>
        <v>0.75224775408838829</v>
      </c>
      <c r="X59" s="86">
        <f>MSY!D100</f>
        <v>2.8369051995351415</v>
      </c>
      <c r="Y59" s="86">
        <f>MSY!E100</f>
        <v>2.9139367760068922</v>
      </c>
      <c r="Z59" s="86">
        <f>MSY!F100</f>
        <v>8.2665623909706198</v>
      </c>
      <c r="AA59" s="86">
        <f>MSY!G100</f>
        <v>2.1920023953067438</v>
      </c>
      <c r="AB59">
        <f t="shared" si="2"/>
        <v>0.15308174916778344</v>
      </c>
      <c r="AC59">
        <f t="shared" si="3"/>
        <v>0.5286073777815754</v>
      </c>
      <c r="AF59">
        <f t="shared" si="0"/>
        <v>0.56000000000000005</v>
      </c>
    </row>
    <row r="60" spans="21:32" x14ac:dyDescent="0.3">
      <c r="U60" s="86">
        <f>MSY!A101</f>
        <v>0.56999999999999995</v>
      </c>
      <c r="V60" s="86">
        <f>MSY!B101</f>
        <v>0.32528862440236567</v>
      </c>
      <c r="W60" s="86">
        <f>MSY!C101</f>
        <v>0.75374426391359517</v>
      </c>
      <c r="X60" s="86">
        <f>MSY!D101</f>
        <v>2.8123564570986779</v>
      </c>
      <c r="Y60" s="86">
        <f>MSY!E101</f>
        <v>2.8962428441512666</v>
      </c>
      <c r="Z60" s="86">
        <f>MSY!F101</f>
        <v>8.145267264074656</v>
      </c>
      <c r="AA60" s="86">
        <f>MSY!G101</f>
        <v>2.1830264306798139</v>
      </c>
      <c r="AB60">
        <f t="shared" si="2"/>
        <v>0.14639954572544592</v>
      </c>
      <c r="AC60">
        <f t="shared" si="3"/>
        <v>0.5352895812239129</v>
      </c>
      <c r="AF60">
        <f t="shared" si="0"/>
        <v>0.56999999999999995</v>
      </c>
    </row>
    <row r="61" spans="21:32" x14ac:dyDescent="0.3">
      <c r="U61" s="86">
        <f>MSY!A102</f>
        <v>0.57999999999999996</v>
      </c>
      <c r="V61" s="86">
        <f>MSY!B102</f>
        <v>0.32252508020073262</v>
      </c>
      <c r="W61" s="86">
        <f>MSY!C102</f>
        <v>0.75517574500289719</v>
      </c>
      <c r="X61" s="86">
        <f>MSY!D102</f>
        <v>2.7884636099564837</v>
      </c>
      <c r="Y61" s="86">
        <f>MSY!E102</f>
        <v>2.8787224913277503</v>
      </c>
      <c r="Z61" s="86">
        <f>MSY!F102</f>
        <v>8.0272129102307002</v>
      </c>
      <c r="AA61" s="86">
        <f>MSY!G102</f>
        <v>2.1739414020450298</v>
      </c>
      <c r="AB61">
        <f t="shared" si="2"/>
        <v>0.14006479583755771</v>
      </c>
      <c r="AC61">
        <f t="shared" si="3"/>
        <v>0.54162433111180108</v>
      </c>
      <c r="AF61">
        <f t="shared" si="0"/>
        <v>0.57999999999999996</v>
      </c>
    </row>
    <row r="62" spans="21:32" x14ac:dyDescent="0.3">
      <c r="U62" s="86">
        <f>MSY!A103</f>
        <v>0.59</v>
      </c>
      <c r="V62" s="86">
        <f>MSY!B103</f>
        <v>0.31983434720177595</v>
      </c>
      <c r="W62" s="86">
        <f>MSY!C103</f>
        <v>0.75654555983034633</v>
      </c>
      <c r="X62" s="86">
        <f>MSY!D103</f>
        <v>2.7652002685536075</v>
      </c>
      <c r="Y62" s="86">
        <f>MSY!E103</f>
        <v>2.8613728375672429</v>
      </c>
      <c r="Z62" s="86">
        <f>MSY!F103</f>
        <v>7.9122689388729395</v>
      </c>
      <c r="AA62" s="86">
        <f>MSY!G103</f>
        <v>2.1647589152806566</v>
      </c>
      <c r="AB62">
        <f t="shared" si="2"/>
        <v>0.13405589162507325</v>
      </c>
      <c r="AC62">
        <f t="shared" si="3"/>
        <v>0.54763323532428554</v>
      </c>
      <c r="AF62">
        <f t="shared" si="0"/>
        <v>0.59</v>
      </c>
    </row>
    <row r="63" spans="21:32" x14ac:dyDescent="0.3">
      <c r="U63" s="86">
        <f>MSY!A104</f>
        <v>0.6</v>
      </c>
      <c r="V63" s="86">
        <f>MSY!B104</f>
        <v>0.31721353208972275</v>
      </c>
      <c r="W63" s="86">
        <f>MSY!C104</f>
        <v>0.75785686283539866</v>
      </c>
      <c r="X63" s="86">
        <f>MSY!D104</f>
        <v>2.7425414180734027</v>
      </c>
      <c r="Y63" s="86">
        <f>MSY!E104</f>
        <v>2.8441910487118114</v>
      </c>
      <c r="Z63" s="86">
        <f>MSY!F104</f>
        <v>7.8003117520057694</v>
      </c>
      <c r="AA63" s="86">
        <f>MSY!G104</f>
        <v>2.1554897054812558</v>
      </c>
      <c r="AB63">
        <f t="shared" si="2"/>
        <v>0.12835276920382654</v>
      </c>
      <c r="AC63">
        <f t="shared" si="3"/>
        <v>0.55333635774553225</v>
      </c>
      <c r="AF63">
        <f t="shared" si="0"/>
        <v>0.6</v>
      </c>
    </row>
    <row r="64" spans="21:32" x14ac:dyDescent="0.3">
      <c r="U64" s="86">
        <f>MSY!A105</f>
        <v>0.61</v>
      </c>
      <c r="V64" s="86">
        <f>MSY!B105</f>
        <v>0.31465989050385901</v>
      </c>
      <c r="W64" s="86">
        <f>MSY!C105</f>
        <v>0.75911261521442286</v>
      </c>
      <c r="X64" s="86">
        <f>MSY!D105</f>
        <v>2.7204633315239142</v>
      </c>
      <c r="Y64" s="86">
        <f>MSY!E105</f>
        <v>2.8271743366803799</v>
      </c>
      <c r="Z64" s="86">
        <f>MSY!F105</f>
        <v>7.6912241147644185</v>
      </c>
      <c r="AA64" s="86">
        <f>MSY!G105</f>
        <v>2.1461437043845444</v>
      </c>
      <c r="AB64">
        <f t="shared" si="2"/>
        <v>0.12293678480133063</v>
      </c>
      <c r="AC64">
        <f t="shared" si="3"/>
        <v>0.55875234214802816</v>
      </c>
      <c r="AF64">
        <f t="shared" si="0"/>
        <v>0.61</v>
      </c>
    </row>
    <row r="65" spans="21:32" x14ac:dyDescent="0.3">
      <c r="U65" s="86">
        <f>MSY!A106</f>
        <v>0.62</v>
      </c>
      <c r="V65" s="86">
        <f>MSY!B106</f>
        <v>0.31217081773028965</v>
      </c>
      <c r="W65" s="86">
        <f>MSY!C106</f>
        <v>0.76031559853142527</v>
      </c>
      <c r="X65" s="86">
        <f>MSY!D106</f>
        <v>2.6989434892613779</v>
      </c>
      <c r="Y65" s="86">
        <f>MSY!E106</f>
        <v>2.8103199596287132</v>
      </c>
      <c r="Z65" s="86">
        <f>MSY!F106</f>
        <v>7.584894757781214</v>
      </c>
      <c r="AA65" s="86">
        <f>MSY!G106</f>
        <v>2.1367301021699161</v>
      </c>
      <c r="AB65">
        <f t="shared" si="2"/>
        <v>0.11779060190916191</v>
      </c>
      <c r="AC65">
        <f t="shared" si="3"/>
        <v>0.56389852504019689</v>
      </c>
      <c r="AF65">
        <f t="shared" si="0"/>
        <v>0.62</v>
      </c>
    </row>
    <row r="66" spans="21:32" x14ac:dyDescent="0.3">
      <c r="U66" s="86">
        <f>MSY!A107</f>
        <v>0.630000000000001</v>
      </c>
      <c r="V66" s="86">
        <f>MSY!B107</f>
        <v>0.30974384007510924</v>
      </c>
      <c r="W66" s="86">
        <f>MSY!C107</f>
        <v>0.76146842725260622</v>
      </c>
      <c r="X66" s="86">
        <f>MSY!D107</f>
        <v>2.6779605044050183</v>
      </c>
      <c r="Y66" s="86">
        <f>MSY!E107</f>
        <v>2.7936252220130862</v>
      </c>
      <c r="Z66" s="86">
        <f>MSY!F107</f>
        <v>7.4812180086607452</v>
      </c>
      <c r="AA66" s="86">
        <f>MSY!G107</f>
        <v>2.1272574041395176</v>
      </c>
      <c r="AB66">
        <f t="shared" si="2"/>
        <v>0.11289808838666462</v>
      </c>
      <c r="AC66">
        <f t="shared" si="3"/>
        <v>0.5687910385626942</v>
      </c>
      <c r="AF66">
        <f t="shared" ref="AF66:AF129" si="4">U66</f>
        <v>0.630000000000001</v>
      </c>
    </row>
    <row r="67" spans="21:32" x14ac:dyDescent="0.3">
      <c r="U67" s="86">
        <f>MSY!A108</f>
        <v>0.64000000000000101</v>
      </c>
      <c r="V67" s="86">
        <f>MSY!B108</f>
        <v>0.30737660686187851</v>
      </c>
      <c r="W67" s="86">
        <f>MSY!C108</f>
        <v>0.76257356029915868</v>
      </c>
      <c r="X67" s="86">
        <f>MSY!D108</f>
        <v>2.6574940536494185</v>
      </c>
      <c r="Y67" s="86">
        <f>MSY!E108</f>
        <v>2.7770874745663563</v>
      </c>
      <c r="Z67" s="86">
        <f>MSY!F108</f>
        <v>7.3800934501243711</v>
      </c>
      <c r="AA67" s="86">
        <f>MSY!G108</f>
        <v>2.1177334827422656</v>
      </c>
      <c r="AB67">
        <f t="shared" si="2"/>
        <v>0.10824422254858125</v>
      </c>
      <c r="AC67">
        <f t="shared" si="3"/>
        <v>0.57344490440077756</v>
      </c>
      <c r="AF67">
        <f t="shared" si="4"/>
        <v>0.64000000000000101</v>
      </c>
    </row>
    <row r="68" spans="21:32" x14ac:dyDescent="0.3">
      <c r="U68" s="86">
        <f>MSY!A109</f>
        <v>0.65000000000000102</v>
      </c>
      <c r="V68" s="86">
        <f>MSY!B109</f>
        <v>0.30506688300168533</v>
      </c>
      <c r="W68" s="86">
        <f>MSY!C109</f>
        <v>0.76363331170357784</v>
      </c>
      <c r="X68" s="86">
        <f>MSY!D109</f>
        <v>2.6375248130272984</v>
      </c>
      <c r="Y68" s="86">
        <f>MSY!E109</f>
        <v>2.7607041141945463</v>
      </c>
      <c r="Z68" s="86">
        <f>MSY!F109</f>
        <v>7.2814256026146635</v>
      </c>
      <c r="AA68" s="86">
        <f>MSY!G109</f>
        <v>2.1081656253560737</v>
      </c>
      <c r="AB68">
        <f t="shared" si="2"/>
        <v>0.1038150073719989</v>
      </c>
      <c r="AC68">
        <f t="shared" si="3"/>
        <v>0.5778741195773599</v>
      </c>
      <c r="AF68">
        <f t="shared" si="4"/>
        <v>0.65000000000000102</v>
      </c>
    </row>
    <row r="69" spans="21:32" x14ac:dyDescent="0.3">
      <c r="U69" s="86">
        <f>MSY!A110</f>
        <v>0.66000000000000103</v>
      </c>
      <c r="V69" s="86">
        <f>MSY!B110</f>
        <v>0.30281254208889358</v>
      </c>
      <c r="W69" s="86">
        <f>MSY!C110</f>
        <v>0.76464986044659866</v>
      </c>
      <c r="X69" s="86">
        <f>MSY!D110</f>
        <v>2.6180343982172518</v>
      </c>
      <c r="Y69" s="86">
        <f>MSY!E110</f>
        <v>2.7444725838014707</v>
      </c>
      <c r="Z69" s="86">
        <f>MSY!F110</f>
        <v>7.1851236293564282</v>
      </c>
      <c r="AA69" s="86">
        <f>MSY!G110</f>
        <v>2.0985605782033105</v>
      </c>
      <c r="AB69">
        <f t="shared" si="2"/>
        <v>9.9597392049577321E-2</v>
      </c>
      <c r="AC69">
        <f t="shared" si="3"/>
        <v>0.5820917348997815</v>
      </c>
      <c r="AF69">
        <f t="shared" si="4"/>
        <v>0.66000000000000103</v>
      </c>
    </row>
    <row r="70" spans="21:32" x14ac:dyDescent="0.3">
      <c r="U70" s="86">
        <f>MSY!A111</f>
        <v>0.67000000000000104</v>
      </c>
      <c r="V70" s="86">
        <f>MSY!B111</f>
        <v>0.30061155998000538</v>
      </c>
      <c r="W70" s="86">
        <f>MSY!C111</f>
        <v>0.76562525954456939</v>
      </c>
      <c r="X70" s="86">
        <f>MSY!D111</f>
        <v>2.599005309028342</v>
      </c>
      <c r="Y70" s="86">
        <f>MSY!E111</f>
        <v>2.7283903720483935</v>
      </c>
      <c r="Z70" s="86">
        <f>MSY!F111</f>
        <v>7.0911010620555874</v>
      </c>
      <c r="AA70" s="86">
        <f>MSY!G111</f>
        <v>2.0889245867384556</v>
      </c>
      <c r="AB70">
        <f t="shared" ref="AB70:AB133" si="5">(W71-W69)/(U71-U69)</f>
        <v>9.5579200196688113E-2</v>
      </c>
      <c r="AC70">
        <f t="shared" ref="AC70:AC133" si="6">ABS(AB70-$AC$3)</f>
        <v>0.58610992675267071</v>
      </c>
      <c r="AF70">
        <f t="shared" si="4"/>
        <v>0.67000000000000104</v>
      </c>
    </row>
    <row r="71" spans="21:32" x14ac:dyDescent="0.3">
      <c r="U71" s="86">
        <f>MSY!A112</f>
        <v>0.68000000000000105</v>
      </c>
      <c r="V71" s="86">
        <f>MSY!B112</f>
        <v>0.29846200881694057</v>
      </c>
      <c r="W71" s="86">
        <f>MSY!C112</f>
        <v>0.76656144445053243</v>
      </c>
      <c r="X71" s="86">
        <f>MSY!D112</f>
        <v>2.5804208777270139</v>
      </c>
      <c r="Y71" s="86">
        <f>MSY!E112</f>
        <v>2.712455013055175</v>
      </c>
      <c r="Z71" s="86">
        <f>MSY!F112</f>
        <v>6.9992755455828739</v>
      </c>
      <c r="AA71" s="86">
        <f>MSY!G112</f>
        <v>2.0792634328146629</v>
      </c>
      <c r="AB71">
        <f t="shared" si="5"/>
        <v>9.1749064091218177E-2</v>
      </c>
      <c r="AC71">
        <f t="shared" si="6"/>
        <v>0.5899400628581406</v>
      </c>
      <c r="AF71">
        <f t="shared" si="4"/>
        <v>0.68000000000000105</v>
      </c>
    </row>
    <row r="72" spans="21:32" x14ac:dyDescent="0.3">
      <c r="U72" s="86">
        <f>MSY!A113</f>
        <v>0.69000000000000095</v>
      </c>
      <c r="V72" s="86">
        <f>MSY!B113</f>
        <v>0.29636205145952887</v>
      </c>
      <c r="W72" s="86">
        <f>MSY!C113</f>
        <v>0.76746024082639375</v>
      </c>
      <c r="X72" s="86">
        <f>MSY!D113</f>
        <v>2.562265220901943</v>
      </c>
      <c r="Y72" s="86">
        <f>MSY!E113</f>
        <v>2.6966640860489188</v>
      </c>
      <c r="Z72" s="86">
        <f>MSY!F113</f>
        <v>6.9095686001384689</v>
      </c>
      <c r="AA72" s="86">
        <f>MSY!G113</f>
        <v>2.0695824689069902</v>
      </c>
      <c r="AB72">
        <f t="shared" si="5"/>
        <v>8.8096364388418474E-2</v>
      </c>
      <c r="AC72">
        <f t="shared" si="6"/>
        <v>0.59359276256094029</v>
      </c>
      <c r="AF72">
        <f t="shared" si="4"/>
        <v>0.69000000000000095</v>
      </c>
    </row>
    <row r="73" spans="21:32" x14ac:dyDescent="0.3">
      <c r="U73" s="86">
        <f>MSY!A114</f>
        <v>0.70000000000000095</v>
      </c>
      <c r="V73" s="86">
        <f>MSY!B114</f>
        <v>0.2943099362951469</v>
      </c>
      <c r="W73" s="86">
        <f>MSY!C114</f>
        <v>0.76832337173830079</v>
      </c>
      <c r="X73" s="86">
        <f>MSY!D114</f>
        <v>2.5445231945895781</v>
      </c>
      <c r="Y73" s="86">
        <f>MSY!E114</f>
        <v>2.6810152149656652</v>
      </c>
      <c r="Z73" s="86">
        <f>MSY!F114</f>
        <v>6.8219053995276981</v>
      </c>
      <c r="AA73" s="86">
        <f>MSY!G114</f>
        <v>2.0598866496441053</v>
      </c>
      <c r="AB73">
        <f t="shared" si="5"/>
        <v>8.4611174810228437E-2</v>
      </c>
      <c r="AC73">
        <f t="shared" si="6"/>
        <v>0.5970779521391304</v>
      </c>
      <c r="AF73">
        <f t="shared" si="4"/>
        <v>0.70000000000000095</v>
      </c>
    </row>
    <row r="74" spans="21:32" x14ac:dyDescent="0.3">
      <c r="U74" s="86">
        <f>MSY!A115</f>
        <v>0.71000000000000096</v>
      </c>
      <c r="V74" s="86">
        <f>MSY!B115</f>
        <v>0.29230399239626098</v>
      </c>
      <c r="W74" s="86">
        <f>MSY!C115</f>
        <v>0.76915246432259832</v>
      </c>
      <c r="X74" s="86">
        <f>MSY!D115</f>
        <v>2.52718035240758</v>
      </c>
      <c r="Y74" s="86">
        <f>MSY!E115</f>
        <v>2.6655060680102549</v>
      </c>
      <c r="Z74" s="86">
        <f>MSY!F115</f>
        <v>6.7362145642986979</v>
      </c>
      <c r="AA74" s="86">
        <f>MSY!G115</f>
        <v>2.0501805608769268</v>
      </c>
      <c r="AB74">
        <f t="shared" si="5"/>
        <v>8.1284211357440725E-2</v>
      </c>
      <c r="AC74">
        <f t="shared" si="6"/>
        <v>0.60040491559191811</v>
      </c>
      <c r="AF74">
        <f t="shared" si="4"/>
        <v>0.71000000000000096</v>
      </c>
    </row>
    <row r="75" spans="21:32" x14ac:dyDescent="0.3">
      <c r="U75" s="86">
        <f>MSY!A116</f>
        <v>0.72000000000000097</v>
      </c>
      <c r="V75" s="86">
        <f>MSY!B116</f>
        <v>0.29034262499918528</v>
      </c>
      <c r="W75" s="86">
        <f>MSY!C116</f>
        <v>0.7699490559654496</v>
      </c>
      <c r="X75" s="86">
        <f>MSY!D116</f>
        <v>2.5102229064654016</v>
      </c>
      <c r="Y75" s="86">
        <f>MSY!E116</f>
        <v>2.6501343571790983</v>
      </c>
      <c r="Z75" s="86">
        <f>MSY!F116</f>
        <v>6.652427968601935</v>
      </c>
      <c r="AA75" s="86">
        <f>MSY!G116</f>
        <v>2.0404684464916505</v>
      </c>
      <c r="AB75">
        <f t="shared" si="5"/>
        <v>7.810678563869293E-2</v>
      </c>
      <c r="AC75">
        <f t="shared" si="6"/>
        <v>0.6035823413106659</v>
      </c>
      <c r="AF75">
        <f t="shared" si="4"/>
        <v>0.72000000000000097</v>
      </c>
    </row>
    <row r="76" spans="21:32" x14ac:dyDescent="0.3">
      <c r="U76" s="86">
        <f>MSY!A117</f>
        <v>0.73000000000000098</v>
      </c>
      <c r="V76" s="86">
        <f>MSY!B117</f>
        <v>0.28842431127967422</v>
      </c>
      <c r="W76" s="86">
        <f>MSY!C117</f>
        <v>0.77071460003537218</v>
      </c>
      <c r="X76" s="86">
        <f>MSY!D117</f>
        <v>2.4936376908412163</v>
      </c>
      <c r="Y76" s="86">
        <f>MSY!E117</f>
        <v>2.6348978377502346</v>
      </c>
      <c r="Z76" s="86">
        <f>MSY!F117</f>
        <v>6.5704805597300089</v>
      </c>
      <c r="AA76" s="86">
        <f>MSY!G117</f>
        <v>2.0307542331557391</v>
      </c>
      <c r="AB76">
        <f t="shared" si="5"/>
        <v>7.5070761950063389E-2</v>
      </c>
      <c r="AC76">
        <f t="shared" si="6"/>
        <v>0.60661836499929545</v>
      </c>
      <c r="AF76">
        <f t="shared" si="4"/>
        <v>0.73000000000000098</v>
      </c>
    </row>
    <row r="77" spans="21:32" x14ac:dyDescent="0.3">
      <c r="U77" s="86">
        <f>MSY!A118</f>
        <v>0.74000000000000099</v>
      </c>
      <c r="V77" s="86">
        <f>MSY!B118</f>
        <v>0.28654759640304583</v>
      </c>
      <c r="W77" s="86">
        <f>MSY!C118</f>
        <v>0.77145047120445087</v>
      </c>
      <c r="X77" s="86">
        <f>MSY!D118</f>
        <v>2.4774121274323639</v>
      </c>
      <c r="Y77" s="86">
        <f>MSY!E118</f>
        <v>2.6197943077447063</v>
      </c>
      <c r="Z77" s="86">
        <f>MSY!F118</f>
        <v>6.4903101893850099</v>
      </c>
      <c r="AA77" s="86">
        <f>MSY!G118</f>
        <v>2.0210415531683918</v>
      </c>
      <c r="AB77">
        <f t="shared" si="5"/>
        <v>7.2168517774445703E-2</v>
      </c>
      <c r="AC77">
        <f t="shared" si="6"/>
        <v>0.60952060917491313</v>
      </c>
      <c r="AF77">
        <f t="shared" si="4"/>
        <v>0.74000000000000099</v>
      </c>
    </row>
    <row r="78" spans="21:32" x14ac:dyDescent="0.3">
      <c r="U78" s="86">
        <f>MSY!A119</f>
        <v>0.750000000000001</v>
      </c>
      <c r="V78" s="86">
        <f>MSY!B119</f>
        <v>0.28471108982841986</v>
      </c>
      <c r="W78" s="86">
        <f>MSY!C119</f>
        <v>0.77215797039086109</v>
      </c>
      <c r="X78" s="86">
        <f>MSY!D119</f>
        <v>2.4615341940028048</v>
      </c>
      <c r="Y78" s="86">
        <f>MSY!E119</f>
        <v>2.6048216073629531</v>
      </c>
      <c r="Z78" s="86">
        <f>MSY!F119</f>
        <v>6.4118574558012575</v>
      </c>
      <c r="AA78" s="86">
        <f>MSY!G119</f>
        <v>2.0113337655716381</v>
      </c>
      <c r="AB78">
        <f t="shared" si="5"/>
        <v>6.9392907401610804E-2</v>
      </c>
      <c r="AC78">
        <f t="shared" si="6"/>
        <v>0.61229621954774793</v>
      </c>
      <c r="AF78">
        <f t="shared" si="4"/>
        <v>0.750000000000001</v>
      </c>
    </row>
    <row r="79" spans="21:32" x14ac:dyDescent="0.3">
      <c r="U79" s="86">
        <f>MSY!A120</f>
        <v>0.76000000000000101</v>
      </c>
      <c r="V79" s="86">
        <f>MSY!B120</f>
        <v>0.28291346184836447</v>
      </c>
      <c r="W79" s="86">
        <f>MSY!C120</f>
        <v>0.77283832935248309</v>
      </c>
      <c r="X79" s="86">
        <f>MSY!D120</f>
        <v>2.4459923942658532</v>
      </c>
      <c r="Y79" s="86">
        <f>MSY!E120</f>
        <v>2.5899776183996521</v>
      </c>
      <c r="Z79" s="86">
        <f>MSY!F120</f>
        <v>6.3350655559243378</v>
      </c>
      <c r="AA79" s="86">
        <f>MSY!G120</f>
        <v>2.0016339756643102</v>
      </c>
      <c r="AB79">
        <f t="shared" si="5"/>
        <v>6.6737228398822068E-2</v>
      </c>
      <c r="AC79">
        <f t="shared" si="6"/>
        <v>0.61495189855053667</v>
      </c>
      <c r="AF79">
        <f t="shared" si="4"/>
        <v>0.76000000000000101</v>
      </c>
    </row>
    <row r="80" spans="21:32" x14ac:dyDescent="0.3">
      <c r="U80" s="86">
        <f>MSY!A121</f>
        <v>0.77000000000000102</v>
      </c>
      <c r="V80" s="86">
        <f>MSY!B121</f>
        <v>0.28115344034679318</v>
      </c>
      <c r="W80" s="86">
        <f>MSY!C121</f>
        <v>0.77349271495883754</v>
      </c>
      <c r="X80" s="86">
        <f>MSY!D121</f>
        <v>2.4307757298538393</v>
      </c>
      <c r="Y80" s="86">
        <f>MSY!E121</f>
        <v>2.5752602636401374</v>
      </c>
      <c r="Z80" s="86">
        <f>MSY!F121</f>
        <v>6.2598801469134449</v>
      </c>
      <c r="AA80" s="86">
        <f>MSY!G121</f>
        <v>1.9919450530486216</v>
      </c>
      <c r="AB80">
        <f t="shared" si="5"/>
        <v>6.4195190687255044E-2</v>
      </c>
      <c r="AC80">
        <f t="shared" si="6"/>
        <v>0.61749393626210369</v>
      </c>
      <c r="AF80">
        <f t="shared" si="4"/>
        <v>0.77000000000000102</v>
      </c>
    </row>
    <row r="81" spans="21:32" x14ac:dyDescent="0.3">
      <c r="U81" s="86">
        <f>MSY!A122</f>
        <v>0.78000000000000103</v>
      </c>
      <c r="V81" s="86">
        <f>MSY!B122</f>
        <v>0.27942980775936099</v>
      </c>
      <c r="W81" s="86">
        <f>MSY!C122</f>
        <v>0.77412223316622819</v>
      </c>
      <c r="X81" s="86">
        <f>MSY!D122</f>
        <v>2.4158736740385254</v>
      </c>
      <c r="Y81" s="86">
        <f>MSY!E122</f>
        <v>2.5606675062412796</v>
      </c>
      <c r="Z81" s="86">
        <f>MSY!F122</f>
        <v>6.186249216294188</v>
      </c>
      <c r="AA81" s="86">
        <f>MSY!G122</f>
        <v>1.9822696483276958</v>
      </c>
      <c r="AB81">
        <f t="shared" si="5"/>
        <v>6.1760888001999248E-2</v>
      </c>
      <c r="AC81">
        <f t="shared" si="6"/>
        <v>0.61992823894735949</v>
      </c>
      <c r="AF81">
        <f t="shared" si="4"/>
        <v>0.78000000000000103</v>
      </c>
    </row>
    <row r="82" spans="21:32" x14ac:dyDescent="0.3">
      <c r="U82" s="86">
        <f>MSY!A123</f>
        <v>0.79000000000000103</v>
      </c>
      <c r="V82" s="86">
        <f>MSY!B123</f>
        <v>0.27774139822188904</v>
      </c>
      <c r="W82" s="86">
        <f>MSY!C123</f>
        <v>0.77472793271887752</v>
      </c>
      <c r="X82" s="86">
        <f>MSY!D123</f>
        <v>2.4012761470771689</v>
      </c>
      <c r="Y82" s="86">
        <f>MSY!E123</f>
        <v>2.5461973490994758</v>
      </c>
      <c r="Z82" s="86">
        <f>MSY!F123</f>
        <v>6.1141229601436899</v>
      </c>
      <c r="AA82" s="86">
        <f>MSY!G123</f>
        <v>1.9726102085621231</v>
      </c>
      <c r="AB82">
        <f t="shared" si="5"/>
        <v>5.9428771534686342E-2</v>
      </c>
      <c r="AC82">
        <f t="shared" si="6"/>
        <v>0.62226035541467239</v>
      </c>
      <c r="AF82">
        <f t="shared" si="4"/>
        <v>0.79000000000000103</v>
      </c>
    </row>
    <row r="83" spans="21:32" x14ac:dyDescent="0.3">
      <c r="U83" s="86">
        <f>MSY!A124</f>
        <v>0.80000000000000104</v>
      </c>
      <c r="V83" s="86">
        <f>MSY!B124</f>
        <v>0.27608709489350874</v>
      </c>
      <c r="W83" s="86">
        <f>MSY!C124</f>
        <v>0.77531080859692192</v>
      </c>
      <c r="X83" s="86">
        <f>MSY!D124</f>
        <v>2.3869734930691537</v>
      </c>
      <c r="Y83" s="86">
        <f>MSY!E124</f>
        <v>2.531847834208151</v>
      </c>
      <c r="Z83" s="86">
        <f>MSY!F124</f>
        <v>6.043453668739402</v>
      </c>
      <c r="AA83" s="86">
        <f>MSY!G124</f>
        <v>1.9629689915842869</v>
      </c>
      <c r="AB83">
        <f t="shared" si="5"/>
        <v>5.7193625575957481E-2</v>
      </c>
      <c r="AC83">
        <f t="shared" si="6"/>
        <v>0.62449550137340126</v>
      </c>
      <c r="AF83">
        <f t="shared" si="4"/>
        <v>0.80000000000000104</v>
      </c>
    </row>
    <row r="84" spans="21:32" x14ac:dyDescent="0.3">
      <c r="U84" s="86">
        <f>MSY!A125</f>
        <v>0.81000000000000105</v>
      </c>
      <c r="V84" s="86">
        <f>MSY!B125</f>
        <v>0.27446582744227777</v>
      </c>
      <c r="W84" s="86">
        <f>MSY!C125</f>
        <v>0.77587180523039667</v>
      </c>
      <c r="X84" s="86">
        <f>MSY!D125</f>
        <v>2.372956458217319</v>
      </c>
      <c r="Y84" s="86">
        <f>MSY!E125</f>
        <v>2.5176170420070099</v>
      </c>
      <c r="Z84" s="86">
        <f>MSY!F125</f>
        <v>5.9741956191485182</v>
      </c>
      <c r="AA84" s="86">
        <f>MSY!G125</f>
        <v>1.9533480792607902</v>
      </c>
      <c r="AB84">
        <f t="shared" si="5"/>
        <v>5.5050544991503116E-2</v>
      </c>
      <c r="AC84">
        <f t="shared" si="6"/>
        <v>0.62663858195785571</v>
      </c>
      <c r="AF84">
        <f t="shared" si="4"/>
        <v>0.81000000000000105</v>
      </c>
    </row>
    <row r="85" spans="21:32" x14ac:dyDescent="0.3">
      <c r="U85" s="86">
        <f>MSY!A126</f>
        <v>0.82000000000000095</v>
      </c>
      <c r="V85" s="86">
        <f>MSY!B126</f>
        <v>0.27287656968198415</v>
      </c>
      <c r="W85" s="86">
        <f>MSY!C126</f>
        <v>0.77641181949675198</v>
      </c>
      <c r="X85" s="86">
        <f>MSY!D126</f>
        <v>2.3592161703964103</v>
      </c>
      <c r="Y85" s="86">
        <f>MSY!E126</f>
        <v>2.503503090725022</v>
      </c>
      <c r="Z85" s="86">
        <f>MSY!F126</f>
        <v>5.9063049742758631</v>
      </c>
      <c r="AA85" s="86">
        <f>MSY!G126</f>
        <v>1.9437493897855564</v>
      </c>
      <c r="AB85">
        <f t="shared" si="5"/>
        <v>5.299491438081641E-2</v>
      </c>
      <c r="AC85">
        <f t="shared" si="6"/>
        <v>0.62869421256854241</v>
      </c>
      <c r="AF85">
        <f t="shared" si="4"/>
        <v>0.82000000000000095</v>
      </c>
    </row>
    <row r="86" spans="21:32" x14ac:dyDescent="0.3">
      <c r="U86" s="86">
        <f>MSY!A127</f>
        <v>0.83000000000000096</v>
      </c>
      <c r="V86" s="86">
        <f>MSY!B127</f>
        <v>0.27131833734974009</v>
      </c>
      <c r="W86" s="86">
        <f>MSY!C127</f>
        <v>0.77693170351801299</v>
      </c>
      <c r="X86" s="86">
        <f>MSY!D127</f>
        <v>2.3457441199387654</v>
      </c>
      <c r="Y86" s="86">
        <f>MSY!E127</f>
        <v>2.4895041357190233</v>
      </c>
      <c r="Z86" s="86">
        <f>MSY!F127</f>
        <v>5.8397396879261372</v>
      </c>
      <c r="AA86" s="86">
        <f>MSY!G127</f>
        <v>1.9341746890793194</v>
      </c>
      <c r="AB86">
        <f t="shared" si="5"/>
        <v>5.1022388781085622E-2</v>
      </c>
      <c r="AC86">
        <f t="shared" si="6"/>
        <v>0.63066673816827312</v>
      </c>
      <c r="AF86">
        <f t="shared" si="4"/>
        <v>0.83000000000000096</v>
      </c>
    </row>
    <row r="87" spans="21:32" x14ac:dyDescent="0.3">
      <c r="U87" s="86">
        <f>MSY!A128</f>
        <v>0.84000000000000097</v>
      </c>
      <c r="V87" s="86">
        <f>MSY!B128</f>
        <v>0.26979018601476701</v>
      </c>
      <c r="W87" s="86">
        <f>MSY!C128</f>
        <v>0.77743226727237369</v>
      </c>
      <c r="X87" s="86">
        <f>MSY!D128</f>
        <v>2.3325321415542417</v>
      </c>
      <c r="Y87" s="86">
        <f>MSY!E128</f>
        <v>2.475618368809577</v>
      </c>
      <c r="Z87" s="86">
        <f>MSY!F128</f>
        <v>5.774459415470421</v>
      </c>
      <c r="AA87" s="86">
        <f>MSY!G128</f>
        <v>1.9246256013647649</v>
      </c>
      <c r="AB87">
        <f t="shared" si="5"/>
        <v>4.9128875790854745E-2</v>
      </c>
      <c r="AC87">
        <f t="shared" si="6"/>
        <v>0.63256025115850401</v>
      </c>
      <c r="AF87">
        <f t="shared" si="4"/>
        <v>0.84000000000000097</v>
      </c>
    </row>
    <row r="88" spans="21:32" x14ac:dyDescent="0.3">
      <c r="U88" s="86">
        <f>MSY!A129</f>
        <v>0.85000000000000098</v>
      </c>
      <c r="V88" s="86">
        <f>MSY!B129</f>
        <v>0.26829120910951282</v>
      </c>
      <c r="W88" s="86">
        <f>MSY!C129</f>
        <v>0.77791428103383009</v>
      </c>
      <c r="X88" s="86">
        <f>MSY!D129</f>
        <v>2.3195723973077942</v>
      </c>
      <c r="Y88" s="86">
        <f>MSY!E129</f>
        <v>2.4618440176156313</v>
      </c>
      <c r="Z88" s="86">
        <f>MSY!F129</f>
        <v>5.7104254297385415</v>
      </c>
      <c r="AA88" s="86">
        <f>MSY!G129</f>
        <v>1.9151036189808996</v>
      </c>
      <c r="AB88">
        <f t="shared" si="5"/>
        <v>4.7310518999366072E-2</v>
      </c>
      <c r="AC88">
        <f t="shared" si="6"/>
        <v>0.63437860794999268</v>
      </c>
      <c r="AF88">
        <f t="shared" si="4"/>
        <v>0.85000000000000098</v>
      </c>
    </row>
    <row r="89" spans="21:32" x14ac:dyDescent="0.3">
      <c r="U89" s="86">
        <f>MSY!A130</f>
        <v>0.86000000000000099</v>
      </c>
      <c r="V89" s="86">
        <f>MSY!B130</f>
        <v>0.26682053607491346</v>
      </c>
      <c r="W89" s="86">
        <f>MSY!C130</f>
        <v>0.77837847765236101</v>
      </c>
      <c r="X89" s="86">
        <f>MSY!D130</f>
        <v>2.3068573605839147</v>
      </c>
      <c r="Y89" s="86">
        <f>MSY!E130</f>
        <v>2.4481793448893483</v>
      </c>
      <c r="Z89" s="86">
        <f>MSY!F130</f>
        <v>5.6476005417874999</v>
      </c>
      <c r="AA89" s="86">
        <f>MSY!G130</f>
        <v>1.9056101114949253</v>
      </c>
      <c r="AB89">
        <f t="shared" si="5"/>
        <v>4.5563682617322201E-2</v>
      </c>
      <c r="AC89">
        <f t="shared" si="6"/>
        <v>0.63612544433203655</v>
      </c>
      <c r="AF89">
        <f t="shared" si="4"/>
        <v>0.86000000000000099</v>
      </c>
    </row>
    <row r="90" spans="21:32" x14ac:dyDescent="0.3">
      <c r="U90" s="86">
        <f>MSY!A131</f>
        <v>0.87000000000000099</v>
      </c>
      <c r="V90" s="86">
        <f>MSY!B131</f>
        <v>0.26537733061222946</v>
      </c>
      <c r="W90" s="86">
        <f>MSY!C131</f>
        <v>0.77882555468617654</v>
      </c>
      <c r="X90" s="86">
        <f>MSY!D131</f>
        <v>2.2943798009724881</v>
      </c>
      <c r="Y90" s="86">
        <f>MSY!E131</f>
        <v>2.4346226478523629</v>
      </c>
      <c r="Z90" s="86">
        <f>MSY!F131</f>
        <v>5.5859490262226164</v>
      </c>
      <c r="AA90" s="86">
        <f>MSY!G131</f>
        <v>1.8961463341651443</v>
      </c>
      <c r="AB90">
        <f t="shared" si="5"/>
        <v>4.3884937213756151E-2</v>
      </c>
      <c r="AC90">
        <f t="shared" si="6"/>
        <v>0.6378041897356026</v>
      </c>
      <c r="AF90">
        <f t="shared" si="4"/>
        <v>0.87000000000000099</v>
      </c>
    </row>
    <row r="91" spans="21:32" x14ac:dyDescent="0.3">
      <c r="U91" s="86">
        <f>MSY!A132</f>
        <v>0.880000000000001</v>
      </c>
      <c r="V91" s="86">
        <f>MSY!B132</f>
        <v>0.26396078903444964</v>
      </c>
      <c r="W91" s="86">
        <f>MSY!C132</f>
        <v>0.77925617639663614</v>
      </c>
      <c r="X91" s="86">
        <f>MSY!D132</f>
        <v>2.2821327700154814</v>
      </c>
      <c r="Y91" s="86">
        <f>MSY!E132</f>
        <v>2.4211722575345869</v>
      </c>
      <c r="Z91" s="86">
        <f>MSY!F132</f>
        <v>5.5254365507720431</v>
      </c>
      <c r="AA91" s="86">
        <f>MSY!G132</f>
        <v>1.8867134358040138</v>
      </c>
      <c r="AB91">
        <f t="shared" si="5"/>
        <v>4.2271046472053229E-2</v>
      </c>
      <c r="AC91">
        <f t="shared" si="6"/>
        <v>0.63941808047730553</v>
      </c>
      <c r="AF91">
        <f t="shared" si="4"/>
        <v>0.880000000000001</v>
      </c>
    </row>
    <row r="92" spans="21:32" x14ac:dyDescent="0.3">
      <c r="U92" s="86">
        <f>MSY!A133</f>
        <v>0.89000000000000101</v>
      </c>
      <c r="V92" s="86">
        <f>MSY!B133</f>
        <v>0.2625701387107745</v>
      </c>
      <c r="W92" s="86">
        <f>MSY!C133</f>
        <v>0.7796709756156176</v>
      </c>
      <c r="X92" s="86">
        <f>MSY!D133</f>
        <v>2.2701095877583719</v>
      </c>
      <c r="Y92" s="86">
        <f>MSY!E133</f>
        <v>2.4078265381165758</v>
      </c>
      <c r="Z92" s="86">
        <f>MSY!F133</f>
        <v>5.4660301098374875</v>
      </c>
      <c r="AA92" s="86">
        <f>MSY!G133</f>
        <v>1.8773124660865257</v>
      </c>
      <c r="AB92">
        <f t="shared" si="5"/>
        <v>4.071895488578222E-2</v>
      </c>
      <c r="AC92">
        <f t="shared" si="6"/>
        <v>0.64097017206357654</v>
      </c>
      <c r="AF92">
        <f t="shared" si="4"/>
        <v>0.89000000000000101</v>
      </c>
    </row>
    <row r="93" spans="21:32" x14ac:dyDescent="0.3">
      <c r="U93" s="86">
        <f>MSY!A134</f>
        <v>0.90000000000000102</v>
      </c>
      <c r="V93" s="86">
        <f>MSY!B134</f>
        <v>0.26120463659816773</v>
      </c>
      <c r="W93" s="86">
        <f>MSY!C134</f>
        <v>0.78007055549435178</v>
      </c>
      <c r="X93" s="86">
        <f>MSY!D134</f>
        <v>2.2583038300543419</v>
      </c>
      <c r="Y93" s="86">
        <f>MSY!E134</f>
        <v>2.3945838862763718</v>
      </c>
      <c r="Z93" s="86">
        <f>MSY!F134</f>
        <v>5.4076979617643417</v>
      </c>
      <c r="AA93" s="86">
        <f>MSY!G134</f>
        <v>1.8679443823454329</v>
      </c>
      <c r="AB93">
        <f t="shared" si="5"/>
        <v>3.9225776321244431E-2</v>
      </c>
      <c r="AC93">
        <f t="shared" si="6"/>
        <v>0.64246335062811433</v>
      </c>
      <c r="AF93">
        <f t="shared" si="4"/>
        <v>0.90000000000000102</v>
      </c>
    </row>
    <row r="94" spans="21:32" x14ac:dyDescent="0.3">
      <c r="U94" s="86">
        <f>MSY!A135</f>
        <v>0.91000000000000103</v>
      </c>
      <c r="V94" s="86">
        <f>MSY!B135</f>
        <v>0.25986356785439985</v>
      </c>
      <c r="W94" s="86">
        <f>MSY!C135</f>
        <v>0.78045549114204249</v>
      </c>
      <c r="X94" s="86">
        <f>MSY!D135</f>
        <v>2.2467093165730354</v>
      </c>
      <c r="Y94" s="86">
        <f>MSY!E135</f>
        <v>2.3814427305416497</v>
      </c>
      <c r="Z94" s="86">
        <f>MSY!F135</f>
        <v>5.3504095695930518</v>
      </c>
      <c r="AA94" s="86">
        <f>MSY!G135</f>
        <v>1.8586100558915299</v>
      </c>
      <c r="AB94">
        <f t="shared" si="5"/>
        <v>3.778878338007715E-2</v>
      </c>
      <c r="AC94">
        <f t="shared" si="6"/>
        <v>0.64390034356928161</v>
      </c>
      <c r="AF94">
        <f t="shared" si="4"/>
        <v>0.91000000000000103</v>
      </c>
    </row>
    <row r="95" spans="21:32" x14ac:dyDescent="0.3">
      <c r="U95" s="86">
        <f>MSY!A136</f>
        <v>0.92000000000000104</v>
      </c>
      <c r="V95" s="86">
        <f>MSY!B136</f>
        <v>0.25854624452740771</v>
      </c>
      <c r="W95" s="86">
        <f>MSY!C136</f>
        <v>0.78082633116195332</v>
      </c>
      <c r="X95" s="86">
        <f>MSY!D136</f>
        <v>2.2353200994691185</v>
      </c>
      <c r="Y95" s="86">
        <f>MSY!E136</f>
        <v>2.3684015306478599</v>
      </c>
      <c r="Z95" s="86">
        <f>MSY!F136</f>
        <v>5.2941355450705867</v>
      </c>
      <c r="AA95" s="86">
        <f>MSY!G136</f>
        <v>1.8493102778941231</v>
      </c>
      <c r="AB95">
        <f t="shared" si="5"/>
        <v>3.6405397500921498E-2</v>
      </c>
      <c r="AC95">
        <f t="shared" si="6"/>
        <v>0.64528372944843726</v>
      </c>
      <c r="AF95">
        <f t="shared" si="4"/>
        <v>0.92000000000000104</v>
      </c>
    </row>
    <row r="96" spans="21:32" x14ac:dyDescent="0.3">
      <c r="U96" s="86">
        <f>MSY!A137</f>
        <v>0.93000000000000105</v>
      </c>
      <c r="V96" s="86">
        <f>MSY!B137</f>
        <v>0.25725200431616829</v>
      </c>
      <c r="W96" s="86">
        <f>MSY!C137</f>
        <v>0.78118359909206092</v>
      </c>
      <c r="X96" s="86">
        <f>MSY!D137</f>
        <v>2.2241304526691321</v>
      </c>
      <c r="Y96" s="86">
        <f>MSY!E137</f>
        <v>2.3554587769030406</v>
      </c>
      <c r="Z96" s="86">
        <f>MSY!F137</f>
        <v>5.2388475957168401</v>
      </c>
      <c r="AA96" s="86">
        <f>MSY!G137</f>
        <v>1.8400457648541011</v>
      </c>
      <c r="AB96">
        <f t="shared" si="5"/>
        <v>3.5073179744155192E-2</v>
      </c>
      <c r="AC96">
        <f t="shared" si="6"/>
        <v>0.64661594720520355</v>
      </c>
      <c r="AF96">
        <f t="shared" si="4"/>
        <v>0.93000000000000105</v>
      </c>
    </row>
    <row r="97" spans="21:32" x14ac:dyDescent="0.3">
      <c r="U97" s="86">
        <f>MSY!A138</f>
        <v>0.94000000000000095</v>
      </c>
      <c r="V97" s="86">
        <f>MSY!B138</f>
        <v>0.25598020939862115</v>
      </c>
      <c r="W97" s="86">
        <f>MSY!C138</f>
        <v>0.78152779475683642</v>
      </c>
      <c r="X97" s="86">
        <f>MSY!D138</f>
        <v>2.2131348617380309</v>
      </c>
      <c r="Y97" s="86">
        <f>MSY!E138</f>
        <v>2.3426129895598757</v>
      </c>
      <c r="Z97" s="86">
        <f>MSY!F138</f>
        <v>5.1845184747553104</v>
      </c>
      <c r="AA97" s="86">
        <f>MSY!G138</f>
        <v>1.8308171636994495</v>
      </c>
      <c r="AB97">
        <f t="shared" si="5"/>
        <v>3.3789822207886004E-2</v>
      </c>
      <c r="AC97">
        <f t="shared" si="6"/>
        <v>0.64789930474147284</v>
      </c>
      <c r="AF97">
        <f t="shared" si="4"/>
        <v>0.94000000000000095</v>
      </c>
    </row>
    <row r="98" spans="21:32" x14ac:dyDescent="0.3">
      <c r="U98" s="86">
        <f>MSY!A139</f>
        <v>0.95000000000000095</v>
      </c>
      <c r="V98" s="86">
        <f>MSY!B139</f>
        <v>0.25473024532248617</v>
      </c>
      <c r="W98" s="86">
        <f>MSY!C139</f>
        <v>0.78185939553621864</v>
      </c>
      <c r="X98" s="86">
        <f>MSY!D139</f>
        <v>2.2023280142894981</v>
      </c>
      <c r="Y98" s="86">
        <f>MSY!E139</f>
        <v>2.3298627181954612</v>
      </c>
      <c r="Z98" s="86">
        <f>MSY!F139</f>
        <v>5.1311219337305429</v>
      </c>
      <c r="AA98" s="86">
        <f>MSY!G139</f>
        <v>1.8216250565306746</v>
      </c>
      <c r="AB98">
        <f t="shared" si="5"/>
        <v>3.2553140028318522E-2</v>
      </c>
      <c r="AC98">
        <f t="shared" si="6"/>
        <v>0.64913598692104024</v>
      </c>
      <c r="AF98">
        <f t="shared" si="4"/>
        <v>0.95000000000000095</v>
      </c>
    </row>
    <row r="99" spans="21:32" x14ac:dyDescent="0.3">
      <c r="U99" s="86">
        <f>MSY!A140</f>
        <v>0.96000000000000096</v>
      </c>
      <c r="V99" s="86">
        <f>MSY!B140</f>
        <v>0.25350151995511871</v>
      </c>
      <c r="W99" s="86">
        <f>MSY!C140</f>
        <v>0.7821788575574028</v>
      </c>
      <c r="X99" s="86">
        <f>MSY!D140</f>
        <v>2.1917047909066771</v>
      </c>
      <c r="Y99" s="86">
        <f>MSY!E140</f>
        <v>2.3172065410992562</v>
      </c>
      <c r="Z99" s="86">
        <f>MSY!F140</f>
        <v>5.0786326776475299</v>
      </c>
      <c r="AA99" s="86">
        <f>MSY!G140</f>
        <v>1.8124699650415572</v>
      </c>
      <c r="AB99">
        <f t="shared" si="5"/>
        <v>3.1361063921142546E-2</v>
      </c>
      <c r="AC99">
        <f t="shared" si="6"/>
        <v>0.65032806302821622</v>
      </c>
      <c r="AF99">
        <f t="shared" si="4"/>
        <v>0.96000000000000096</v>
      </c>
    </row>
    <row r="100" spans="21:32" x14ac:dyDescent="0.3">
      <c r="U100" s="86">
        <f>MSY!A141</f>
        <v>0.97000000000000097</v>
      </c>
      <c r="V100" s="86">
        <f>MSY!B141</f>
        <v>0.25229346248880324</v>
      </c>
      <c r="W100" s="86">
        <f>MSY!C141</f>
        <v>0.78248661681464149</v>
      </c>
      <c r="X100" s="86">
        <f>MSY!D141</f>
        <v>2.1812602565422168</v>
      </c>
      <c r="Y100" s="86">
        <f>MSY!E141</f>
        <v>2.304643064669587</v>
      </c>
      <c r="Z100" s="86">
        <f>MSY!F141</f>
        <v>5.0270263224794238</v>
      </c>
      <c r="AA100" s="86">
        <f>MSY!G141</f>
        <v>1.8033523546386321</v>
      </c>
      <c r="AB100">
        <f t="shared" si="5"/>
        <v>3.021163322349249E-2</v>
      </c>
      <c r="AC100">
        <f t="shared" si="6"/>
        <v>0.65147749372586627</v>
      </c>
      <c r="AF100">
        <f t="shared" si="4"/>
        <v>0.97000000000000097</v>
      </c>
    </row>
    <row r="101" spans="21:32" x14ac:dyDescent="0.3">
      <c r="U101" s="86">
        <f>MSY!A142</f>
        <v>0.98000000000000098</v>
      </c>
      <c r="V101" s="86">
        <f>MSY!B142</f>
        <v>0.25110552249813711</v>
      </c>
      <c r="W101" s="86">
        <f>MSY!C142</f>
        <v>0.78278309022187265</v>
      </c>
      <c r="X101" s="86">
        <f>MSY!D142</f>
        <v>2.1709896523686654</v>
      </c>
      <c r="Y101" s="86">
        <f>MSY!E142</f>
        <v>2.2921709228190057</v>
      </c>
      <c r="Z101" s="86">
        <f>MSY!F142</f>
        <v>4.9762793549003961</v>
      </c>
      <c r="AA101" s="86">
        <f>MSY!G142</f>
        <v>1.7942726382809828</v>
      </c>
      <c r="AB101">
        <f t="shared" si="5"/>
        <v>2.9102989400420196E-2</v>
      </c>
      <c r="AC101">
        <f t="shared" si="6"/>
        <v>0.65258613754893857</v>
      </c>
      <c r="AF101">
        <f t="shared" si="4"/>
        <v>0.98000000000000098</v>
      </c>
    </row>
    <row r="102" spans="21:32" x14ac:dyDescent="0.3">
      <c r="U102" s="86">
        <f>MSY!A143</f>
        <v>0.99000000000000099</v>
      </c>
      <c r="V102" s="86">
        <f>MSY!B143</f>
        <v>0.24993716904638388</v>
      </c>
      <c r="W102" s="86">
        <f>MSY!C143</f>
        <v>0.78306867660264989</v>
      </c>
      <c r="X102" s="86">
        <f>MSY!D143</f>
        <v>2.1608883880522494</v>
      </c>
      <c r="Y102" s="86">
        <f>MSY!E143</f>
        <v>2.2797887763888167</v>
      </c>
      <c r="Z102" s="86">
        <f>MSY!F143</f>
        <v>4.9263690941104397</v>
      </c>
      <c r="AA102" s="86">
        <f>MSY!G143</f>
        <v>1.7852311800603653</v>
      </c>
      <c r="AB102">
        <f t="shared" si="5"/>
        <v>2.803336998155186E-2</v>
      </c>
      <c r="AC102">
        <f t="shared" si="6"/>
        <v>0.65365575696780698</v>
      </c>
      <c r="AF102">
        <f t="shared" si="4"/>
        <v>0.99000000000000099</v>
      </c>
    </row>
    <row r="103" spans="21:32" x14ac:dyDescent="0.3">
      <c r="U103" s="86">
        <f>MSY!A144</f>
        <v>1</v>
      </c>
      <c r="V103" s="86">
        <f>MSY!B144</f>
        <v>0.24878788983788414</v>
      </c>
      <c r="W103" s="86">
        <f>MSY!C144</f>
        <v>0.78334375762150366</v>
      </c>
      <c r="X103" s="86">
        <f>MSY!D144</f>
        <v>2.1509520344248458</v>
      </c>
      <c r="Y103" s="86">
        <f>MSY!E144</f>
        <v>2.2674953125729815</v>
      </c>
      <c r="Z103" s="86">
        <f>MSY!F144</f>
        <v>4.8772736556276559</v>
      </c>
      <c r="AA103" s="86">
        <f>MSY!G144</f>
        <v>1.7762282985400653</v>
      </c>
      <c r="AB103">
        <f t="shared" si="5"/>
        <v>2.700110289717416E-2</v>
      </c>
      <c r="AC103">
        <f t="shared" si="6"/>
        <v>0.65468802405218463</v>
      </c>
      <c r="AF103">
        <f t="shared" si="4"/>
        <v>1</v>
      </c>
    </row>
    <row r="104" spans="21:32" x14ac:dyDescent="0.3">
      <c r="U104" s="86">
        <f>MSY!A145</f>
        <v>1.01</v>
      </c>
      <c r="V104" s="86">
        <f>MSY!B145</f>
        <v>0.24765719041380529</v>
      </c>
      <c r="W104" s="86">
        <f>MSY!C145</f>
        <v>0.78360869866059335</v>
      </c>
      <c r="X104" s="86">
        <f>MSY!D145</f>
        <v>2.1411763165306583</v>
      </c>
      <c r="Y104" s="86">
        <f>MSY!E145</f>
        <v>2.2552892443515837</v>
      </c>
      <c r="Z104" s="86">
        <f>MSY!F145</f>
        <v>4.8289719169319358</v>
      </c>
      <c r="AA104" s="86">
        <f>MSY!G145</f>
        <v>1.7672642698695775</v>
      </c>
      <c r="AB104">
        <f t="shared" si="5"/>
        <v>2.600460118480916E-2</v>
      </c>
      <c r="AC104">
        <f t="shared" si="6"/>
        <v>0.65568452576454961</v>
      </c>
      <c r="AF104">
        <f t="shared" si="4"/>
        <v>1.01</v>
      </c>
    </row>
    <row r="105" spans="21:32" x14ac:dyDescent="0.3">
      <c r="U105" s="86">
        <f>MSY!A146</f>
        <v>1.02</v>
      </c>
      <c r="V105" s="86">
        <f>MSY!B146</f>
        <v>0.24654459338869789</v>
      </c>
      <c r="W105" s="86">
        <f>MSY!C146</f>
        <v>0.78386384964519984</v>
      </c>
      <c r="X105" s="86">
        <f>MSY!D146</f>
        <v>2.1315571070256891</v>
      </c>
      <c r="Y105" s="86">
        <f>MSY!E146</f>
        <v>2.2431693099340357</v>
      </c>
      <c r="Z105" s="86">
        <f>MSY!F146</f>
        <v>4.7814434848518053</v>
      </c>
      <c r="AA105" s="86">
        <f>MSY!G146</f>
        <v>1.7583393306908597</v>
      </c>
      <c r="AB105">
        <f t="shared" si="5"/>
        <v>2.5042358039750724E-2</v>
      </c>
      <c r="AC105">
        <f t="shared" si="6"/>
        <v>0.65664676890960805</v>
      </c>
      <c r="AF105">
        <f t="shared" si="4"/>
        <v>1.02</v>
      </c>
    </row>
    <row r="106" spans="21:32" x14ac:dyDescent="0.3">
      <c r="U106" s="86">
        <f>MSY!A147</f>
        <v>1.03</v>
      </c>
      <c r="V106" s="86">
        <f>MSY!B147</f>
        <v>0.24544963772548459</v>
      </c>
      <c r="W106" s="86">
        <f>MSY!C147</f>
        <v>0.78410954582138837</v>
      </c>
      <c r="X106" s="86">
        <f>MSY!D147</f>
        <v>2.1220904199094939</v>
      </c>
      <c r="Y106" s="86">
        <f>MSY!E147</f>
        <v>2.2311342722121195</v>
      </c>
      <c r="Z106" s="86">
        <f>MSY!F147</f>
        <v>4.7346686645930793</v>
      </c>
      <c r="AA106" s="86">
        <f>MSY!G147</f>
        <v>1.7494536808507788</v>
      </c>
      <c r="AB106">
        <f t="shared" si="5"/>
        <v>2.4112942185527932E-2</v>
      </c>
      <c r="AC106">
        <f t="shared" si="6"/>
        <v>0.65757618476383084</v>
      </c>
      <c r="AF106">
        <f t="shared" si="4"/>
        <v>1.03</v>
      </c>
    </row>
    <row r="107" spans="21:32" x14ac:dyDescent="0.3">
      <c r="U107" s="86">
        <f>MSY!A148</f>
        <v>1.04</v>
      </c>
      <c r="V107" s="86">
        <f>MSY!B148</f>
        <v>0.24437187804666854</v>
      </c>
      <c r="W107" s="86">
        <f>MSY!C148</f>
        <v>0.7843461084889104</v>
      </c>
      <c r="X107" s="86">
        <f>MSY!D148</f>
        <v>2.1127724045700775</v>
      </c>
      <c r="Y107" s="86">
        <f>MSY!E148</f>
        <v>2.219182918222955</v>
      </c>
      <c r="Z107" s="86">
        <f>MSY!F148</f>
        <v>4.6886284303147541</v>
      </c>
      <c r="AA107" s="86">
        <f>MSY!G148</f>
        <v>1.7406074859332386</v>
      </c>
      <c r="AB107">
        <f t="shared" si="5"/>
        <v>2.3214993541237329E-2</v>
      </c>
      <c r="AC107">
        <f t="shared" si="6"/>
        <v>0.65847413340812144</v>
      </c>
      <c r="AF107">
        <f t="shared" si="4"/>
        <v>1.04</v>
      </c>
    </row>
    <row r="108" spans="21:32" x14ac:dyDescent="0.3">
      <c r="U108" s="86">
        <f>MSY!A149</f>
        <v>1.05</v>
      </c>
      <c r="V108" s="86">
        <f>MSY!B149</f>
        <v>0.243310883979691</v>
      </c>
      <c r="W108" s="86">
        <f>MSY!C149</f>
        <v>0.78457384569221311</v>
      </c>
      <c r="X108" s="86">
        <f>MSY!D149</f>
        <v>2.1035993401240343</v>
      </c>
      <c r="Y108" s="86">
        <f>MSY!E149</f>
        <v>2.2073140586219657</v>
      </c>
      <c r="Z108" s="86">
        <f>MSY!F149</f>
        <v>4.6433043971636705</v>
      </c>
      <c r="AA108" s="86">
        <f>MSY!G149</f>
        <v>1.7318008796235227</v>
      </c>
      <c r="AB108">
        <f t="shared" si="5"/>
        <v>2.2347219165308442E-2</v>
      </c>
      <c r="AC108">
        <f t="shared" si="6"/>
        <v>0.65934190778405033</v>
      </c>
      <c r="AF108">
        <f t="shared" si="4"/>
        <v>1.05</v>
      </c>
    </row>
    <row r="109" spans="21:32" x14ac:dyDescent="0.3">
      <c r="U109" s="86">
        <f>MSY!A150</f>
        <v>1.06</v>
      </c>
      <c r="V109" s="86">
        <f>MSY!B150</f>
        <v>0.24226623953449766</v>
      </c>
      <c r="W109" s="86">
        <f>MSY!C150</f>
        <v>0.78479305287221657</v>
      </c>
      <c r="X109" s="86">
        <f>MSY!D150</f>
        <v>2.0945676300351574</v>
      </c>
      <c r="Y109" s="86">
        <f>MSY!E150</f>
        <v>2.1955265271658644</v>
      </c>
      <c r="Z109" s="86">
        <f>MSY!F150</f>
        <v>4.5986787946851244</v>
      </c>
      <c r="AA109" s="86">
        <f>MSY!G150</f>
        <v>1.7230339659164342</v>
      </c>
      <c r="AB109">
        <f t="shared" si="5"/>
        <v>2.1508389456320588E-2</v>
      </c>
      <c r="AC109">
        <f t="shared" si="6"/>
        <v>0.66018073749303818</v>
      </c>
      <c r="AF109">
        <f t="shared" si="4"/>
        <v>1.06</v>
      </c>
    </row>
    <row r="110" spans="21:32" x14ac:dyDescent="0.3">
      <c r="U110" s="86">
        <f>MSY!A151</f>
        <v>1.07</v>
      </c>
      <c r="V110" s="86">
        <f>MSY!B151</f>
        <v>0.24123754251150048</v>
      </c>
      <c r="W110" s="86">
        <f>MSY!C151</f>
        <v>0.78500401348133952</v>
      </c>
      <c r="X110" s="86">
        <f>MSY!D151</f>
        <v>2.0856737969958385</v>
      </c>
      <c r="Y110" s="86">
        <f>MSY!E151</f>
        <v>2.1838191802056661</v>
      </c>
      <c r="Z110" s="86">
        <f>MSY!F151</f>
        <v>4.5547344415318909</v>
      </c>
      <c r="AA110" s="86">
        <f>MSY!G151</f>
        <v>1.7143068211789765</v>
      </c>
      <c r="AB110">
        <f t="shared" si="5"/>
        <v>2.0697334593028343E-2</v>
      </c>
      <c r="AC110">
        <f t="shared" si="6"/>
        <v>0.66099179235633043</v>
      </c>
      <c r="AF110">
        <f t="shared" si="4"/>
        <v>1.07</v>
      </c>
    </row>
    <row r="111" spans="21:32" x14ac:dyDescent="0.3">
      <c r="U111" s="86">
        <f>MSY!A152</f>
        <v>1.08</v>
      </c>
      <c r="V111" s="86">
        <f>MSY!B152</f>
        <v>0.24022440393823571</v>
      </c>
      <c r="W111" s="86">
        <f>MSY!C152</f>
        <v>0.78520699956407713</v>
      </c>
      <c r="X111" s="86">
        <f>MSY!D152</f>
        <v>2.076914478056568</v>
      </c>
      <c r="Y111" s="86">
        <f>MSY!E152</f>
        <v>2.1721908961897407</v>
      </c>
      <c r="Z111" s="86">
        <f>MSY!F152</f>
        <v>4.5114547213991445</v>
      </c>
      <c r="AA111" s="86">
        <f>MSY!G152</f>
        <v>1.7056194960775501</v>
      </c>
      <c r="AB111">
        <f t="shared" si="5"/>
        <v>1.991294119711438E-2</v>
      </c>
      <c r="AC111">
        <f t="shared" si="6"/>
        <v>0.66177618575224439</v>
      </c>
      <c r="AF111">
        <f t="shared" si="4"/>
        <v>1.08</v>
      </c>
    </row>
    <row r="112" spans="21:32" x14ac:dyDescent="0.3">
      <c r="U112" s="86">
        <f>MSY!A153</f>
        <v>1.0900000000000001</v>
      </c>
      <c r="V112" s="86">
        <f>MSY!B153</f>
        <v>0.23922644753312411</v>
      </c>
      <c r="W112" s="86">
        <f>MSY!C153</f>
        <v>0.78540227230528181</v>
      </c>
      <c r="X112" s="86">
        <f>MSY!D153</f>
        <v>2.068286419989751</v>
      </c>
      <c r="Y112" s="86">
        <f>MSY!E153</f>
        <v>2.1606405751768367</v>
      </c>
      <c r="Z112" s="86">
        <f>MSY!F153</f>
        <v>4.4688235601170954</v>
      </c>
      <c r="AA112" s="86">
        <f>MSY!G153</f>
        <v>1.6969720173788787</v>
      </c>
      <c r="AB112">
        <f t="shared" si="5"/>
        <v>1.9154149203665077E-2</v>
      </c>
      <c r="AC112">
        <f t="shared" si="6"/>
        <v>0.6625349777456937</v>
      </c>
      <c r="AF112">
        <f t="shared" si="4"/>
        <v>1.0900000000000001</v>
      </c>
    </row>
    <row r="113" spans="21:32" x14ac:dyDescent="0.3">
      <c r="U113" s="86">
        <f>MSY!A154</f>
        <v>1.1000000000000001</v>
      </c>
      <c r="V113" s="86">
        <f>MSY!B154</f>
        <v>0.2382433091948403</v>
      </c>
      <c r="W113" s="86">
        <f>MSY!C154</f>
        <v>0.78559008254815044</v>
      </c>
      <c r="X113" s="86">
        <f>MSY!D154</f>
        <v>2.0597864748749362</v>
      </c>
      <c r="Y113" s="86">
        <f>MSY!E154</f>
        <v>2.1491671383590596</v>
      </c>
      <c r="Z113" s="86">
        <f>MSY!F154</f>
        <v>4.426825403837662</v>
      </c>
      <c r="AA113" s="86">
        <f>MSY!G154</f>
        <v>1.6883643896332658</v>
      </c>
      <c r="AB113">
        <f t="shared" si="5"/>
        <v>1.8419948925024725E-2</v>
      </c>
      <c r="AC113">
        <f t="shared" si="6"/>
        <v>0.66326917802433405</v>
      </c>
      <c r="AF113">
        <f t="shared" si="4"/>
        <v>1.1000000000000001</v>
      </c>
    </row>
    <row r="114" spans="21:32" x14ac:dyDescent="0.3">
      <c r="U114" s="86">
        <f>MSY!A155</f>
        <v>1.1100000000000001</v>
      </c>
      <c r="V114" s="86">
        <f>MSY!B155</f>
        <v>0.23727463651589242</v>
      </c>
      <c r="W114" s="86">
        <f>MSY!C155</f>
        <v>0.78577067128378231</v>
      </c>
      <c r="X114" s="86">
        <f>MSY!D155</f>
        <v>2.0514115958933572</v>
      </c>
      <c r="Y114" s="86">
        <f>MSY!E155</f>
        <v>2.1377695275947395</v>
      </c>
      <c r="Z114" s="86">
        <f>MSY!F155</f>
        <v>4.3854451982553124</v>
      </c>
      <c r="AA114" s="86">
        <f>MSY!G155</f>
        <v>1.6797965967481325</v>
      </c>
      <c r="AB114">
        <f t="shared" si="5"/>
        <v>1.7709378294844518E-2</v>
      </c>
      <c r="AC114">
        <f t="shared" si="6"/>
        <v>0.66397974865451426</v>
      </c>
      <c r="AF114">
        <f t="shared" si="4"/>
        <v>1.1100000000000001</v>
      </c>
    </row>
    <row r="115" spans="21:32" x14ac:dyDescent="0.3">
      <c r="U115" s="86">
        <f>MSY!A156</f>
        <v>1.1200000000000001</v>
      </c>
      <c r="V115" s="86">
        <f>MSY!B156</f>
        <v>0.23632008831909385</v>
      </c>
      <c r="W115" s="86">
        <f>MSY!C156</f>
        <v>0.78594427011404733</v>
      </c>
      <c r="X115" s="86">
        <f>MSY!D156</f>
        <v>2.0431588333203945</v>
      </c>
      <c r="Y115" s="86">
        <f>MSY!E156</f>
        <v>2.1264467049510958</v>
      </c>
      <c r="Z115" s="86">
        <f>MSY!F156</f>
        <v>4.3446683688058769</v>
      </c>
      <c r="AA115" s="86">
        <f>MSY!G156</f>
        <v>1.6712686034592099</v>
      </c>
      <c r="AB115">
        <f t="shared" si="5"/>
        <v>1.7021520280702425E-2</v>
      </c>
      <c r="AC115">
        <f t="shared" si="6"/>
        <v>0.66466760666865632</v>
      </c>
      <c r="AF115">
        <f t="shared" si="4"/>
        <v>1.1200000000000001</v>
      </c>
    </row>
    <row r="116" spans="21:32" x14ac:dyDescent="0.3">
      <c r="U116" s="86">
        <f>MSY!A157</f>
        <v>1.1299999999999999</v>
      </c>
      <c r="V116" s="86">
        <f>MSY!B157</f>
        <v>0.23537933421569526</v>
      </c>
      <c r="W116" s="86">
        <f>MSY!C157</f>
        <v>0.78611110168939635</v>
      </c>
      <c r="X116" s="86">
        <f>MSY!D157</f>
        <v>2.0350253307053063</v>
      </c>
      <c r="Y116" s="86">
        <f>MSY!E157</f>
        <v>2.1151976522566205</v>
      </c>
      <c r="Z116" s="86">
        <f>MSY!F157</f>
        <v>4.304480801790616</v>
      </c>
      <c r="AA116" s="86">
        <f>MSY!G157</f>
        <v>1.6627803567062767</v>
      </c>
      <c r="AB116">
        <f t="shared" si="5"/>
        <v>1.6355500453480054E-2</v>
      </c>
      <c r="AC116">
        <f t="shared" si="6"/>
        <v>0.66533362649587868</v>
      </c>
      <c r="AF116">
        <f t="shared" si="4"/>
        <v>1.1299999999999999</v>
      </c>
    </row>
    <row r="117" spans="21:32" x14ac:dyDescent="0.3">
      <c r="U117" s="86">
        <f>MSY!A158</f>
        <v>1.1399999999999999</v>
      </c>
      <c r="V117" s="86">
        <f>MSY!B158</f>
        <v>0.23445205418401688</v>
      </c>
      <c r="W117" s="86">
        <f>MSY!C158</f>
        <v>0.78627138012311693</v>
      </c>
      <c r="X117" s="86">
        <f>MSY!D158</f>
        <v>2.0270083212281977</v>
      </c>
      <c r="Y117" s="86">
        <f>MSY!E158</f>
        <v>2.1040213706630881</v>
      </c>
      <c r="Z117" s="86">
        <f>MSY!F158</f>
        <v>4.2648688263760377</v>
      </c>
      <c r="AA117" s="86">
        <f>MSY!G158</f>
        <v>1.6543317869197984</v>
      </c>
      <c r="AB117">
        <f t="shared" si="5"/>
        <v>1.571048470341839E-2</v>
      </c>
      <c r="AC117">
        <f t="shared" si="6"/>
        <v>0.66597864224594039</v>
      </c>
      <c r="AF117">
        <f t="shared" si="4"/>
        <v>1.1399999999999999</v>
      </c>
    </row>
    <row r="118" spans="21:32" x14ac:dyDescent="0.3">
      <c r="U118" s="86">
        <f>MSY!A159</f>
        <v>1.1499999999999999</v>
      </c>
      <c r="V118" s="86">
        <f>MSY!B159</f>
        <v>0.23353793816749024</v>
      </c>
      <c r="W118" s="86">
        <f>MSY!C159</f>
        <v>0.78642531138346472</v>
      </c>
      <c r="X118" s="86">
        <f>MSY!D159</f>
        <v>2.0191051242248004</v>
      </c>
      <c r="Y118" s="86">
        <f>MSY!E159</f>
        <v>2.0929168802170688</v>
      </c>
      <c r="Z118" s="86">
        <f>MSY!F159</f>
        <v>4.2258191974228669</v>
      </c>
      <c r="AA118" s="86">
        <f>MSY!G159</f>
        <v>1.6459228092244178</v>
      </c>
      <c r="AB118">
        <f t="shared" si="5"/>
        <v>1.5085677093146219E-2</v>
      </c>
      <c r="AC118">
        <f t="shared" si="6"/>
        <v>0.66660344985621256</v>
      </c>
      <c r="AF118">
        <f t="shared" si="4"/>
        <v>1.1499999999999999</v>
      </c>
    </row>
    <row r="119" spans="21:32" x14ac:dyDescent="0.3">
      <c r="U119" s="86">
        <f>MSY!A160</f>
        <v>1.1599999999999999</v>
      </c>
      <c r="V119" s="86">
        <f>MSY!B160</f>
        <v>0.23263668569108592</v>
      </c>
      <c r="W119" s="86">
        <f>MSY!C160</f>
        <v>0.78657309366497985</v>
      </c>
      <c r="X119" s="86">
        <f>MSY!D160</f>
        <v>2.011313141870211</v>
      </c>
      <c r="Y119" s="86">
        <f>MSY!E160</f>
        <v>2.0818832194408383</v>
      </c>
      <c r="Z119" s="86">
        <f>MSY!F160</f>
        <v>4.1873190791004227</v>
      </c>
      <c r="AA119" s="86">
        <f>MSY!G160</f>
        <v>1.6375533245647884</v>
      </c>
      <c r="AB119">
        <f t="shared" si="5"/>
        <v>1.4480317838527755E-2</v>
      </c>
      <c r="AC119">
        <f t="shared" si="6"/>
        <v>0.66720880911083102</v>
      </c>
      <c r="AF119">
        <f t="shared" si="4"/>
        <v>1.1599999999999999</v>
      </c>
    </row>
    <row r="120" spans="21:32" x14ac:dyDescent="0.3">
      <c r="U120" s="86">
        <f>MSY!A161</f>
        <v>1.17</v>
      </c>
      <c r="V120" s="86">
        <f>MSY!B161</f>
        <v>0.23174800549516245</v>
      </c>
      <c r="W120" s="86">
        <f>MSY!C161</f>
        <v>0.78671491774023528</v>
      </c>
      <c r="X120" s="86">
        <f>MSY!D161</f>
        <v>2.0036298560132497</v>
      </c>
      <c r="Y120" s="86">
        <f>MSY!E161</f>
        <v>2.0709194449225539</v>
      </c>
      <c r="Z120" s="86">
        <f>MSY!F161</f>
        <v>4.1493560292452152</v>
      </c>
      <c r="AA120" s="86">
        <f>MSY!G161</f>
        <v>1.6292232207589006</v>
      </c>
      <c r="AB120">
        <f t="shared" si="5"/>
        <v>1.3893681409155022E-2</v>
      </c>
      <c r="AC120">
        <f t="shared" si="6"/>
        <v>0.66779544554020376</v>
      </c>
      <c r="AF120">
        <f t="shared" si="4"/>
        <v>1.17</v>
      </c>
    </row>
    <row r="121" spans="21:32" x14ac:dyDescent="0.3">
      <c r="U121" s="86">
        <f>MSY!A162</f>
        <v>1.18</v>
      </c>
      <c r="V121" s="86">
        <f>MSY!B162</f>
        <v>0.23087161518582994</v>
      </c>
      <c r="W121" s="86">
        <f>MSY!C162</f>
        <v>0.78685096729316295</v>
      </c>
      <c r="X121" s="86">
        <f>MSY!D162</f>
        <v>1.9960528251535992</v>
      </c>
      <c r="Y121" s="86">
        <f>MSY!E162</f>
        <v>2.0600246309155645</v>
      </c>
      <c r="Z121" s="86">
        <f>MSY!F162</f>
        <v>4.1119179844250127</v>
      </c>
      <c r="AA121" s="86">
        <f>MSY!G162</f>
        <v>1.6209323734836529</v>
      </c>
      <c r="AB121">
        <f t="shared" si="5"/>
        <v>1.3325074740611053E-2</v>
      </c>
      <c r="AC121">
        <f t="shared" si="6"/>
        <v>0.66836405220874773</v>
      </c>
      <c r="AF121">
        <f t="shared" si="4"/>
        <v>1.18</v>
      </c>
    </row>
    <row r="122" spans="21:32" x14ac:dyDescent="0.3">
      <c r="U122" s="86">
        <f>MSY!A163</f>
        <v>1.19</v>
      </c>
      <c r="V122" s="86">
        <f>MSY!B163</f>
        <v>0.23000724090097513</v>
      </c>
      <c r="W122" s="86">
        <f>MSY!C163</f>
        <v>0.7869814192350475</v>
      </c>
      <c r="X122" s="86">
        <f>MSY!D163</f>
        <v>1.9885796815543488</v>
      </c>
      <c r="Y122" s="86">
        <f>MSY!E163</f>
        <v>2.0491978689467318</v>
      </c>
      <c r="Z122" s="86">
        <f>MSY!F163</f>
        <v>4.0749932456719424</v>
      </c>
      <c r="AA122" s="86">
        <f>MSY!G163</f>
        <v>1.6126806471971338</v>
      </c>
      <c r="AB122">
        <f t="shared" si="5"/>
        <v>1.2773835551460598E-2</v>
      </c>
      <c r="AC122">
        <f t="shared" si="6"/>
        <v>0.66891529139789818</v>
      </c>
      <c r="AF122">
        <f t="shared" si="4"/>
        <v>1.19</v>
      </c>
    </row>
    <row r="123" spans="21:32" x14ac:dyDescent="0.3">
      <c r="U123" s="86">
        <f>MSY!A164</f>
        <v>1.2</v>
      </c>
      <c r="V123" s="86">
        <f>MSY!B164</f>
        <v>0.22915461699114162</v>
      </c>
      <c r="W123" s="86">
        <f>MSY!C164</f>
        <v>0.78710644400419216</v>
      </c>
      <c r="X123" s="86">
        <f>MSY!D164</f>
        <v>1.9812081284829728</v>
      </c>
      <c r="Y123" s="86">
        <f>MSY!E164</f>
        <v>2.0384382674335981</v>
      </c>
      <c r="Z123" s="86">
        <f>MSY!F164</f>
        <v>4.0385704648501921</v>
      </c>
      <c r="AA123" s="86">
        <f>MSY!G164</f>
        <v>1.6044678960017258</v>
      </c>
      <c r="AB123">
        <f t="shared" si="5"/>
        <v>1.223933075794047E-2</v>
      </c>
      <c r="AC123">
        <f t="shared" si="6"/>
        <v>0.66944979619141831</v>
      </c>
      <c r="AF123">
        <f t="shared" si="4"/>
        <v>1.2</v>
      </c>
    </row>
    <row r="124" spans="21:32" x14ac:dyDescent="0.3">
      <c r="U124" s="86">
        <f>MSY!A165</f>
        <v>1.21</v>
      </c>
      <c r="V124" s="86">
        <f>MSY!B165</f>
        <v>0.22831348571450999</v>
      </c>
      <c r="W124" s="86">
        <f>MSY!C165</f>
        <v>0.78722620585020631</v>
      </c>
      <c r="X124" s="86">
        <f>MSY!D165</f>
        <v>1.9739359375742107</v>
      </c>
      <c r="Y124" s="86">
        <f>MSY!E165</f>
        <v>2.0277449513102792</v>
      </c>
      <c r="Z124" s="86">
        <f>MSY!F165</f>
        <v>4.002638631626029</v>
      </c>
      <c r="AA124" s="86">
        <f>MSY!G165</f>
        <v>1.5962939644519025</v>
      </c>
      <c r="AB124">
        <f t="shared" si="5"/>
        <v>1.1720954980470866E-2</v>
      </c>
      <c r="AC124">
        <f t="shared" si="6"/>
        <v>0.66996817196888792</v>
      </c>
      <c r="AF124">
        <f t="shared" si="4"/>
        <v>1.21</v>
      </c>
    </row>
    <row r="125" spans="21:32" x14ac:dyDescent="0.3">
      <c r="U125" s="86">
        <f>MSY!A166</f>
        <v>1.22</v>
      </c>
      <c r="V125" s="86">
        <f>MSY!B166</f>
        <v>0.22748359694526149</v>
      </c>
      <c r="W125" s="86">
        <f>MSY!C166</f>
        <v>0.78734086310380158</v>
      </c>
      <c r="X125" s="86">
        <f>MSY!D166</f>
        <v>1.9667609463086608</v>
      </c>
      <c r="Y125" s="86">
        <f>MSY!E166</f>
        <v>2.0171170616619172</v>
      </c>
      <c r="Z125" s="86">
        <f>MSY!F166</f>
        <v>3.9671870610095361</v>
      </c>
      <c r="AA125" s="86">
        <f>MSY!G166</f>
        <v>1.5881586883102981</v>
      </c>
      <c r="AB125">
        <f t="shared" si="5"/>
        <v>1.121812913586483E-2</v>
      </c>
      <c r="AC125">
        <f t="shared" si="6"/>
        <v>0.67047099781349395</v>
      </c>
      <c r="AF125">
        <f t="shared" si="4"/>
        <v>1.22</v>
      </c>
    </row>
    <row r="126" spans="21:32" x14ac:dyDescent="0.3">
      <c r="U126" s="86">
        <f>MSY!A167</f>
        <v>1.23</v>
      </c>
      <c r="V126" s="86">
        <f>MSY!B167</f>
        <v>0.2266647078946521</v>
      </c>
      <c r="W126" s="86">
        <f>MSY!C167</f>
        <v>0.7874505684329236</v>
      </c>
      <c r="X126" s="86">
        <f>MSY!D167</f>
        <v>1.9596810556012623</v>
      </c>
      <c r="Y126" s="86">
        <f>MSY!E167</f>
        <v>2.0065537553675461</v>
      </c>
      <c r="Z126" s="86">
        <f>MSY!F167</f>
        <v>3.9322053814393496</v>
      </c>
      <c r="AA126" s="86">
        <f>MSY!G167</f>
        <v>1.5800618952553918</v>
      </c>
      <c r="AB126">
        <f t="shared" si="5"/>
        <v>1.0730299110095478E-2</v>
      </c>
      <c r="AC126">
        <f t="shared" si="6"/>
        <v>0.67095882783926331</v>
      </c>
      <c r="AF126">
        <f t="shared" si="4"/>
        <v>1.23</v>
      </c>
    </row>
    <row r="127" spans="21:32" x14ac:dyDescent="0.3">
      <c r="U127" s="86">
        <f>MSY!A168</f>
        <v>1.24</v>
      </c>
      <c r="V127" s="86">
        <f>MSY!B168</f>
        <v>0.22585658284416293</v>
      </c>
      <c r="W127" s="86">
        <f>MSY!C168</f>
        <v>0.78755546908600349</v>
      </c>
      <c r="X127" s="86">
        <f>MSY!D168</f>
        <v>1.9526942274941868</v>
      </c>
      <c r="Y127" s="86">
        <f>MSY!E168</f>
        <v>1.9960542047512277</v>
      </c>
      <c r="Z127" s="86">
        <f>MSY!F168</f>
        <v>3.8976835233832214</v>
      </c>
      <c r="AA127" s="86">
        <f>MSY!G168</f>
        <v>1.5720034055439429</v>
      </c>
      <c r="AB127">
        <f t="shared" si="5"/>
        <v>1.0256934506308593E-2</v>
      </c>
      <c r="AC127">
        <f t="shared" si="6"/>
        <v>0.67143219244305019</v>
      </c>
      <c r="AF127">
        <f t="shared" si="4"/>
        <v>1.24</v>
      </c>
    </row>
    <row r="128" spans="21:32" x14ac:dyDescent="0.3">
      <c r="U128" s="86">
        <f>MSY!A169</f>
        <v>1.25</v>
      </c>
      <c r="V128" s="86">
        <f>MSY!B169</f>
        <v>0.22505899289012465</v>
      </c>
      <c r="W128" s="86">
        <f>MSY!C169</f>
        <v>0.78765570712304978</v>
      </c>
      <c r="X128" s="86">
        <f>MSY!D169</f>
        <v>1.9457984829489303</v>
      </c>
      <c r="Y128" s="86">
        <f>MSY!E169</f>
        <v>1.9856175972412877</v>
      </c>
      <c r="Z128" s="86">
        <f>MSY!F169</f>
        <v>3.863611708428798</v>
      </c>
      <c r="AA128" s="86">
        <f>MSY!G169</f>
        <v>1.5639830326310575</v>
      </c>
      <c r="AB128">
        <f t="shared" si="5"/>
        <v>9.7975274635786393E-3</v>
      </c>
      <c r="AC128">
        <f t="shared" si="6"/>
        <v>0.67189159948578014</v>
      </c>
      <c r="AF128">
        <f t="shared" si="4"/>
        <v>1.25</v>
      </c>
    </row>
    <row r="129" spans="21:32" x14ac:dyDescent="0.3">
      <c r="U129" s="86">
        <f>MSY!A170</f>
        <v>1.26</v>
      </c>
      <c r="V129" s="86">
        <f>MSY!B170</f>
        <v>0.22427171569925192</v>
      </c>
      <c r="W129" s="86">
        <f>MSY!C170</f>
        <v>0.78775141963527506</v>
      </c>
      <c r="X129" s="86">
        <f>MSY!D170</f>
        <v>1.9389918997327318</v>
      </c>
      <c r="Y129" s="86">
        <f>MSY!E170</f>
        <v>1.9752431350375028</v>
      </c>
      <c r="Z129" s="86">
        <f>MSY!F170</f>
        <v>3.8299804388404048</v>
      </c>
      <c r="AA129" s="86">
        <f>MSY!G170</f>
        <v>1.5560005837506241</v>
      </c>
      <c r="AB129">
        <f t="shared" si="5"/>
        <v>9.3515915419561859E-3</v>
      </c>
      <c r="AC129">
        <f t="shared" si="6"/>
        <v>0.6723375354074026</v>
      </c>
      <c r="AF129">
        <f t="shared" si="4"/>
        <v>1.26</v>
      </c>
    </row>
    <row r="130" spans="21:32" x14ac:dyDescent="0.3">
      <c r="U130" s="86">
        <f>MSY!A171</f>
        <v>1.27</v>
      </c>
      <c r="V130" s="86">
        <f>MSY!B171</f>
        <v>0.22349453527455171</v>
      </c>
      <c r="W130" s="86">
        <f>MSY!C171</f>
        <v>0.7878427389538889</v>
      </c>
      <c r="X130" s="86">
        <f>MSY!D171</f>
        <v>1.9322726103946801</v>
      </c>
      <c r="Y130" s="86">
        <f>MSY!E171</f>
        <v>1.964930034786089</v>
      </c>
      <c r="Z130" s="86">
        <f>MSY!F171</f>
        <v>3.7967804875590256</v>
      </c>
      <c r="AA130" s="86">
        <f>MSY!G171</f>
        <v>1.5480558604586325</v>
      </c>
      <c r="AB130">
        <f t="shared" si="5"/>
        <v>8.918660669626757E-3</v>
      </c>
      <c r="AC130">
        <f t="shared" si="6"/>
        <v>0.67277046627973203</v>
      </c>
      <c r="AF130">
        <f t="shared" ref="AF130:AF193" si="7">U130</f>
        <v>1.27</v>
      </c>
    </row>
    <row r="131" spans="21:32" x14ac:dyDescent="0.3">
      <c r="U131" s="86">
        <f>MSY!A172</f>
        <v>1.28</v>
      </c>
      <c r="V131" s="86">
        <f>MSY!B172</f>
        <v>0.2227272417311007</v>
      </c>
      <c r="W131" s="86">
        <f>MSY!C172</f>
        <v>0.7879297928486676</v>
      </c>
      <c r="X131" s="86">
        <f>MSY!D172</f>
        <v>1.9256388003271465</v>
      </c>
      <c r="Y131" s="86">
        <f>MSY!E172</f>
        <v>1.9546775272623245</v>
      </c>
      <c r="Z131" s="86">
        <f>MSY!F172</f>
        <v>3.7640028886238559</v>
      </c>
      <c r="AA131" s="86">
        <f>MSY!G172</f>
        <v>1.540148659141749</v>
      </c>
      <c r="AB131">
        <f t="shared" si="5"/>
        <v>8.4982881485007253E-3</v>
      </c>
      <c r="AC131">
        <f t="shared" si="6"/>
        <v>0.67319083880085806</v>
      </c>
      <c r="AF131">
        <f t="shared" si="7"/>
        <v>1.28</v>
      </c>
    </row>
    <row r="132" spans="21:32" x14ac:dyDescent="0.3">
      <c r="U132" s="86">
        <f>MSY!A173</f>
        <v>1.29</v>
      </c>
      <c r="V132" s="86">
        <f>MSY!B173</f>
        <v>0.22196963108121426</v>
      </c>
      <c r="W132" s="86">
        <f>MSY!C173</f>
        <v>0.78801270471685891</v>
      </c>
      <c r="X132" s="86">
        <f>MSY!D173</f>
        <v>1.9190887059084147</v>
      </c>
      <c r="Y132" s="86">
        <f>MSY!E173</f>
        <v>1.944484857060655</v>
      </c>
      <c r="Z132" s="86">
        <f>MSY!F173</f>
        <v>3.7316389279950415</v>
      </c>
      <c r="AA132" s="86">
        <f>MSY!G173</f>
        <v>1.5322787714933415</v>
      </c>
      <c r="AB132">
        <f t="shared" si="5"/>
        <v>8.0900457147037239E-3</v>
      </c>
      <c r="AC132">
        <f t="shared" si="6"/>
        <v>0.67359908123465506</v>
      </c>
      <c r="AF132">
        <f t="shared" si="7"/>
        <v>1.29</v>
      </c>
    </row>
    <row r="133" spans="21:32" x14ac:dyDescent="0.3">
      <c r="U133" s="86">
        <f>MSY!A174</f>
        <v>1.3</v>
      </c>
      <c r="V133" s="86">
        <f>MSY!B174</f>
        <v>0.22122150502855434</v>
      </c>
      <c r="W133" s="86">
        <f>MSY!C174</f>
        <v>0.78809159376296167</v>
      </c>
      <c r="X133" s="86">
        <f>MSY!D174</f>
        <v>1.9126206127225942</v>
      </c>
      <c r="Y133" s="86">
        <f>MSY!E174</f>
        <v>1.9343512822921234</v>
      </c>
      <c r="Z133" s="86">
        <f>MSY!F174</f>
        <v>3.6996801347582968</v>
      </c>
      <c r="AA133" s="86">
        <f>MSY!G174</f>
        <v>1.5244459849590282</v>
      </c>
      <c r="AB133">
        <f t="shared" si="5"/>
        <v>7.6935226503760321E-3</v>
      </c>
      <c r="AC133">
        <f t="shared" si="6"/>
        <v>0.67399560429898275</v>
      </c>
      <c r="AF133">
        <f t="shared" si="7"/>
        <v>1.3</v>
      </c>
    </row>
    <row r="134" spans="21:32" x14ac:dyDescent="0.3">
      <c r="U134" s="86">
        <f>MSY!A175</f>
        <v>1.31</v>
      </c>
      <c r="V134" s="86">
        <f>MSY!B175</f>
        <v>0.22048267077075084</v>
      </c>
      <c r="W134" s="86">
        <f>MSY!C175</f>
        <v>0.78816657516986643</v>
      </c>
      <c r="X134" s="86">
        <f>MSY!D175</f>
        <v>1.9062328538531381</v>
      </c>
      <c r="Y134" s="86">
        <f>MSY!E175</f>
        <v>1.9242760742889768</v>
      </c>
      <c r="Z134" s="86">
        <f>MSY!F175</f>
        <v>3.6681182726931896</v>
      </c>
      <c r="AA134" s="86">
        <f>MSY!G175</f>
        <v>1.5166500831536585</v>
      </c>
      <c r="AB134">
        <f t="shared" ref="AB134:AB197" si="8">(W135-W133)/(U135-U133)</f>
        <v>7.3083249439387316E-3</v>
      </c>
      <c r="AC134">
        <f t="shared" ref="AC134:AC197" si="9">ABS(AB134-$AC$3)</f>
        <v>0.67438080200542005</v>
      </c>
      <c r="AF134">
        <f t="shared" si="7"/>
        <v>1.31</v>
      </c>
    </row>
    <row r="135" spans="21:32" x14ac:dyDescent="0.3">
      <c r="U135" s="86">
        <f>MSY!A176</f>
        <v>1.32</v>
      </c>
      <c r="V135" s="86">
        <f>MSY!B176</f>
        <v>0.21975294081013066</v>
      </c>
      <c r="W135" s="86">
        <f>MSY!C176</f>
        <v>0.78823776026184045</v>
      </c>
      <c r="X135" s="86">
        <f>MSY!D176</f>
        <v>1.8999238082464589</v>
      </c>
      <c r="Y135" s="86">
        <f>MSY!E176</f>
        <v>1.9142585173162856</v>
      </c>
      <c r="Z135" s="86">
        <f>MSY!F176</f>
        <v>3.6369453321877776</v>
      </c>
      <c r="AA135" s="86">
        <f>MSY!G176</f>
        <v>1.5088908462515405</v>
      </c>
      <c r="AB135">
        <f t="shared" si="8"/>
        <v>6.9340744959844819E-3</v>
      </c>
      <c r="AC135">
        <f t="shared" si="9"/>
        <v>0.6747550524533743</v>
      </c>
      <c r="AF135">
        <f t="shared" si="7"/>
        <v>1.32</v>
      </c>
    </row>
    <row r="136" spans="21:32" x14ac:dyDescent="0.3">
      <c r="U136" s="86">
        <f>MSY!A177</f>
        <v>1.33</v>
      </c>
      <c r="V136" s="86">
        <f>MSY!B177</f>
        <v>0.2190321327721724</v>
      </c>
      <c r="W136" s="86">
        <f>MSY!C177</f>
        <v>0.78830525665978612</v>
      </c>
      <c r="X136" s="86">
        <f>MSY!D177</f>
        <v>1.8936918991423364</v>
      </c>
      <c r="Y136" s="86">
        <f>MSY!E177</f>
        <v>1.9042979082904203</v>
      </c>
      <c r="Z136" s="86">
        <f>MSY!F177</f>
        <v>3.6061535224832646</v>
      </c>
      <c r="AA136" s="86">
        <f>MSY!G177</f>
        <v>1.5011680513515737</v>
      </c>
      <c r="AB136">
        <f t="shared" si="8"/>
        <v>6.5704083675566178E-3</v>
      </c>
      <c r="AC136">
        <f t="shared" si="9"/>
        <v>0.67511871858180217</v>
      </c>
      <c r="AF136">
        <f t="shared" si="7"/>
        <v>1.33</v>
      </c>
    </row>
    <row r="137" spans="21:32" x14ac:dyDescent="0.3">
      <c r="U137" s="86">
        <f>MSY!A178</f>
        <v>1.34</v>
      </c>
      <c r="V137" s="86">
        <f>MSY!B178</f>
        <v>0.21832006923132488</v>
      </c>
      <c r="W137" s="86">
        <f>MSY!C178</f>
        <v>0.78836916842919158</v>
      </c>
      <c r="X137" s="86">
        <f>MSY!D178</f>
        <v>1.887535592567994</v>
      </c>
      <c r="Y137" s="86">
        <f>MSY!E178</f>
        <v>1.8943935565042584</v>
      </c>
      <c r="Z137" s="86">
        <f>MSY!F178</f>
        <v>3.5757352642332547</v>
      </c>
      <c r="AA137" s="86">
        <f>MSY!G178</f>
        <v>1.493481472818881</v>
      </c>
      <c r="AB137">
        <f t="shared" si="8"/>
        <v>6.2169780689347257E-3</v>
      </c>
      <c r="AC137">
        <f t="shared" si="9"/>
        <v>0.67547214888042406</v>
      </c>
      <c r="AF137">
        <f t="shared" si="7"/>
        <v>1.34</v>
      </c>
    </row>
    <row r="138" spans="21:32" x14ac:dyDescent="0.3">
      <c r="U138" s="86">
        <f>MSY!A179</f>
        <v>1.35</v>
      </c>
      <c r="V138" s="86">
        <f>MSY!B179</f>
        <v>0.21761657754384495</v>
      </c>
      <c r="W138" s="86">
        <f>MSY!C179</f>
        <v>0.78842959622116482</v>
      </c>
      <c r="X138" s="86">
        <f>MSY!D179</f>
        <v>1.8814533958928585</v>
      </c>
      <c r="Y138" s="86">
        <f>MSY!E179</f>
        <v>1.8845447833589259</v>
      </c>
      <c r="Z138" s="86">
        <f>MSY!F179</f>
        <v>3.5456831823628225</v>
      </c>
      <c r="AA138" s="86">
        <f>MSY!G179</f>
        <v>1.4858308826043805</v>
      </c>
      <c r="AB138">
        <f t="shared" si="8"/>
        <v>5.8734488862288662E-3</v>
      </c>
      <c r="AC138">
        <f t="shared" si="9"/>
        <v>0.67581567806312992</v>
      </c>
      <c r="AF138">
        <f t="shared" si="7"/>
        <v>1.35</v>
      </c>
    </row>
    <row r="139" spans="21:32" x14ac:dyDescent="0.3">
      <c r="U139" s="86">
        <f>MSY!A180</f>
        <v>1.36</v>
      </c>
      <c r="V139" s="86">
        <f>MSY!B180</f>
        <v>0.21692148968733141</v>
      </c>
      <c r="W139" s="86">
        <f>MSY!C180</f>
        <v>0.78848663740691616</v>
      </c>
      <c r="X139" s="86">
        <f>MSY!D180</f>
        <v>1.8754438564412155</v>
      </c>
      <c r="Y139" s="86">
        <f>MSY!E180</f>
        <v>1.8747509221019778</v>
      </c>
      <c r="Z139" s="86">
        <f>MSY!F180</f>
        <v>3.5159900992136581</v>
      </c>
      <c r="AA139" s="86">
        <f>MSY!G180</f>
        <v>1.4782160505437039</v>
      </c>
      <c r="AB139">
        <f t="shared" si="8"/>
        <v>5.5394992435731042E-3</v>
      </c>
      <c r="AC139">
        <f t="shared" si="9"/>
        <v>0.67614962770578568</v>
      </c>
      <c r="AF139">
        <f t="shared" si="7"/>
        <v>1.36</v>
      </c>
    </row>
    <row r="140" spans="21:32" x14ac:dyDescent="0.3">
      <c r="U140" s="86">
        <f>MSY!A181</f>
        <v>1.37</v>
      </c>
      <c r="V140" s="86">
        <f>MSY!B181</f>
        <v>0.2162346421066447</v>
      </c>
      <c r="W140" s="86">
        <f>MSY!C181</f>
        <v>0.78854038620603628</v>
      </c>
      <c r="X140" s="86">
        <f>MSY!D181</f>
        <v>1.8695055601600721</v>
      </c>
      <c r="Y140" s="86">
        <f>MSY!E181</f>
        <v>1.8650113175718255</v>
      </c>
      <c r="Z140" s="86">
        <f>MSY!F181</f>
        <v>3.4866490279619895</v>
      </c>
      <c r="AA140" s="86">
        <f>MSY!G181</f>
        <v>1.4706367446367159</v>
      </c>
      <c r="AB140">
        <f t="shared" si="8"/>
        <v>5.2148200986646383E-3</v>
      </c>
      <c r="AC140">
        <f t="shared" si="9"/>
        <v>0.67647430685069421</v>
      </c>
      <c r="AF140">
        <f t="shared" si="7"/>
        <v>1.37</v>
      </c>
    </row>
    <row r="141" spans="21:32" x14ac:dyDescent="0.3">
      <c r="U141" s="86">
        <f>MSY!A182</f>
        <v>1.38</v>
      </c>
      <c r="V141" s="86">
        <f>MSY!B182</f>
        <v>0.21555587556592173</v>
      </c>
      <c r="W141" s="86">
        <f>MSY!C182</f>
        <v>0.78859093380888945</v>
      </c>
      <c r="X141" s="86">
        <f>MSY!D182</f>
        <v>1.8636371303397179</v>
      </c>
      <c r="Y141" s="86">
        <f>MSY!E182</f>
        <v>1.8553253259482978</v>
      </c>
      <c r="Z141" s="86">
        <f>MSY!F182</f>
        <v>3.4576531662968875</v>
      </c>
      <c r="AA141" s="86">
        <f>MSY!G182</f>
        <v>1.4630927313088504</v>
      </c>
      <c r="AB141">
        <f t="shared" si="8"/>
        <v>4.8991143701382859E-3</v>
      </c>
      <c r="AC141">
        <f t="shared" si="9"/>
        <v>0.67679001257922056</v>
      </c>
      <c r="AF141">
        <f t="shared" si="7"/>
        <v>1.38</v>
      </c>
    </row>
    <row r="142" spans="21:32" x14ac:dyDescent="0.3">
      <c r="U142" s="86">
        <f>MSY!A183</f>
        <v>1.39</v>
      </c>
      <c r="V142" s="86">
        <f>MSY!B183</f>
        <v>0.21488503500640771</v>
      </c>
      <c r="W142" s="86">
        <f>MSY!C183</f>
        <v>0.78863836849343905</v>
      </c>
      <c r="X142" s="86">
        <f>MSY!D183</f>
        <v>1.8578372263845793</v>
      </c>
      <c r="Y142" s="86">
        <f>MSY!E183</f>
        <v>1.8456923145091759</v>
      </c>
      <c r="Z142" s="86">
        <f>MSY!F183</f>
        <v>3.4289958903470623</v>
      </c>
      <c r="AA142" s="86">
        <f>MSY!G183</f>
        <v>1.455583775655396</v>
      </c>
      <c r="AB142">
        <f t="shared" si="8"/>
        <v>4.5920963946066663E-3</v>
      </c>
      <c r="AC142">
        <f t="shared" si="9"/>
        <v>0.67709703055475212</v>
      </c>
      <c r="AF142">
        <f t="shared" si="7"/>
        <v>1.39</v>
      </c>
    </row>
    <row r="143" spans="21:32" x14ac:dyDescent="0.3">
      <c r="U143" s="86">
        <f>MSY!A184</f>
        <v>1.4</v>
      </c>
      <c r="V143" s="86">
        <f>MSY!B184</f>
        <v>0.21422196940984226</v>
      </c>
      <c r="W143" s="86">
        <f>MSY!C184</f>
        <v>0.78868277573678158</v>
      </c>
      <c r="X143" s="86">
        <f>MSY!D184</f>
        <v>1.8521045426320906</v>
      </c>
      <c r="Y143" s="86">
        <f>MSY!E184</f>
        <v>1.8361116613925603</v>
      </c>
      <c r="Z143" s="86">
        <f>MSY!F184</f>
        <v>3.4006707488449157</v>
      </c>
      <c r="AA143" s="86">
        <f>MSY!G184</f>
        <v>1.4481096416697581</v>
      </c>
      <c r="AB143">
        <f t="shared" si="8"/>
        <v>4.2934914116832222E-3</v>
      </c>
      <c r="AC143">
        <f t="shared" si="9"/>
        <v>0.67739563553767557</v>
      </c>
      <c r="AF143">
        <f t="shared" si="7"/>
        <v>1.4</v>
      </c>
    </row>
    <row r="144" spans="21:32" x14ac:dyDescent="0.3">
      <c r="U144" s="86">
        <f>MSY!A185</f>
        <v>1.41</v>
      </c>
      <c r="V144" s="86">
        <f>MSY!B185</f>
        <v>0.21356653166715087</v>
      </c>
      <c r="W144" s="86">
        <f>MSY!C185</f>
        <v>0.78872423832167271</v>
      </c>
      <c r="X144" s="86">
        <f>MSY!D185</f>
        <v>1.8464378072174386</v>
      </c>
      <c r="Y144" s="86">
        <f>MSY!E185</f>
        <v>1.8265827553649592</v>
      </c>
      <c r="Z144" s="86">
        <f>MSY!F185</f>
        <v>3.3726714575172618</v>
      </c>
      <c r="AA144" s="86">
        <f>MSY!G185</f>
        <v>1.4406700924567297</v>
      </c>
      <c r="AB144">
        <f t="shared" si="8"/>
        <v>4.0030350755171328E-3</v>
      </c>
      <c r="AC144">
        <f t="shared" si="9"/>
        <v>0.67768609187384166</v>
      </c>
      <c r="AF144">
        <f t="shared" si="7"/>
        <v>1.41</v>
      </c>
    </row>
    <row r="145" spans="21:32" x14ac:dyDescent="0.3">
      <c r="U145" s="86">
        <f>MSY!A186</f>
        <v>1.42</v>
      </c>
      <c r="V145" s="86">
        <f>MSY!B186</f>
        <v>0.21291857845220305</v>
      </c>
      <c r="W145" s="86">
        <f>MSY!C186</f>
        <v>0.78876283643829193</v>
      </c>
      <c r="X145" s="86">
        <f>MSY!D186</f>
        <v>1.8408357809821088</v>
      </c>
      <c r="Y145" s="86">
        <f>MSY!E186</f>
        <v>1.8171049955949141</v>
      </c>
      <c r="Z145" s="86">
        <f>MSY!F186</f>
        <v>3.3449918936924545</v>
      </c>
      <c r="AA145" s="86">
        <f>MSY!G186</f>
        <v>1.4332648904316345</v>
      </c>
      <c r="AB145">
        <f t="shared" si="8"/>
        <v>3.7204729912143596E-3</v>
      </c>
      <c r="AC145">
        <f t="shared" si="9"/>
        <v>0.67796865395814443</v>
      </c>
      <c r="AF145">
        <f t="shared" si="7"/>
        <v>1.42</v>
      </c>
    </row>
    <row r="146" spans="21:32" x14ac:dyDescent="0.3">
      <c r="U146" s="86">
        <f>MSY!A187</f>
        <v>1.43</v>
      </c>
      <c r="V146" s="86">
        <f>MSY!B187</f>
        <v>0.21227797010041399</v>
      </c>
      <c r="W146" s="86">
        <f>MSY!C187</f>
        <v>0.788798647781497</v>
      </c>
      <c r="X146" s="86">
        <f>MSY!D187</f>
        <v>1.8352972564243095</v>
      </c>
      <c r="Y146" s="86">
        <f>MSY!E187</f>
        <v>1.8076777914320765</v>
      </c>
      <c r="Z146" s="86">
        <f>MSY!F187</f>
        <v>3.3176260911144451</v>
      </c>
      <c r="AA146" s="86">
        <f>MSY!G187</f>
        <v>1.4258937975062649</v>
      </c>
      <c r="AB146">
        <f t="shared" si="8"/>
        <v>3.445560274834E-3</v>
      </c>
      <c r="AC146">
        <f t="shared" si="9"/>
        <v>0.67824356667452479</v>
      </c>
      <c r="AF146">
        <f t="shared" si="7"/>
        <v>1.43</v>
      </c>
    </row>
    <row r="147" spans="21:32" x14ac:dyDescent="0.3">
      <c r="U147" s="86">
        <f>MSY!A188</f>
        <v>1.44</v>
      </c>
      <c r="V147" s="86">
        <f>MSY!B188</f>
        <v>0.21164457049197488</v>
      </c>
      <c r="W147" s="86">
        <f>MSY!C188</f>
        <v>0.78883174764378861</v>
      </c>
      <c r="X147" s="86">
        <f>MSY!D188</f>
        <v>1.8298210566894115</v>
      </c>
      <c r="Y147" s="86">
        <f>MSY!E188</f>
        <v>1.7983005621915757</v>
      </c>
      <c r="Z147" s="86">
        <f>MSY!F188</f>
        <v>3.2905682349545518</v>
      </c>
      <c r="AA147" s="86">
        <f>MSY!G188</f>
        <v>1.4185565752623883</v>
      </c>
      <c r="AB147">
        <f t="shared" si="8"/>
        <v>3.1780611354947888E-3</v>
      </c>
      <c r="AC147">
        <f t="shared" si="9"/>
        <v>0.678511065813864</v>
      </c>
      <c r="AF147">
        <f t="shared" si="7"/>
        <v>1.44</v>
      </c>
    </row>
    <row r="148" spans="21:32" x14ac:dyDescent="0.3">
      <c r="U148" s="86">
        <f>MSY!A189</f>
        <v>1.45</v>
      </c>
      <c r="V148" s="86">
        <f>MSY!B189</f>
        <v>0.21101824693950885</v>
      </c>
      <c r="W148" s="86">
        <f>MSY!C189</f>
        <v>0.78886220900420689</v>
      </c>
      <c r="X148" s="86">
        <f>MSY!D189</f>
        <v>1.8244060345986544</v>
      </c>
      <c r="Y148" s="86">
        <f>MSY!E189</f>
        <v>1.788972736943564</v>
      </c>
      <c r="Z148" s="86">
        <f>MSY!F189</f>
        <v>3.2638126570123087</v>
      </c>
      <c r="AA148" s="86">
        <f>MSY!G189</f>
        <v>1.4112529851136018</v>
      </c>
      <c r="AB148">
        <f t="shared" si="8"/>
        <v>2.9177484785314319E-3</v>
      </c>
      <c r="AC148">
        <f t="shared" si="9"/>
        <v>0.67877137847082736</v>
      </c>
      <c r="AF148">
        <f t="shared" si="7"/>
        <v>1.45</v>
      </c>
    </row>
    <row r="149" spans="21:32" x14ac:dyDescent="0.3">
      <c r="U149" s="86">
        <f>MSY!A190</f>
        <v>1.46</v>
      </c>
      <c r="V149" s="86">
        <f>MSY!B190</f>
        <v>0.21039887007995942</v>
      </c>
      <c r="W149" s="86">
        <f>MSY!C190</f>
        <v>0.78889010261335923</v>
      </c>
      <c r="X149" s="86">
        <f>MSY!D190</f>
        <v>1.8190510717144415</v>
      </c>
      <c r="Y149" s="86">
        <f>MSY!E190</f>
        <v>1.779693754307798</v>
      </c>
      <c r="Z149" s="86">
        <f>MSY!F190</f>
        <v>3.237353831097098</v>
      </c>
      <c r="AA149" s="86">
        <f>MSY!G190</f>
        <v>1.4039827884562333</v>
      </c>
      <c r="AB149">
        <f t="shared" si="8"/>
        <v>2.664403528351842E-3</v>
      </c>
      <c r="AC149">
        <f t="shared" si="9"/>
        <v>0.67902472342100695</v>
      </c>
      <c r="AF149">
        <f t="shared" si="7"/>
        <v>1.46</v>
      </c>
    </row>
    <row r="150" spans="21:32" x14ac:dyDescent="0.3">
      <c r="U150" s="86">
        <f>MSY!A191</f>
        <v>1.47</v>
      </c>
      <c r="V150" s="86">
        <f>MSY!B191</f>
        <v>0.20978631377052842</v>
      </c>
      <c r="W150" s="86">
        <f>MSY!C191</f>
        <v>0.78891549707477393</v>
      </c>
      <c r="X150" s="86">
        <f>MSY!D191</f>
        <v>1.813755077440649</v>
      </c>
      <c r="Y150" s="86">
        <f>MSY!E191</f>
        <v>1.7704630622531516</v>
      </c>
      <c r="Z150" s="86">
        <f>MSY!F191</f>
        <v>3.2111863685827737</v>
      </c>
      <c r="AA150" s="86">
        <f>MSY!G191</f>
        <v>1.3967457468099715</v>
      </c>
      <c r="AB150">
        <f t="shared" si="8"/>
        <v>2.4178154700626986E-3</v>
      </c>
      <c r="AC150">
        <f t="shared" si="9"/>
        <v>0.67927131147929609</v>
      </c>
      <c r="AF150">
        <f t="shared" si="7"/>
        <v>1.47</v>
      </c>
    </row>
    <row r="151" spans="21:32" x14ac:dyDescent="0.3">
      <c r="U151" s="86">
        <f>MSY!A192</f>
        <v>1.48</v>
      </c>
      <c r="V151" s="86">
        <f>MSY!B192</f>
        <v>0.20918045498848767</v>
      </c>
      <c r="W151" s="86">
        <f>MSY!C192</f>
        <v>0.78893845892276049</v>
      </c>
      <c r="X151" s="86">
        <f>MSY!D192</f>
        <v>1.808516988156424</v>
      </c>
      <c r="Y151" s="86">
        <f>MSY!E192</f>
        <v>1.7612801179019244</v>
      </c>
      <c r="Z151" s="86">
        <f>MSY!F192</f>
        <v>3.1853050141277799</v>
      </c>
      <c r="AA151" s="86">
        <f>MSY!G192</f>
        <v>1.3895416219488421</v>
      </c>
      <c r="AB151">
        <f t="shared" si="8"/>
        <v>2.1777811086420833E-3</v>
      </c>
      <c r="AC151">
        <f t="shared" si="9"/>
        <v>0.67951134584071671</v>
      </c>
      <c r="AF151">
        <f t="shared" si="7"/>
        <v>1.48</v>
      </c>
    </row>
    <row r="152" spans="21:32" x14ac:dyDescent="0.3">
      <c r="U152" s="86">
        <f>MSY!A193</f>
        <v>1.49</v>
      </c>
      <c r="V152" s="86">
        <f>MSY!B193</f>
        <v>0.20858117373469906</v>
      </c>
      <c r="W152" s="86">
        <f>MSY!C193</f>
        <v>0.78895905269694677</v>
      </c>
      <c r="X152" s="86">
        <f>MSY!D193</f>
        <v>1.8033357663820475</v>
      </c>
      <c r="Y152" s="86">
        <f>MSY!E193</f>
        <v>1.7521443873388327</v>
      </c>
      <c r="Z152" s="86">
        <f>MSY!F193</f>
        <v>3.1597046415536769</v>
      </c>
      <c r="AA152" s="86">
        <f>MSY!G193</f>
        <v>1.3823701760231177</v>
      </c>
      <c r="AB152">
        <f t="shared" si="8"/>
        <v>1.9441045449319887E-3</v>
      </c>
      <c r="AC152">
        <f t="shared" si="9"/>
        <v>0.6797450224044268</v>
      </c>
      <c r="AF152">
        <f t="shared" si="7"/>
        <v>1.49</v>
      </c>
    </row>
    <row r="153" spans="21:32" x14ac:dyDescent="0.3">
      <c r="U153" s="86">
        <f>MSY!A194</f>
        <v>1.5</v>
      </c>
      <c r="V153" s="86">
        <f>MSY!B194</f>
        <v>0.20798835294068493</v>
      </c>
      <c r="W153" s="86">
        <f>MSY!C194</f>
        <v>0.78897734101365913</v>
      </c>
      <c r="X153" s="86">
        <f>MSY!D194</f>
        <v>1.7982103999754875</v>
      </c>
      <c r="Y153" s="86">
        <f>MSY!E194</f>
        <v>1.7430553454245679</v>
      </c>
      <c r="Z153" s="86">
        <f>MSY!F194</f>
        <v>3.1343802498753233</v>
      </c>
      <c r="AA153" s="86">
        <f>MSY!G194</f>
        <v>1.3752311716727206</v>
      </c>
      <c r="AB153">
        <f t="shared" si="8"/>
        <v>1.716596867273877E-3</v>
      </c>
      <c r="AC153">
        <f t="shared" si="9"/>
        <v>0.67997253008208491</v>
      </c>
      <c r="AF153">
        <f t="shared" si="7"/>
        <v>1.5</v>
      </c>
    </row>
    <row r="154" spans="21:32" x14ac:dyDescent="0.3">
      <c r="U154" s="86">
        <f>MSY!A195</f>
        <v>1.51</v>
      </c>
      <c r="V154" s="86">
        <f>MSY!B195</f>
        <v>0.20740187837909746</v>
      </c>
      <c r="W154" s="86">
        <f>MSY!C195</f>
        <v>0.78899338463429225</v>
      </c>
      <c r="X154" s="86">
        <f>MSY!D195</f>
        <v>1.793139901358344</v>
      </c>
      <c r="Y154" s="86">
        <f>MSY!E195</f>
        <v>1.7340124756138033</v>
      </c>
      <c r="Z154" s="86">
        <f>MSY!F195</f>
        <v>3.1093269594762734</v>
      </c>
      <c r="AA154" s="86">
        <f>MSY!G195</f>
        <v>1.3681243721326228</v>
      </c>
      <c r="AB154">
        <f t="shared" si="8"/>
        <v>1.4950758582377142E-3</v>
      </c>
      <c r="AC154">
        <f t="shared" si="9"/>
        <v>0.68019405109112108</v>
      </c>
      <c r="AF154">
        <f t="shared" si="7"/>
        <v>1.51</v>
      </c>
    </row>
    <row r="155" spans="21:32" x14ac:dyDescent="0.3">
      <c r="U155" s="86">
        <f>MSY!A196</f>
        <v>1.52</v>
      </c>
      <c r="V155" s="86">
        <f>MSY!B196</f>
        <v>0.20682163857744484</v>
      </c>
      <c r="W155" s="86">
        <f>MSY!C196</f>
        <v>0.78900724253082388</v>
      </c>
      <c r="X155" s="86">
        <f>MSY!D196</f>
        <v>1.7881233067699489</v>
      </c>
      <c r="Y155" s="86">
        <f>MSY!E196</f>
        <v>1.7250152697775489</v>
      </c>
      <c r="Z155" s="86">
        <f>MSY!F196</f>
        <v>3.0845400084232861</v>
      </c>
      <c r="AA155" s="86">
        <f>MSY!G196</f>
        <v>1.3610495413307491</v>
      </c>
      <c r="AB155">
        <f t="shared" si="8"/>
        <v>1.2793657152287963E-3</v>
      </c>
      <c r="AC155">
        <f t="shared" si="9"/>
        <v>0.68040976123412999</v>
      </c>
      <c r="AF155">
        <f t="shared" si="7"/>
        <v>1.52</v>
      </c>
    </row>
    <row r="156" spans="21:32" x14ac:dyDescent="0.3">
      <c r="U156" s="86">
        <f>MSY!A197</f>
        <v>1.53</v>
      </c>
      <c r="V156" s="86">
        <f>MSY!B197</f>
        <v>0.20624752473493652</v>
      </c>
      <c r="W156" s="86">
        <f>MSY!C197</f>
        <v>0.78901897194859683</v>
      </c>
      <c r="X156" s="86">
        <f>MSY!D197</f>
        <v>1.7831596755484316</v>
      </c>
      <c r="Y156" s="86">
        <f>MSY!E197</f>
        <v>1.7160632280297312</v>
      </c>
      <c r="Z156" s="86">
        <f>MSY!F197</f>
        <v>3.0600147489140896</v>
      </c>
      <c r="AA156" s="86">
        <f>MSY!G197</f>
        <v>1.3540064439788091</v>
      </c>
      <c r="AB156">
        <f t="shared" si="8"/>
        <v>1.0692967847170101E-3</v>
      </c>
      <c r="AC156">
        <f t="shared" si="9"/>
        <v>0.68061983016464178</v>
      </c>
      <c r="AF156">
        <f t="shared" si="7"/>
        <v>1.53</v>
      </c>
    </row>
    <row r="157" spans="21:32" x14ac:dyDescent="0.3">
      <c r="U157" s="86">
        <f>MSY!A198</f>
        <v>1.54</v>
      </c>
      <c r="V157" s="86">
        <f>MSY!B198</f>
        <v>0.20567943064231864</v>
      </c>
      <c r="W157" s="86">
        <f>MSY!C198</f>
        <v>0.78902862846651822</v>
      </c>
      <c r="X157" s="86">
        <f>MSY!D198</f>
        <v>1.7782480894376389</v>
      </c>
      <c r="Y157" s="86">
        <f>MSY!E198</f>
        <v>1.7071558585579039</v>
      </c>
      <c r="Z157" s="86">
        <f>MSY!F198</f>
        <v>3.0357466438528649</v>
      </c>
      <c r="AA157" s="86">
        <f>MSY!G198</f>
        <v>1.3469948456565242</v>
      </c>
      <c r="AB157">
        <f t="shared" si="8"/>
        <v>8.6470530891169441E-4</v>
      </c>
      <c r="AC157">
        <f t="shared" si="9"/>
        <v>0.6808244216404471</v>
      </c>
      <c r="AF157">
        <f t="shared" si="7"/>
        <v>1.54</v>
      </c>
    </row>
    <row r="158" spans="21:32" x14ac:dyDescent="0.3">
      <c r="U158" s="86">
        <f>MSY!A199</f>
        <v>1.55</v>
      </c>
      <c r="V158" s="86">
        <f>MSY!B199</f>
        <v>0.20511725260457475</v>
      </c>
      <c r="W158" s="86">
        <f>MSY!C199</f>
        <v>0.78903626605477506</v>
      </c>
      <c r="X158" s="86">
        <f>MSY!D199</f>
        <v>1.7733876519188267</v>
      </c>
      <c r="Y158" s="86">
        <f>MSY!E199</f>
        <v>1.6982926774579814</v>
      </c>
      <c r="Z158" s="86">
        <f>MSY!F199</f>
        <v>3.011731263548147</v>
      </c>
      <c r="AA158" s="86">
        <f>MSY!G199</f>
        <v>1.3400145128896122</v>
      </c>
      <c r="AB158">
        <f t="shared" si="8"/>
        <v>6.6543318442135958E-4</v>
      </c>
      <c r="AC158">
        <f t="shared" si="9"/>
        <v>0.68102369376493743</v>
      </c>
      <c r="AF158">
        <f t="shared" si="7"/>
        <v>1.55</v>
      </c>
    </row>
    <row r="159" spans="21:32" x14ac:dyDescent="0.3">
      <c r="U159" s="86">
        <f>MSY!A200</f>
        <v>1.56</v>
      </c>
      <c r="V159" s="86">
        <f>MSY!B200</f>
        <v>0.20456088936637412</v>
      </c>
      <c r="W159" s="86">
        <f>MSY!C200</f>
        <v>0.78904193713020665</v>
      </c>
      <c r="X159" s="86">
        <f>MSY!D200</f>
        <v>1.7685774875661058</v>
      </c>
      <c r="Y159" s="86">
        <f>MSY!E200</f>
        <v>1.6894732085728899</v>
      </c>
      <c r="Z159" s="86">
        <f>MSY!F200</f>
        <v>2.9879642825280892</v>
      </c>
      <c r="AA159" s="86">
        <f>MSY!G200</f>
        <v>1.3330652132219387</v>
      </c>
      <c r="AB159">
        <f t="shared" si="8"/>
        <v>4.713277324486227E-4</v>
      </c>
      <c r="AC159">
        <f t="shared" si="9"/>
        <v>0.68121779921691017</v>
      </c>
      <c r="AF159">
        <f t="shared" si="7"/>
        <v>1.56</v>
      </c>
    </row>
    <row r="160" spans="21:32" x14ac:dyDescent="0.3">
      <c r="U160" s="86">
        <f>MSY!A201</f>
        <v>1.57</v>
      </c>
      <c r="V160" s="86">
        <f>MSY!B201</f>
        <v>0.20401024204015508</v>
      </c>
      <c r="W160" s="86">
        <f>MSY!C201</f>
        <v>0.78904569260942403</v>
      </c>
      <c r="X160" s="86">
        <f>MSY!D201</f>
        <v>1.7638167414246708</v>
      </c>
      <c r="Y160" s="86">
        <f>MSY!E201</f>
        <v>1.6806969833350442</v>
      </c>
      <c r="Z160" s="86">
        <f>MSY!F201</f>
        <v>2.9644414764682918</v>
      </c>
      <c r="AA160" s="86">
        <f>MSY!G201</f>
        <v>1.3261467152821695</v>
      </c>
      <c r="AB160">
        <f t="shared" si="8"/>
        <v>2.8224147948230333E-4</v>
      </c>
      <c r="AC160">
        <f t="shared" si="9"/>
        <v>0.68140688546987649</v>
      </c>
      <c r="AF160">
        <f t="shared" si="7"/>
        <v>1.57</v>
      </c>
    </row>
    <row r="161" spans="21:32" x14ac:dyDescent="0.3">
      <c r="U161" s="86">
        <f>MSY!A202</f>
        <v>1.58</v>
      </c>
      <c r="V161" s="86">
        <f>MSY!B202</f>
        <v>0.20346521403673554</v>
      </c>
      <c r="W161" s="86">
        <f>MSY!C202</f>
        <v>0.7890475819597963</v>
      </c>
      <c r="X161" s="86">
        <f>MSY!D202</f>
        <v>1.7591045784108774</v>
      </c>
      <c r="Y161" s="86">
        <f>MSY!E202</f>
        <v>1.6719635406125495</v>
      </c>
      <c r="Z161" s="86">
        <f>MSY!F202</f>
        <v>2.9411587192275968</v>
      </c>
      <c r="AA161" s="86">
        <f>MSY!G202</f>
        <v>1.3192587888452718</v>
      </c>
      <c r="AB161">
        <f t="shared" si="8"/>
        <v>9.8031948297938517E-5</v>
      </c>
      <c r="AC161">
        <f t="shared" si="9"/>
        <v>0.68159109500106085</v>
      </c>
      <c r="AF161">
        <f t="shared" si="7"/>
        <v>1.58</v>
      </c>
    </row>
    <row r="162" spans="21:32" x14ac:dyDescent="0.3">
      <c r="U162" s="86">
        <f>MSY!A203</f>
        <v>1.59</v>
      </c>
      <c r="V162" s="86">
        <f>MSY!B203</f>
        <v>0.20292571099834836</v>
      </c>
      <c r="W162" s="86">
        <f>MSY!C203</f>
        <v>0.78904765324838999</v>
      </c>
      <c r="X162" s="86">
        <f>MSY!D203</f>
        <v>1.7544401827332847</v>
      </c>
      <c r="Y162" s="86">
        <f>MSY!E203</f>
        <v>1.6632724265590273</v>
      </c>
      <c r="Z162" s="86">
        <f>MSY!F203</f>
        <v>2.9181119799874535</v>
      </c>
      <c r="AA162" s="86">
        <f>MSY!G203</f>
        <v>1.3124012048891556</v>
      </c>
      <c r="AB162">
        <f t="shared" si="8"/>
        <v>-8.1438541399414465E-5</v>
      </c>
      <c r="AC162">
        <f t="shared" si="9"/>
        <v>0.68177056549075821</v>
      </c>
      <c r="AF162">
        <f t="shared" si="7"/>
        <v>1.59</v>
      </c>
    </row>
    <row r="163" spans="21:32" x14ac:dyDescent="0.3">
      <c r="U163" s="86">
        <f>MSY!A204</f>
        <v>1.6</v>
      </c>
      <c r="V163" s="86">
        <f>MSY!B204</f>
        <v>0.20239164073400459</v>
      </c>
      <c r="W163" s="86">
        <f>MSY!C204</f>
        <v>0.78904595318896831</v>
      </c>
      <c r="X163" s="86">
        <f>MSY!D204</f>
        <v>1.7498227573338225</v>
      </c>
      <c r="Y163" s="86">
        <f>MSY!E204</f>
        <v>1.6546231944669989</v>
      </c>
      <c r="Z163" s="86">
        <f>MSY!F204</f>
        <v>2.8952973204907417</v>
      </c>
      <c r="AA163" s="86">
        <f>MSY!G204</f>
        <v>1.3055737356467889</v>
      </c>
      <c r="AB163">
        <f t="shared" si="8"/>
        <v>-2.5630306318413765E-4</v>
      </c>
      <c r="AC163">
        <f t="shared" si="9"/>
        <v>0.68194543001254293</v>
      </c>
      <c r="AF163">
        <f t="shared" si="7"/>
        <v>1.6</v>
      </c>
    </row>
    <row r="164" spans="21:32" x14ac:dyDescent="0.3">
      <c r="U164" s="86">
        <f>MSY!A205</f>
        <v>1.61</v>
      </c>
      <c r="V164" s="86">
        <f>MSY!B205</f>
        <v>0.20186291315708896</v>
      </c>
      <c r="W164" s="86">
        <f>MSY!C205</f>
        <v>0.78904252718712631</v>
      </c>
      <c r="X164" s="86">
        <f>MSY!D205</f>
        <v>1.7452515233482604</v>
      </c>
      <c r="Y164" s="86">
        <f>MSY!E205</f>
        <v>1.6460154046246895</v>
      </c>
      <c r="Z164" s="86">
        <f>MSY!F205</f>
        <v>2.8727108923759426</v>
      </c>
      <c r="AA164" s="86">
        <f>MSY!G205</f>
        <v>1.2987761546540053</v>
      </c>
      <c r="AB164">
        <f t="shared" si="8"/>
        <v>-4.2669026552588602E-4</v>
      </c>
      <c r="AC164">
        <f t="shared" si="9"/>
        <v>0.68211581721488468</v>
      </c>
      <c r="AF164">
        <f t="shared" si="7"/>
        <v>1.61</v>
      </c>
    </row>
    <row r="165" spans="21:32" x14ac:dyDescent="0.3">
      <c r="U165" s="86">
        <f>MSY!A206</f>
        <v>1.62</v>
      </c>
      <c r="V165" s="86">
        <f>MSY!B206</f>
        <v>0.20133944022510139</v>
      </c>
      <c r="W165" s="86">
        <f>MSY!C206</f>
        <v>0.78903741938365779</v>
      </c>
      <c r="X165" s="86">
        <f>MSY!D206</f>
        <v>1.7407257195852288</v>
      </c>
      <c r="Y165" s="86">
        <f>MSY!E206</f>
        <v>1.6374486241762214</v>
      </c>
      <c r="Z165" s="86">
        <f>MSY!F206</f>
        <v>2.8503489346029962</v>
      </c>
      <c r="AA165" s="86">
        <f>MSY!G206</f>
        <v>1.2920082367933265</v>
      </c>
      <c r="AB165">
        <f t="shared" si="8"/>
        <v>-5.927245449288748E-4</v>
      </c>
      <c r="AC165">
        <f t="shared" si="9"/>
        <v>0.68228185149428766</v>
      </c>
      <c r="AF165">
        <f t="shared" si="7"/>
        <v>1.62</v>
      </c>
    </row>
    <row r="166" spans="21:32" x14ac:dyDescent="0.3">
      <c r="U166" s="86">
        <f>MSY!A207</f>
        <v>1.63</v>
      </c>
      <c r="V166" s="86">
        <f>MSY!B207</f>
        <v>0.20082113588145756</v>
      </c>
      <c r="W166" s="86">
        <f>MSY!C207</f>
        <v>0.78903067269622773</v>
      </c>
      <c r="X166" s="86">
        <f>MSY!D207</f>
        <v>1.736244602023042</v>
      </c>
      <c r="Y166" s="86">
        <f>MSY!E207</f>
        <v>1.6289224269850695</v>
      </c>
      <c r="Z166" s="86">
        <f>MSY!F207</f>
        <v>2.8282077709670994</v>
      </c>
      <c r="AA166" s="86">
        <f>MSY!G207</f>
        <v>1.2852697583340014</v>
      </c>
      <c r="AB166">
        <f t="shared" si="8"/>
        <v>-7.5452621158823222E-4</v>
      </c>
      <c r="AC166">
        <f t="shared" si="9"/>
        <v>0.68244365316094702</v>
      </c>
      <c r="AF166">
        <f t="shared" si="7"/>
        <v>1.63</v>
      </c>
    </row>
    <row r="167" spans="21:32" x14ac:dyDescent="0.3">
      <c r="U167" s="86">
        <f>MSY!A208</f>
        <v>1.64</v>
      </c>
      <c r="V167" s="86">
        <f>MSY!B208</f>
        <v>0.20030791599926717</v>
      </c>
      <c r="W167" s="86">
        <f>MSY!C208</f>
        <v>0.78902232885942603</v>
      </c>
      <c r="X167" s="86">
        <f>MSY!D208</f>
        <v>1.7318074433236212</v>
      </c>
      <c r="Y167" s="86">
        <f>MSY!E208</f>
        <v>1.6204363935007118</v>
      </c>
      <c r="Z167" s="86">
        <f>MSY!F208</f>
        <v>2.8062838076970174</v>
      </c>
      <c r="AA167" s="86">
        <f>MSY!G208</f>
        <v>1.2785604969685009</v>
      </c>
      <c r="AB167">
        <f t="shared" si="8"/>
        <v>-9.1221164737476026E-4</v>
      </c>
      <c r="AC167">
        <f t="shared" si="9"/>
        <v>0.68260133859673355</v>
      </c>
      <c r="AF167">
        <f t="shared" si="7"/>
        <v>1.64</v>
      </c>
    </row>
    <row r="168" spans="21:32" x14ac:dyDescent="0.3">
      <c r="U168" s="86">
        <f>MSY!A209</f>
        <v>1.65</v>
      </c>
      <c r="V168" s="86">
        <f>MSY!B209</f>
        <v>0.19979969832701328</v>
      </c>
      <c r="W168" s="86">
        <f>MSY!C209</f>
        <v>0.78901242846328024</v>
      </c>
      <c r="X168" s="86">
        <f>MSY!D209</f>
        <v>1.7274135323628526</v>
      </c>
      <c r="Y168" s="86">
        <f>MSY!E209</f>
        <v>1.611990110628386</v>
      </c>
      <c r="Z168" s="86">
        <f>MSY!F209</f>
        <v>2.7845735311345661</v>
      </c>
      <c r="AA168" s="86">
        <f>MSY!G209</f>
        <v>1.2718802318456945</v>
      </c>
      <c r="AB168">
        <f t="shared" si="8"/>
        <v>-1.0658934568308345E-3</v>
      </c>
      <c r="AC168">
        <f t="shared" si="9"/>
        <v>0.68275502040618963</v>
      </c>
      <c r="AF168">
        <f t="shared" si="7"/>
        <v>1.65</v>
      </c>
    </row>
    <row r="169" spans="21:32" x14ac:dyDescent="0.3">
      <c r="U169" s="86">
        <f>MSY!A210</f>
        <v>1.66</v>
      </c>
      <c r="V169" s="86">
        <f>MSY!B210</f>
        <v>0.1992964024360577</v>
      </c>
      <c r="W169" s="86">
        <f>MSY!C210</f>
        <v>0.78900101099028941</v>
      </c>
      <c r="X169" s="86">
        <f>MSY!D210</f>
        <v>1.7230621737767335</v>
      </c>
      <c r="Y169" s="86">
        <f>MSY!E210</f>
        <v>1.6035831716018922</v>
      </c>
      <c r="Z169" s="86">
        <f>MSY!F210</f>
        <v>2.7630735054921454</v>
      </c>
      <c r="AA169" s="86">
        <f>MSY!G210</f>
        <v>1.2652287436009078</v>
      </c>
      <c r="AB169">
        <f t="shared" si="8"/>
        <v>-1.2156806115881647E-3</v>
      </c>
      <c r="AC169">
        <f t="shared" si="9"/>
        <v>0.68290480756094696</v>
      </c>
      <c r="AF169">
        <f t="shared" si="7"/>
        <v>1.66</v>
      </c>
    </row>
    <row r="170" spans="21:32" x14ac:dyDescent="0.3">
      <c r="U170" s="86">
        <f>MSY!A211</f>
        <v>1.67</v>
      </c>
      <c r="V170" s="86">
        <f>MSY!B211</f>
        <v>0.1987979496699018</v>
      </c>
      <c r="W170" s="86">
        <f>MSY!C211</f>
        <v>0.78898811485104847</v>
      </c>
      <c r="X170" s="86">
        <f>MSY!D211</f>
        <v>1.7187526875226944</v>
      </c>
      <c r="Y170" s="86">
        <f>MSY!E211</f>
        <v>1.5952151758593354</v>
      </c>
      <c r="Z170" s="86">
        <f>MSY!F211</f>
        <v>2.7417803706852202</v>
      </c>
      <c r="AA170" s="86">
        <f>MSY!G211</f>
        <v>1.2586058143830408</v>
      </c>
      <c r="AB170">
        <f t="shared" si="8"/>
        <v>-1.3616785881853653E-3</v>
      </c>
      <c r="AC170">
        <f t="shared" si="9"/>
        <v>0.68305080553754416</v>
      </c>
      <c r="AF170">
        <f t="shared" si="7"/>
        <v>1.67</v>
      </c>
    </row>
    <row r="171" spans="21:32" x14ac:dyDescent="0.3">
      <c r="U171" s="86">
        <f>MSY!A212</f>
        <v>1.68</v>
      </c>
      <c r="V171" s="86">
        <f>MSY!B212</f>
        <v>0.19830426309513469</v>
      </c>
      <c r="W171" s="86">
        <f>MSY!C212</f>
        <v>0.7889737774185257</v>
      </c>
      <c r="X171" s="86">
        <f>MSY!D212</f>
        <v>1.714484408455512</v>
      </c>
      <c r="Y171" s="86">
        <f>MSY!E212</f>
        <v>1.5868857289217611</v>
      </c>
      <c r="Z171" s="86">
        <f>MSY!F212</f>
        <v>2.7206908402369194</v>
      </c>
      <c r="AA171" s="86">
        <f>MSY!G212</f>
        <v>1.2520112278789524</v>
      </c>
      <c r="AB171">
        <f t="shared" si="8"/>
        <v>-1.503989500134527E-3</v>
      </c>
      <c r="AC171">
        <f t="shared" si="9"/>
        <v>0.68319311644949332</v>
      </c>
      <c r="AF171">
        <f t="shared" si="7"/>
        <v>1.68</v>
      </c>
    </row>
    <row r="172" spans="21:32" x14ac:dyDescent="0.3">
      <c r="U172" s="86">
        <f>MSY!A213</f>
        <v>1.69</v>
      </c>
      <c r="V172" s="86">
        <f>MSY!B213</f>
        <v>0.19781526745400385</v>
      </c>
      <c r="W172" s="86">
        <f>MSY!C213</f>
        <v>0.78895803506104578</v>
      </c>
      <c r="X172" s="86">
        <f>MSY!D213</f>
        <v>1.7102566859172459</v>
      </c>
      <c r="Y172" s="86">
        <f>MSY!E213</f>
        <v>1.5785944422745837</v>
      </c>
      <c r="Z172" s="86">
        <f>MSY!F213</f>
        <v>2.6998016992519127</v>
      </c>
      <c r="AA172" s="86">
        <f>MSY!G213</f>
        <v>1.2454447693352431</v>
      </c>
      <c r="AB172">
        <f t="shared" si="8"/>
        <v>-1.6427122240036936E-3</v>
      </c>
      <c r="AC172">
        <f t="shared" si="9"/>
        <v>0.68333183917336249</v>
      </c>
      <c r="AF172">
        <f t="shared" si="7"/>
        <v>1.69</v>
      </c>
    </row>
    <row r="173" spans="21:32" x14ac:dyDescent="0.3">
      <c r="U173" s="86">
        <f>MSY!A214</f>
        <v>1.7</v>
      </c>
      <c r="V173" s="86">
        <f>MSY!B214</f>
        <v>0.1973308891185466</v>
      </c>
      <c r="W173" s="86">
        <f>MSY!C214</f>
        <v>0.78894092317404563</v>
      </c>
      <c r="X173" s="86">
        <f>MSY!D214</f>
        <v>1.7060688833406736</v>
      </c>
      <c r="Y173" s="86">
        <f>MSY!E214</f>
        <v>1.5703409332517617</v>
      </c>
      <c r="Z173" s="86">
        <f>MSY!F214</f>
        <v>2.6791098024569844</v>
      </c>
      <c r="AA173" s="86">
        <f>MSY!G214</f>
        <v>1.2389062255776373</v>
      </c>
      <c r="AB173">
        <f t="shared" si="8"/>
        <v>-1.7779425201758221E-3</v>
      </c>
      <c r="AC173">
        <f t="shared" si="9"/>
        <v>0.68346706946953462</v>
      </c>
      <c r="AF173">
        <f t="shared" si="7"/>
        <v>1.7</v>
      </c>
    </row>
    <row r="174" spans="21:32" x14ac:dyDescent="0.3">
      <c r="U174" s="86">
        <f>MSY!A215</f>
        <v>1.71</v>
      </c>
      <c r="V174" s="86">
        <f>MSY!B215</f>
        <v>0.19685105604622252</v>
      </c>
      <c r="W174" s="86">
        <f>MSY!C215</f>
        <v>0.78892247621064227</v>
      </c>
      <c r="X174" s="86">
        <f>MSY!D215</f>
        <v>1.7019203778656991</v>
      </c>
      <c r="Y174" s="86">
        <f>MSY!E215</f>
        <v>1.562124824922632</v>
      </c>
      <c r="Z174" s="86">
        <f>MSY!F215</f>
        <v>2.6586120723057149</v>
      </c>
      <c r="AA174" s="86">
        <f>MSY!G215</f>
        <v>1.2323953850280789</v>
      </c>
      <c r="AB174">
        <f t="shared" si="8"/>
        <v>-1.9097731483508334E-3</v>
      </c>
      <c r="AC174">
        <f t="shared" si="9"/>
        <v>0.68359890009770963</v>
      </c>
      <c r="AF174">
        <f t="shared" si="7"/>
        <v>1.71</v>
      </c>
    </row>
    <row r="175" spans="21:32" x14ac:dyDescent="0.3">
      <c r="U175" s="86">
        <f>MSY!A216</f>
        <v>1.72</v>
      </c>
      <c r="V175" s="86">
        <f>MSY!B216</f>
        <v>0.19637569773699026</v>
      </c>
      <c r="W175" s="86">
        <f>MSY!C216</f>
        <v>0.78890272771107861</v>
      </c>
      <c r="X175" s="86">
        <f>MSY!D216</f>
        <v>1.6978105599682518</v>
      </c>
      <c r="Y175" s="86">
        <f>MSY!E216</f>
        <v>1.5539457459813475</v>
      </c>
      <c r="Z175" s="86">
        <f>MSY!F216</f>
        <v>2.6383054971448745</v>
      </c>
      <c r="AA175" s="86">
        <f>MSY!G216</f>
        <v>1.2259120377197119</v>
      </c>
      <c r="AB175">
        <f t="shared" si="8"/>
        <v>-2.0382939780683156E-3</v>
      </c>
      <c r="AC175">
        <f t="shared" si="9"/>
        <v>0.68372742092742711</v>
      </c>
      <c r="AF175">
        <f t="shared" si="7"/>
        <v>1.72</v>
      </c>
    </row>
    <row r="176" spans="21:32" x14ac:dyDescent="0.3">
      <c r="U176" s="86">
        <f>MSY!A217</f>
        <v>1.73</v>
      </c>
      <c r="V176" s="86">
        <f>MSY!B217</f>
        <v>0.19590474519177409</v>
      </c>
      <c r="W176" s="86">
        <f>MSY!C217</f>
        <v>0.7888817103310809</v>
      </c>
      <c r="X176" s="86">
        <f>MSY!D217</f>
        <v>1.6937388331011989</v>
      </c>
      <c r="Y176" s="86">
        <f>MSY!E217</f>
        <v>1.5458033306388357</v>
      </c>
      <c r="Z176" s="86">
        <f>MSY!F217</f>
        <v>2.6181871294401682</v>
      </c>
      <c r="AA176" s="86">
        <f>MSY!G217</f>
        <v>1.219455975309846</v>
      </c>
      <c r="AB176">
        <f t="shared" si="8"/>
        <v>-2.163592094678311E-3</v>
      </c>
      <c r="AC176">
        <f t="shared" si="9"/>
        <v>0.68385271904403711</v>
      </c>
      <c r="AF176">
        <f t="shared" si="7"/>
        <v>1.73</v>
      </c>
    </row>
    <row r="177" spans="21:32" x14ac:dyDescent="0.3">
      <c r="U177" s="86">
        <f>MSY!A218</f>
        <v>1.74</v>
      </c>
      <c r="V177" s="86">
        <f>MSY!B218</f>
        <v>0.19543813087226836</v>
      </c>
      <c r="W177" s="86">
        <f>MSY!C218</f>
        <v>0.78885945586918504</v>
      </c>
      <c r="X177" s="86">
        <f>MSY!D218</f>
        <v>1.6897046133468265</v>
      </c>
      <c r="Y177" s="86">
        <f>MSY!E218</f>
        <v>1.5376972185172355</v>
      </c>
      <c r="Z177" s="86">
        <f>MSY!F218</f>
        <v>2.5982540840591559</v>
      </c>
      <c r="AA177" s="86">
        <f>MSY!G218</f>
        <v>1.2130269910910658</v>
      </c>
      <c r="AB177">
        <f t="shared" si="8"/>
        <v>-2.2857519006325134E-3</v>
      </c>
      <c r="AC177">
        <f t="shared" si="9"/>
        <v>0.68397487884999131</v>
      </c>
      <c r="AF177">
        <f t="shared" si="7"/>
        <v>1.74</v>
      </c>
    </row>
    <row r="178" spans="21:32" x14ac:dyDescent="0.3">
      <c r="U178" s="86">
        <f>MSY!A219</f>
        <v>1.75</v>
      </c>
      <c r="V178" s="86">
        <f>MSY!B219</f>
        <v>0.19497578866203025</v>
      </c>
      <c r="W178" s="86">
        <f>MSY!C219</f>
        <v>0.78883599529306825</v>
      </c>
      <c r="X178" s="86">
        <f>MSY!D219</f>
        <v>1.6857073290804574</v>
      </c>
      <c r="Y178" s="86">
        <f>MSY!E219</f>
        <v>1.5296270545467363</v>
      </c>
      <c r="Z178" s="86">
        <f>MSY!F219</f>
        <v>2.578503536609186</v>
      </c>
      <c r="AA178" s="86">
        <f>MSY!G219</f>
        <v>1.2066248800005792</v>
      </c>
      <c r="AB178">
        <f t="shared" si="8"/>
        <v>-2.4048552126343359E-3</v>
      </c>
      <c r="AC178">
        <f t="shared" si="9"/>
        <v>0.68409398216199313</v>
      </c>
      <c r="AF178">
        <f t="shared" si="7"/>
        <v>1.75</v>
      </c>
    </row>
    <row r="179" spans="21:32" x14ac:dyDescent="0.3">
      <c r="U179" s="86">
        <f>MSY!A220</f>
        <v>1.76</v>
      </c>
      <c r="V179" s="86">
        <f>MSY!B220</f>
        <v>0.19451765382881223</v>
      </c>
      <c r="W179" s="86">
        <f>MSY!C220</f>
        <v>0.78881135876493236</v>
      </c>
      <c r="X179" s="86">
        <f>MSY!D220</f>
        <v>1.6817464206447885</v>
      </c>
      <c r="Y179" s="86">
        <f>MSY!E220</f>
        <v>1.5215924888647556</v>
      </c>
      <c r="Z179" s="86">
        <f>MSY!F220</f>
        <v>2.558932721828298</v>
      </c>
      <c r="AA179" s="86">
        <f>MSY!G220</f>
        <v>1.200249438627923</v>
      </c>
      <c r="AB179">
        <f t="shared" si="8"/>
        <v>-2.5209813546644955E-3</v>
      </c>
      <c r="AC179">
        <f t="shared" si="9"/>
        <v>0.68421010830402329</v>
      </c>
      <c r="AF179">
        <f t="shared" si="7"/>
        <v>1.76</v>
      </c>
    </row>
    <row r="180" spans="21:32" x14ac:dyDescent="0.3">
      <c r="U180" s="86">
        <f>MSY!A221</f>
        <v>1.77</v>
      </c>
      <c r="V180" s="86">
        <f>MSY!B221</f>
        <v>0.19406366298808897</v>
      </c>
      <c r="W180" s="86">
        <f>MSY!C221</f>
        <v>0.78878557566597496</v>
      </c>
      <c r="X180" s="86">
        <f>MSY!D221</f>
        <v>1.6778213400345534</v>
      </c>
      <c r="Y180" s="86">
        <f>MSY!E221</f>
        <v>1.5135931767174018</v>
      </c>
      <c r="Z180" s="86">
        <f>MSY!F221</f>
        <v>2.5395389320271478</v>
      </c>
      <c r="AA180" s="86">
        <f>MSY!G221</f>
        <v>1.1939004652211276</v>
      </c>
      <c r="AB180">
        <f t="shared" si="8"/>
        <v>-2.6342072472318435E-3</v>
      </c>
      <c r="AC180">
        <f t="shared" si="9"/>
        <v>0.68432333419659064</v>
      </c>
      <c r="AF180">
        <f t="shared" si="7"/>
        <v>1.77</v>
      </c>
    </row>
    <row r="181" spans="21:32" x14ac:dyDescent="0.3">
      <c r="U181" s="86">
        <f>MSY!A222</f>
        <v>1.78</v>
      </c>
      <c r="V181" s="86">
        <f>MSY!B222</f>
        <v>0.19361375406773551</v>
      </c>
      <c r="W181" s="86">
        <f>MSY!C222</f>
        <v>0.78875867461998772</v>
      </c>
      <c r="X181" s="86">
        <f>MSY!D222</f>
        <v>1.6739315505911414</v>
      </c>
      <c r="Y181" s="86">
        <f>MSY!E222</f>
        <v>1.5056287783631765</v>
      </c>
      <c r="Z181" s="86">
        <f>MSY!F222</f>
        <v>2.5203195155801179</v>
      </c>
      <c r="AA181" s="86">
        <f>MSY!G222</f>
        <v>1.1875777596914503</v>
      </c>
      <c r="AB181">
        <f t="shared" si="8"/>
        <v>-2.7446074928383331E-3</v>
      </c>
      <c r="AC181">
        <f t="shared" si="9"/>
        <v>0.68443373444219713</v>
      </c>
      <c r="AF181">
        <f t="shared" si="7"/>
        <v>1.78</v>
      </c>
    </row>
    <row r="182" spans="21:32" x14ac:dyDescent="0.3">
      <c r="U182" s="86">
        <f>MSY!A223</f>
        <v>1.79</v>
      </c>
      <c r="V182" s="86">
        <f>MSY!B223</f>
        <v>0.19316786627381274</v>
      </c>
      <c r="W182" s="86">
        <f>MSY!C223</f>
        <v>0.78873068351611819</v>
      </c>
      <c r="X182" s="86">
        <f>MSY!D223</f>
        <v>1.6700765267067863</v>
      </c>
      <c r="Y182" s="86">
        <f>MSY!E223</f>
        <v>1.4976989589788237</v>
      </c>
      <c r="Z182" s="86">
        <f>MSY!F223</f>
        <v>2.5012718754637233</v>
      </c>
      <c r="AA182" s="86">
        <f>MSY!G223</f>
        <v>1.1812811236167462</v>
      </c>
      <c r="AB182">
        <f t="shared" si="8"/>
        <v>-2.8522544579190319E-3</v>
      </c>
      <c r="AC182">
        <f t="shared" si="9"/>
        <v>0.68454138140727783</v>
      </c>
      <c r="AF182">
        <f t="shared" si="7"/>
        <v>1.79</v>
      </c>
    </row>
    <row r="183" spans="21:32" x14ac:dyDescent="0.3">
      <c r="U183" s="86">
        <f>MSY!A224</f>
        <v>1.8</v>
      </c>
      <c r="V183" s="86">
        <f>MSY!B224</f>
        <v>0.1927259400574225</v>
      </c>
      <c r="W183" s="86">
        <f>MSY!C224</f>
        <v>0.78870162953082934</v>
      </c>
      <c r="X183" s="86">
        <f>MSY!D224</f>
        <v>1.6662557535380051</v>
      </c>
      <c r="Y183" s="86">
        <f>MSY!E224</f>
        <v>1.4898033885673163</v>
      </c>
      <c r="Z183" s="86">
        <f>MSY!F224</f>
        <v>2.4823934678407071</v>
      </c>
      <c r="AA183" s="86">
        <f>MSY!G224</f>
        <v>1.1750103602435937</v>
      </c>
      <c r="AB183">
        <f t="shared" si="8"/>
        <v>-2.9572183515513802E-3</v>
      </c>
      <c r="AC183">
        <f t="shared" si="9"/>
        <v>0.68464634530091018</v>
      </c>
      <c r="AF183">
        <f t="shared" si="7"/>
        <v>1.8</v>
      </c>
    </row>
    <row r="184" spans="21:32" x14ac:dyDescent="0.3">
      <c r="U184" s="86">
        <f>MSY!A225</f>
        <v>1.81</v>
      </c>
      <c r="V184" s="86">
        <f>MSY!B225</f>
        <v>0.19228791708259099</v>
      </c>
      <c r="W184" s="86">
        <f>MSY!C225</f>
        <v>0.78867153914908716</v>
      </c>
      <c r="X184" s="86">
        <f>MSY!D225</f>
        <v>1.6624687267279277</v>
      </c>
      <c r="Y184" s="86">
        <f>MSY!E225</f>
        <v>1.4819417418678889</v>
      </c>
      <c r="Z184" s="86">
        <f>MSY!F225</f>
        <v>2.4636818006880765</v>
      </c>
      <c r="AA184" s="86">
        <f>MSY!G225</f>
        <v>1.1687652744882271</v>
      </c>
      <c r="AB184">
        <f t="shared" si="8"/>
        <v>-3.0595673008393361E-3</v>
      </c>
      <c r="AC184">
        <f t="shared" si="9"/>
        <v>0.68474869425019813</v>
      </c>
      <c r="AF184">
        <f t="shared" si="7"/>
        <v>1.81</v>
      </c>
    </row>
    <row r="185" spans="21:32" x14ac:dyDescent="0.3">
      <c r="U185" s="86">
        <f>MSY!A226</f>
        <v>1.82</v>
      </c>
      <c r="V185" s="86">
        <f>MSY!B226</f>
        <v>0.19185374019514573</v>
      </c>
      <c r="W185" s="86">
        <f>MSY!C226</f>
        <v>0.78864043818481255</v>
      </c>
      <c r="X185" s="86">
        <f>MSY!D226</f>
        <v>1.6587149521372142</v>
      </c>
      <c r="Y185" s="86">
        <f>MSY!E226</f>
        <v>1.4741136982680922</v>
      </c>
      <c r="Z185" s="86">
        <f>MSY!F226</f>
        <v>2.4451344324675701</v>
      </c>
      <c r="AA185" s="86">
        <f>MSY!G226</f>
        <v>1.1625456729363828</v>
      </c>
      <c r="AB185">
        <f t="shared" si="8"/>
        <v>-3.1593674232555076E-3</v>
      </c>
      <c r="AC185">
        <f t="shared" si="9"/>
        <v>0.6848484943726143</v>
      </c>
      <c r="AF185">
        <f t="shared" si="7"/>
        <v>1.82</v>
      </c>
    </row>
    <row r="186" spans="21:32" x14ac:dyDescent="0.3">
      <c r="U186" s="86">
        <f>MSY!A227</f>
        <v>1.83</v>
      </c>
      <c r="V186" s="86">
        <f>MSY!B227</f>
        <v>0.19142335339254885</v>
      </c>
      <c r="W186" s="86">
        <f>MSY!C227</f>
        <v>0.78860835180062205</v>
      </c>
      <c r="X186" s="86">
        <f>MSY!D227</f>
        <v>1.6549939455832434</v>
      </c>
      <c r="Y186" s="86">
        <f>MSY!E227</f>
        <v>1.4663189417178015</v>
      </c>
      <c r="Z186" s="86">
        <f>MSY!F227</f>
        <v>2.4267489708369903</v>
      </c>
      <c r="AA186" s="86">
        <f>MSY!G227</f>
        <v>1.1563513638421079</v>
      </c>
      <c r="AB186">
        <f t="shared" si="8"/>
        <v>-3.2566828962188291E-3</v>
      </c>
      <c r="AC186">
        <f t="shared" si="9"/>
        <v>0.68494580984557762</v>
      </c>
      <c r="AF186">
        <f t="shared" si="7"/>
        <v>1.83</v>
      </c>
    </row>
    <row r="187" spans="21:32" x14ac:dyDescent="0.3">
      <c r="U187" s="86">
        <f>MSY!A228</f>
        <v>1.84</v>
      </c>
      <c r="V187" s="86">
        <f>MSY!B228</f>
        <v>0.19099670179465358</v>
      </c>
      <c r="W187" s="86">
        <f>MSY!C228</f>
        <v>0.78857530452688818</v>
      </c>
      <c r="X187" s="86">
        <f>MSY!D228</f>
        <v>1.6513052325872795</v>
      </c>
      <c r="Y187" s="86">
        <f>MSY!E228</f>
        <v>1.4585571606451313</v>
      </c>
      <c r="Z187" s="86">
        <f>MSY!F228</f>
        <v>2.4085230714009507</v>
      </c>
      <c r="AA187" s="86">
        <f>MSY!G228</f>
        <v>1.1501821571256077</v>
      </c>
      <c r="AB187">
        <f t="shared" si="8"/>
        <v>-3.3515760236857398E-3</v>
      </c>
      <c r="AC187">
        <f t="shared" si="9"/>
        <v>0.68504070297304454</v>
      </c>
      <c r="AF187">
        <f t="shared" si="7"/>
        <v>1.84</v>
      </c>
    </row>
    <row r="188" spans="21:32" x14ac:dyDescent="0.3">
      <c r="U188" s="86">
        <f>MSY!A229</f>
        <v>1.85</v>
      </c>
      <c r="V188" s="86">
        <f>MSY!B229</f>
        <v>0.19057373161535066</v>
      </c>
      <c r="W188" s="86">
        <f>MSY!C229</f>
        <v>0.78854132028014834</v>
      </c>
      <c r="X188" s="86">
        <f>MSY!D229</f>
        <v>1.6476483481293362</v>
      </c>
      <c r="Y188" s="86">
        <f>MSY!E229</f>
        <v>1.4508280478742193</v>
      </c>
      <c r="Z188" s="86">
        <f>MSY!F229</f>
        <v>2.3904544364996672</v>
      </c>
      <c r="AA188" s="86">
        <f>MSY!G229</f>
        <v>1.1440378643702072</v>
      </c>
      <c r="AB188">
        <f t="shared" si="8"/>
        <v>-3.4441073002655612E-3</v>
      </c>
      <c r="AC188">
        <f t="shared" si="9"/>
        <v>0.68513323424962436</v>
      </c>
      <c r="AF188">
        <f t="shared" si="7"/>
        <v>1.85</v>
      </c>
    </row>
    <row r="189" spans="21:32" x14ac:dyDescent="0.3">
      <c r="U189" s="86">
        <f>MSY!A230</f>
        <v>1.86</v>
      </c>
      <c r="V189" s="86">
        <f>MSY!B230</f>
        <v>0.19015439013507379</v>
      </c>
      <c r="W189" s="86">
        <f>MSY!C230</f>
        <v>0.78850642238088287</v>
      </c>
      <c r="X189" s="86">
        <f>MSY!D230</f>
        <v>1.6440228364104659</v>
      </c>
      <c r="Y189" s="86">
        <f>MSY!E230</f>
        <v>1.4431313005448252</v>
      </c>
      <c r="Z189" s="86">
        <f>MSY!F230</f>
        <v>2.3725408140344277</v>
      </c>
      <c r="AA189" s="86">
        <f>MSY!G230</f>
        <v>1.1379182988184708</v>
      </c>
      <c r="AB189">
        <f t="shared" si="8"/>
        <v>-3.5343354726879964E-3</v>
      </c>
      <c r="AC189">
        <f t="shared" si="9"/>
        <v>0.68522346242204679</v>
      </c>
      <c r="AF189">
        <f t="shared" si="7"/>
        <v>1.86</v>
      </c>
    </row>
    <row r="190" spans="21:32" x14ac:dyDescent="0.3">
      <c r="U190" s="86">
        <f>MSY!A231</f>
        <v>1.87</v>
      </c>
      <c r="V190" s="86">
        <f>MSY!B231</f>
        <v>0.18973862567413327</v>
      </c>
      <c r="W190" s="86">
        <f>MSY!C231</f>
        <v>0.78847063357069458</v>
      </c>
      <c r="X190" s="86">
        <f>MSY!D231</f>
        <v>1.6404282506222096</v>
      </c>
      <c r="Y190" s="86">
        <f>MSY!E231</f>
        <v>1.4354666200336967</v>
      </c>
      <c r="Z190" s="86">
        <f>MSY!F231</f>
        <v>2.3547799963284533</v>
      </c>
      <c r="AA190" s="86">
        <f>MSY!G231</f>
        <v>1.1318232753675523</v>
      </c>
      <c r="AB190">
        <f t="shared" si="8"/>
        <v>-3.6223175989391989E-3</v>
      </c>
      <c r="AC190">
        <f t="shared" si="9"/>
        <v>0.68531144454829795</v>
      </c>
      <c r="AF190">
        <f t="shared" si="7"/>
        <v>1.87</v>
      </c>
    </row>
    <row r="191" spans="21:32" x14ac:dyDescent="0.3">
      <c r="U191" s="86">
        <f>MSY!A232</f>
        <v>1.88</v>
      </c>
      <c r="V191" s="86">
        <f>MSY!B232</f>
        <v>0.18932638756684964</v>
      </c>
      <c r="W191" s="86">
        <f>MSY!C232</f>
        <v>0.78843397602890408</v>
      </c>
      <c r="X191" s="86">
        <f>MSY!D232</f>
        <v>1.636864152722963</v>
      </c>
      <c r="Y191" s="86">
        <f>MSY!E232</f>
        <v>1.4278337118776612</v>
      </c>
      <c r="Z191" s="86">
        <f>MSY!F232</f>
        <v>2.3371698190219115</v>
      </c>
      <c r="AA191" s="86">
        <f>MSY!G232</f>
        <v>1.1257526105638131</v>
      </c>
      <c r="AB191">
        <f t="shared" si="8"/>
        <v>-3.7081091050051129E-3</v>
      </c>
      <c r="AC191">
        <f t="shared" si="9"/>
        <v>0.68539723605436387</v>
      </c>
      <c r="AF191">
        <f t="shared" si="7"/>
        <v>1.88</v>
      </c>
    </row>
    <row r="192" spans="21:32" x14ac:dyDescent="0.3">
      <c r="U192" s="86">
        <f>MSY!A233</f>
        <v>1.89</v>
      </c>
      <c r="V192" s="86">
        <f>MSY!B233</f>
        <v>0.18891762613645882</v>
      </c>
      <c r="W192" s="86">
        <f>MSY!C233</f>
        <v>0.78839647138859448</v>
      </c>
      <c r="X192" s="86">
        <f>MSY!D233</f>
        <v>1.6333301132210143</v>
      </c>
      <c r="Y192" s="86">
        <f>MSY!E233</f>
        <v>1.4202322856984069</v>
      </c>
      <c r="Z192" s="86">
        <f>MSY!F233</f>
        <v>2.3197081599999185</v>
      </c>
      <c r="AA192" s="86">
        <f>MSY!G233</f>
        <v>1.1197061225967821</v>
      </c>
      <c r="AB192">
        <f t="shared" si="8"/>
        <v>-3.7917638394502316E-3</v>
      </c>
      <c r="AC192">
        <f t="shared" si="9"/>
        <v>0.68548089078880903</v>
      </c>
      <c r="AF192">
        <f t="shared" si="7"/>
        <v>1.89</v>
      </c>
    </row>
    <row r="193" spans="21:32" x14ac:dyDescent="0.3">
      <c r="U193" s="86">
        <f>MSY!A234</f>
        <v>1.9</v>
      </c>
      <c r="V193" s="86">
        <f>MSY!B234</f>
        <v>0.18851229267076222</v>
      </c>
      <c r="W193" s="86">
        <f>MSY!C234</f>
        <v>0.78835814075211508</v>
      </c>
      <c r="X193" s="86">
        <f>MSY!D234</f>
        <v>1.6298257109640206</v>
      </c>
      <c r="Y193" s="86">
        <f>MSY!E234</f>
        <v>1.4126620551288953</v>
      </c>
      <c r="Z193" s="86">
        <f>MSY!F234</f>
        <v>2.3023929383523463</v>
      </c>
      <c r="AA193" s="86">
        <f>MSY!G234</f>
        <v>1.1136836312924778</v>
      </c>
      <c r="AB193">
        <f t="shared" si="8"/>
        <v>-3.8733341259256059E-3</v>
      </c>
      <c r="AC193">
        <f t="shared" si="9"/>
        <v>0.6855624610752844</v>
      </c>
      <c r="AF193">
        <f t="shared" si="7"/>
        <v>1.9</v>
      </c>
    </row>
    <row r="194" spans="21:32" x14ac:dyDescent="0.3">
      <c r="U194" s="86">
        <f>MSY!A235</f>
        <v>1.91</v>
      </c>
      <c r="V194" s="86">
        <f>MSY!B235</f>
        <v>0.18811033939849681</v>
      </c>
      <c r="W194" s="86">
        <f>MSY!C235</f>
        <v>0.78831900470607597</v>
      </c>
      <c r="X194" s="86">
        <f>MSY!D235</f>
        <v>1.6263505329347105</v>
      </c>
      <c r="Y194" s="86">
        <f>MSY!E235</f>
        <v>1.4051227377413826</v>
      </c>
      <c r="Z194" s="86">
        <f>MSY!F235</f>
        <v>2.2852221133643771</v>
      </c>
      <c r="AA194" s="86">
        <f>MSY!G235</f>
        <v>1.1076849581061634</v>
      </c>
      <c r="AB194">
        <f t="shared" si="8"/>
        <v>-3.9528708135283495E-3</v>
      </c>
      <c r="AC194">
        <f t="shared" si="9"/>
        <v>0.68564199776288715</v>
      </c>
      <c r="AF194">
        <f t="shared" ref="AF194:AF257" si="10">U194</f>
        <v>1.91</v>
      </c>
    </row>
    <row r="195" spans="21:32" x14ac:dyDescent="0.3">
      <c r="U195" s="86">
        <f>MSY!A236</f>
        <v>1.92</v>
      </c>
      <c r="V195" s="86">
        <f>MSY!B236</f>
        <v>0.18771171946639917</v>
      </c>
      <c r="W195" s="86">
        <f>MSY!C236</f>
        <v>0.78827908333584451</v>
      </c>
      <c r="X195" s="86">
        <f>MSY!D236</f>
        <v>1.6229041740525865</v>
      </c>
      <c r="Y195" s="86">
        <f>MSY!E236</f>
        <v>1.3976140549769982</v>
      </c>
      <c r="Z195" s="86">
        <f>MSY!F236</f>
        <v>2.2681936835367313</v>
      </c>
      <c r="AA195" s="86">
        <f>MSY!G236</f>
        <v>1.1017099261145606</v>
      </c>
      <c r="AB195">
        <f t="shared" si="8"/>
        <v>-4.0304233254573295E-3</v>
      </c>
      <c r="AC195">
        <f t="shared" si="9"/>
        <v>0.68571955027481613</v>
      </c>
      <c r="AF195">
        <f t="shared" si="10"/>
        <v>1.92</v>
      </c>
    </row>
    <row r="196" spans="21:32" x14ac:dyDescent="0.3">
      <c r="U196" s="86">
        <f>MSY!A237</f>
        <v>1.93</v>
      </c>
      <c r="V196" s="86">
        <f>MSY!B237</f>
        <v>0.18731638691694127</v>
      </c>
      <c r="W196" s="86">
        <f>MSY!C237</f>
        <v>0.78823839623956682</v>
      </c>
      <c r="X196" s="86">
        <f>MSY!D237</f>
        <v>1.6194862369814336</v>
      </c>
      <c r="Y196" s="86">
        <f>MSY!E237</f>
        <v>1.3901357320768462</v>
      </c>
      <c r="Z196" s="86">
        <f>MSY!F237</f>
        <v>2.2513056856345619</v>
      </c>
      <c r="AA196" s="86">
        <f>MSY!G237</f>
        <v>1.0957583600075693</v>
      </c>
      <c r="AB196">
        <f t="shared" si="8"/>
        <v>-4.1060397055425711E-3</v>
      </c>
      <c r="AC196">
        <f t="shared" si="9"/>
        <v>0.68579516665490137</v>
      </c>
      <c r="AF196">
        <f t="shared" si="10"/>
        <v>1.93</v>
      </c>
    </row>
    <row r="197" spans="21:32" x14ac:dyDescent="0.3">
      <c r="U197" s="86">
        <f>MSY!A238</f>
        <v>1.94</v>
      </c>
      <c r="V197" s="86">
        <f>MSY!B238</f>
        <v>0.18692429666671428</v>
      </c>
      <c r="W197" s="86">
        <f>MSY!C238</f>
        <v>0.78819696254173366</v>
      </c>
      <c r="X197" s="86">
        <f>MSY!D238</f>
        <v>1.6160963319424324</v>
      </c>
      <c r="Y197" s="86">
        <f>MSY!E238</f>
        <v>1.3826874980145949</v>
      </c>
      <c r="Z197" s="86">
        <f>MSY!F238</f>
        <v>2.2345561937640461</v>
      </c>
      <c r="AA197" s="86">
        <f>MSY!G238</f>
        <v>1.0898300860795331</v>
      </c>
      <c r="AB197">
        <f t="shared" si="8"/>
        <v>-4.1797666632314955E-3</v>
      </c>
      <c r="AC197">
        <f t="shared" si="9"/>
        <v>0.68586889361259029</v>
      </c>
      <c r="AF197">
        <f t="shared" si="10"/>
        <v>1.94</v>
      </c>
    </row>
    <row r="198" spans="21:32" x14ac:dyDescent="0.3">
      <c r="U198" s="86">
        <f>MSY!A239</f>
        <v>1.95</v>
      </c>
      <c r="V198" s="86">
        <f>MSY!B239</f>
        <v>0.18653540448543784</v>
      </c>
      <c r="W198" s="86">
        <f>MSY!C239</f>
        <v>0.78815480090630219</v>
      </c>
      <c r="X198" s="86">
        <f>MSY!D239</f>
        <v>1.6127340765326794</v>
      </c>
      <c r="Y198" s="86">
        <f>MSY!E239</f>
        <v>1.3752690854305021</v>
      </c>
      <c r="Z198" s="86">
        <f>MSY!F239</f>
        <v>2.2179433184757036</v>
      </c>
      <c r="AA198" s="86">
        <f>MSY!G239</f>
        <v>1.0839249322200697</v>
      </c>
      <c r="AB198">
        <f t="shared" ref="AB198:AB261" si="11">(W199-W197)/(U199-U197)</f>
        <v>-4.2516496167932481E-3</v>
      </c>
      <c r="AC198">
        <f t="shared" ref="AC198:AC261" si="12">ABS(AB198-$AC$3)</f>
        <v>0.68594077656615204</v>
      </c>
      <c r="AF198">
        <f t="shared" si="10"/>
        <v>1.95</v>
      </c>
    </row>
    <row r="199" spans="21:32" x14ac:dyDescent="0.3">
      <c r="U199" s="86">
        <f>MSY!A240</f>
        <v>1.96</v>
      </c>
      <c r="V199" s="86">
        <f>MSY!B240</f>
        <v>0.18614966697557628</v>
      </c>
      <c r="W199" s="86">
        <f>MSY!C240</f>
        <v>0.78811192954939779</v>
      </c>
      <c r="X199" s="86">
        <f>MSY!D240</f>
        <v>1.6093990955489532</v>
      </c>
      <c r="Y199" s="86">
        <f>MSY!E240</f>
        <v>1.3678802305668711</v>
      </c>
      <c r="Z199" s="86">
        <f>MSY!F240</f>
        <v>2.2014652058936162</v>
      </c>
      <c r="AA199" s="86">
        <f>MSY!G240</f>
        <v>1.0780427279045319</v>
      </c>
      <c r="AB199">
        <f t="shared" si="11"/>
        <v>-4.3217327349021027E-3</v>
      </c>
      <c r="AC199">
        <f t="shared" si="12"/>
        <v>0.6860108596842609</v>
      </c>
      <c r="AF199">
        <f t="shared" si="10"/>
        <v>1.96</v>
      </c>
    </row>
    <row r="200" spans="21:32" x14ac:dyDescent="0.3">
      <c r="U200" s="86">
        <f>MSY!A241</f>
        <v>1.97</v>
      </c>
      <c r="V200" s="86">
        <f>MSY!B241</f>
        <v>0.18576704155253804</v>
      </c>
      <c r="W200" s="86">
        <f>MSY!C241</f>
        <v>0.78806836625160415</v>
      </c>
      <c r="X200" s="86">
        <f>MSY!D241</f>
        <v>1.6060910208165253</v>
      </c>
      <c r="Y200" s="86">
        <f>MSY!E241</f>
        <v>1.3605206732048689</v>
      </c>
      <c r="Z200" s="86">
        <f>MSY!F241</f>
        <v>2.185120036869594</v>
      </c>
      <c r="AA200" s="86">
        <f>MSY!G241</f>
        <v>1.0721833041840936</v>
      </c>
      <c r="AB200">
        <f t="shared" si="11"/>
        <v>-4.3900589767109609E-3</v>
      </c>
      <c r="AC200">
        <f t="shared" si="12"/>
        <v>0.68607918592606976</v>
      </c>
      <c r="AF200">
        <f t="shared" si="10"/>
        <v>1.97</v>
      </c>
    </row>
    <row r="201" spans="21:32" x14ac:dyDescent="0.3">
      <c r="U201" s="86">
        <f>MSY!A242</f>
        <v>1.98</v>
      </c>
      <c r="V201" s="86">
        <f>MSY!B242</f>
        <v>0.18538748642544212</v>
      </c>
      <c r="W201" s="86">
        <f>MSY!C242</f>
        <v>0.78802412836986357</v>
      </c>
      <c r="X201" s="86">
        <f>MSY!D242</f>
        <v>1.6028094910228712</v>
      </c>
      <c r="Y201" s="86">
        <f>MSY!E242</f>
        <v>1.3531901566027025</v>
      </c>
      <c r="Z201" s="86">
        <f>MSY!F242</f>
        <v>2.1689060261615367</v>
      </c>
      <c r="AA201" s="86">
        <f>MSY!G242</f>
        <v>1.0663464936755238</v>
      </c>
      <c r="AB201">
        <f t="shared" si="11"/>
        <v>-4.4566701303927437E-3</v>
      </c>
      <c r="AC201">
        <f t="shared" si="12"/>
        <v>0.68614579707975154</v>
      </c>
      <c r="AF201">
        <f t="shared" si="10"/>
        <v>1.98</v>
      </c>
    </row>
    <row r="202" spans="21:32" x14ac:dyDescent="0.3">
      <c r="U202" s="86">
        <f>MSY!A243</f>
        <v>1.99</v>
      </c>
      <c r="V202" s="86">
        <f>MSY!B243</f>
        <v>0.18501096057842967</v>
      </c>
      <c r="W202" s="86">
        <f>MSY!C243</f>
        <v>0.78797923284899629</v>
      </c>
      <c r="X202" s="86">
        <f>MSY!D243</f>
        <v>1.599554151556096</v>
      </c>
      <c r="Y202" s="86">
        <f>MSY!E243</f>
        <v>1.3458884274350862</v>
      </c>
      <c r="Z202" s="86">
        <f>MSY!F243</f>
        <v>2.1528214216350974</v>
      </c>
      <c r="AA202" s="86">
        <f>MSY!G243</f>
        <v>1.0605321305506412</v>
      </c>
      <c r="AB202">
        <f t="shared" si="11"/>
        <v>-4.5216068503439689E-3</v>
      </c>
      <c r="AC202">
        <f t="shared" si="12"/>
        <v>0.68621073379970277</v>
      </c>
      <c r="AF202">
        <f t="shared" si="10"/>
        <v>1.99</v>
      </c>
    </row>
    <row r="203" spans="21:32" x14ac:dyDescent="0.3">
      <c r="U203" s="86">
        <f>MSY!A244</f>
        <v>2</v>
      </c>
      <c r="V203" s="86">
        <f>MSY!B244</f>
        <v>0.18463742375250583</v>
      </c>
      <c r="W203" s="86">
        <f>MSY!C244</f>
        <v>0.7879336962328567</v>
      </c>
      <c r="X203" s="86">
        <f>MSY!D244</f>
        <v>1.5963246543479441</v>
      </c>
      <c r="Y203" s="86">
        <f>MSY!E244</f>
        <v>1.3386152357340162</v>
      </c>
      <c r="Z203" s="86">
        <f>MSY!F244</f>
        <v>2.1368645034879949</v>
      </c>
      <c r="AA203" s="86">
        <f>MSY!G244</f>
        <v>1.0547400505255202</v>
      </c>
      <c r="AB203">
        <f t="shared" si="11"/>
        <v>-4.5849086928562623E-3</v>
      </c>
      <c r="AC203">
        <f t="shared" si="12"/>
        <v>0.68627403564221501</v>
      </c>
      <c r="AF203">
        <f t="shared" si="10"/>
        <v>2</v>
      </c>
    </row>
    <row r="204" spans="21:32" x14ac:dyDescent="0.3">
      <c r="U204" s="86">
        <f>MSY!A245</f>
        <v>2.0099999999999998</v>
      </c>
      <c r="V204" s="86">
        <f>MSY!B245</f>
        <v>0.18426683642789146</v>
      </c>
      <c r="W204" s="86">
        <f>MSY!C245</f>
        <v>0.78788753467513917</v>
      </c>
      <c r="X204" s="86">
        <f>MSY!D245</f>
        <v>1.5931206577212162</v>
      </c>
      <c r="Y204" s="86">
        <f>MSY!E245</f>
        <v>1.3313703348307646</v>
      </c>
      <c r="Z204" s="86">
        <f>MSY!F245</f>
        <v>2.1210335834961036</v>
      </c>
      <c r="AA204" s="86">
        <f>MSY!G245</f>
        <v>1.0489700908494257</v>
      </c>
      <c r="AB204">
        <f t="shared" si="11"/>
        <v>-4.646614150699553E-3</v>
      </c>
      <c r="AC204">
        <f t="shared" si="12"/>
        <v>0.68633574110005835</v>
      </c>
      <c r="AF204">
        <f t="shared" si="10"/>
        <v>2.0099999999999998</v>
      </c>
    </row>
    <row r="205" spans="21:32" x14ac:dyDescent="0.3">
      <c r="U205" s="86">
        <f>MSY!A246</f>
        <v>2.02</v>
      </c>
      <c r="V205" s="86">
        <f>MSY!B246</f>
        <v>0.18389915980687038</v>
      </c>
      <c r="W205" s="86">
        <f>MSY!C246</f>
        <v>0.7878407639498427</v>
      </c>
      <c r="X205" s="86">
        <f>MSY!D246</f>
        <v>1.5899418262414722</v>
      </c>
      <c r="Y205" s="86">
        <f>MSY!E246</f>
        <v>1.3241534812991143</v>
      </c>
      <c r="Z205" s="86">
        <f>MSY!F246</f>
        <v>2.1053270042807166</v>
      </c>
      <c r="AA205" s="86">
        <f>MSY!G246</f>
        <v>1.0432220902935379</v>
      </c>
      <c r="AB205">
        <f t="shared" si="11"/>
        <v>-4.7067606864015189E-3</v>
      </c>
      <c r="AC205">
        <f t="shared" si="12"/>
        <v>0.68639588763576032</v>
      </c>
      <c r="AF205">
        <f t="shared" si="10"/>
        <v>2.02</v>
      </c>
    </row>
    <row r="206" spans="21:32" x14ac:dyDescent="0.3">
      <c r="U206" s="86">
        <f>MSY!A247</f>
        <v>2.0299999999999998</v>
      </c>
      <c r="V206" s="86">
        <f>MSY!B247</f>
        <v>0.18353435579711447</v>
      </c>
      <c r="W206" s="86">
        <f>MSY!C247</f>
        <v>0.78779339946141114</v>
      </c>
      <c r="X206" s="86">
        <f>MSY!D247</f>
        <v>1.5867878305728642</v>
      </c>
      <c r="Y206" s="86">
        <f>MSY!E247</f>
        <v>1.3169644348997684</v>
      </c>
      <c r="Z206" s="86">
        <f>MSY!F247</f>
        <v>2.0897431385962215</v>
      </c>
      <c r="AA206" s="86">
        <f>MSY!G247</f>
        <v>1.0374958891394648</v>
      </c>
      <c r="AB206">
        <f t="shared" si="11"/>
        <v>-4.7653847640716186E-3</v>
      </c>
      <c r="AC206">
        <f t="shared" si="12"/>
        <v>0.68645451171343042</v>
      </c>
      <c r="AF206">
        <f t="shared" si="10"/>
        <v>2.0299999999999998</v>
      </c>
    </row>
    <row r="207" spans="21:32" x14ac:dyDescent="0.3">
      <c r="U207" s="86">
        <f>MSY!A248</f>
        <v>2.04</v>
      </c>
      <c r="V207" s="86">
        <f>MSY!B248</f>
        <v>0.18317238699547211</v>
      </c>
      <c r="W207" s="86">
        <f>MSY!C248</f>
        <v>0.78774545625456127</v>
      </c>
      <c r="X207" s="86">
        <f>MSY!D248</f>
        <v>1.5836583473379755</v>
      </c>
      <c r="Y207" s="86">
        <f>MSY!E248</f>
        <v>1.3098029585259265</v>
      </c>
      <c r="Z207" s="86">
        <f>MSY!F248</f>
        <v>2.0742803886375594</v>
      </c>
      <c r="AA207" s="86">
        <f>MSY!G248</f>
        <v>1.0317913291675802</v>
      </c>
      <c r="AB207">
        <f t="shared" si="11"/>
        <v>-4.8225218804431825E-3</v>
      </c>
      <c r="AC207">
        <f t="shared" si="12"/>
        <v>0.68651164882980198</v>
      </c>
      <c r="AF207">
        <f t="shared" si="10"/>
        <v>2.04</v>
      </c>
    </row>
    <row r="208" spans="21:32" x14ac:dyDescent="0.3">
      <c r="U208" s="86">
        <f>MSY!A249</f>
        <v>2.0499999999999998</v>
      </c>
      <c r="V208" s="86">
        <f>MSY!B249</f>
        <v>0.18281321667220407</v>
      </c>
      <c r="W208" s="86">
        <f>MSY!C249</f>
        <v>0.78769694902380227</v>
      </c>
      <c r="X208" s="86">
        <f>MSY!D249</f>
        <v>1.5805530589815293</v>
      </c>
      <c r="Y208" s="86">
        <f>MSY!E249</f>
        <v>1.3026688181499901</v>
      </c>
      <c r="Z208" s="86">
        <f>MSY!F249</f>
        <v>2.0589371853668204</v>
      </c>
      <c r="AA208" s="86">
        <f>MSY!G249</f>
        <v>1.0261082536451895</v>
      </c>
      <c r="AB208">
        <f t="shared" si="11"/>
        <v>-4.8782065947439125E-3</v>
      </c>
      <c r="AC208">
        <f t="shared" si="12"/>
        <v>0.68656733354410271</v>
      </c>
      <c r="AF208">
        <f t="shared" si="10"/>
        <v>2.0499999999999998</v>
      </c>
    </row>
    <row r="209" spans="21:32" x14ac:dyDescent="0.3">
      <c r="U209" s="86">
        <f>MSY!A250</f>
        <v>2.06</v>
      </c>
      <c r="V209" s="86">
        <f>MSY!B250</f>
        <v>0.18245680875565323</v>
      </c>
      <c r="W209" s="86">
        <f>MSY!C250</f>
        <v>0.78764789212266639</v>
      </c>
      <c r="X209" s="86">
        <f>MSY!D250</f>
        <v>1.5774716536378461</v>
      </c>
      <c r="Y209" s="86">
        <f>MSY!E250</f>
        <v>1.2955617827713644</v>
      </c>
      <c r="Z209" s="86">
        <f>MSY!F250</f>
        <v>2.0437119878583401</v>
      </c>
      <c r="AA209" s="86">
        <f>MSY!G250</f>
        <v>1.020446507314549</v>
      </c>
      <c r="AB209">
        <f t="shared" si="11"/>
        <v>-4.9324725572064089E-3</v>
      </c>
      <c r="AC209">
        <f t="shared" si="12"/>
        <v>0.68662159950656521</v>
      </c>
      <c r="AF209">
        <f t="shared" si="10"/>
        <v>2.06</v>
      </c>
    </row>
    <row r="210" spans="21:32" x14ac:dyDescent="0.3">
      <c r="U210" s="86">
        <f>MSY!A251</f>
        <v>2.0699999999999998</v>
      </c>
      <c r="V210" s="86">
        <f>MSY!B251</f>
        <v>0.18210312781733473</v>
      </c>
      <c r="W210" s="86">
        <f>MSY!C251</f>
        <v>0.78759829957265814</v>
      </c>
      <c r="X210" s="86">
        <f>MSY!D251</f>
        <v>1.5744138250019377</v>
      </c>
      <c r="Y210" s="86">
        <f>MSY!E251</f>
        <v>1.2884816243653672</v>
      </c>
      <c r="Z210" s="86">
        <f>MSY!F251</f>
        <v>2.0286032826617877</v>
      </c>
      <c r="AA210" s="86">
        <f>MSY!G251</f>
        <v>1.0148059363807795</v>
      </c>
      <c r="AB210">
        <f t="shared" si="11"/>
        <v>-4.9853525368515018E-3</v>
      </c>
      <c r="AC210">
        <f t="shared" si="12"/>
        <v>0.6866744794862103</v>
      </c>
      <c r="AF210">
        <f t="shared" si="10"/>
        <v>2.0699999999999998</v>
      </c>
    </row>
    <row r="211" spans="21:32" x14ac:dyDescent="0.3">
      <c r="U211" s="86">
        <f>MSY!A252</f>
        <v>2.08</v>
      </c>
      <c r="V211" s="86">
        <f>MSY!B252</f>
        <v>0.18175213905743073</v>
      </c>
      <c r="W211" s="86">
        <f>MSY!C252</f>
        <v>0.78754818507192936</v>
      </c>
      <c r="X211" s="86">
        <f>MSY!D252</f>
        <v>1.5713792722040998</v>
      </c>
      <c r="Y211" s="86">
        <f>MSY!E252</f>
        <v>1.2814281178331477</v>
      </c>
      <c r="Z211" s="86">
        <f>MSY!F252</f>
        <v>2.0136095831825211</v>
      </c>
      <c r="AA211" s="86">
        <f>MSY!G252</f>
        <v>1.0091863884996339</v>
      </c>
      <c r="AB211">
        <f t="shared" si="11"/>
        <v>-5.0368784483167907E-3</v>
      </c>
      <c r="AC211">
        <f t="shared" si="12"/>
        <v>0.68672600539767559</v>
      </c>
      <c r="AF211">
        <f t="shared" si="10"/>
        <v>2.08</v>
      </c>
    </row>
    <row r="212" spans="21:32" x14ac:dyDescent="0.3">
      <c r="U212" s="86">
        <f>MSY!A253</f>
        <v>2.09</v>
      </c>
      <c r="V212" s="86">
        <f>MSY!B253</f>
        <v>0.18140380829068042</v>
      </c>
      <c r="W212" s="86">
        <f>MSY!C253</f>
        <v>0.78749756200369181</v>
      </c>
      <c r="X212" s="86">
        <f>MSY!D253</f>
        <v>1.5683676996879192</v>
      </c>
      <c r="Y212" s="86">
        <f>MSY!E253</f>
        <v>1.2744010409526676</v>
      </c>
      <c r="Z212" s="86">
        <f>MSY!F253</f>
        <v>1.9987294290788249</v>
      </c>
      <c r="AA212" s="86">
        <f>MSY!G253</f>
        <v>1.0035877127651927</v>
      </c>
      <c r="AB212">
        <f t="shared" si="11"/>
        <v>-5.087081377513898E-3</v>
      </c>
      <c r="AC212">
        <f t="shared" si="12"/>
        <v>0.68677620832687269</v>
      </c>
      <c r="AF212">
        <f t="shared" si="10"/>
        <v>2.09</v>
      </c>
    </row>
    <row r="213" spans="21:32" x14ac:dyDescent="0.3">
      <c r="U213" s="86">
        <f>MSY!A254</f>
        <v>2.1</v>
      </c>
      <c r="V213" s="86">
        <f>MSY!B254</f>
        <v>0.1810581019326501</v>
      </c>
      <c r="W213" s="86">
        <f>MSY!C254</f>
        <v>0.78744644344437909</v>
      </c>
      <c r="X213" s="86">
        <f>MSY!D254</f>
        <v>1.5653788170915699</v>
      </c>
      <c r="Y213" s="86">
        <f>MSY!E254</f>
        <v>1.2674001743306704</v>
      </c>
      <c r="Z213" s="86">
        <f>MSY!F254</f>
        <v>1.9839613856753942</v>
      </c>
      <c r="AA213" s="86">
        <f>MSY!G254</f>
        <v>0.99800975969747241</v>
      </c>
      <c r="AB213">
        <f t="shared" si="11"/>
        <v>-5.13599160666955E-3</v>
      </c>
      <c r="AC213">
        <f t="shared" si="12"/>
        <v>0.68682511855602835</v>
      </c>
      <c r="AF213">
        <f t="shared" si="10"/>
        <v>2.1</v>
      </c>
    </row>
    <row r="214" spans="21:32" x14ac:dyDescent="0.3">
      <c r="U214" s="86">
        <f>MSY!A255</f>
        <v>2.11</v>
      </c>
      <c r="V214" s="86">
        <f>MSY!B255</f>
        <v>0.18071498698637242</v>
      </c>
      <c r="W214" s="86">
        <f>MSY!C255</f>
        <v>0.78739484217155842</v>
      </c>
      <c r="X214" s="86">
        <f>MSY!D255</f>
        <v>1.562412339132299</v>
      </c>
      <c r="Y214" s="86">
        <f>MSY!E255</f>
        <v>1.2604253013556297</v>
      </c>
      <c r="Z214" s="86">
        <f>MSY!F255</f>
        <v>1.9693040433925821</v>
      </c>
      <c r="AA214" s="86">
        <f>MSY!G255</f>
        <v>0.99245238122995505</v>
      </c>
      <c r="AB214">
        <f t="shared" si="11"/>
        <v>-5.1836386382619849E-3</v>
      </c>
      <c r="AC214">
        <f t="shared" si="12"/>
        <v>0.68687276558762078</v>
      </c>
      <c r="AF214">
        <f t="shared" si="10"/>
        <v>2.11</v>
      </c>
    </row>
    <row r="215" spans="21:32" x14ac:dyDescent="0.3">
      <c r="U215" s="86">
        <f>MSY!A256</f>
        <v>2.12</v>
      </c>
      <c r="V215" s="86">
        <f>MSY!B256</f>
        <v>0.18037443102934322</v>
      </c>
      <c r="W215" s="86">
        <f>MSY!C256</f>
        <v>0.78734277067161385</v>
      </c>
      <c r="X215" s="86">
        <f>MSY!D256</f>
        <v>1.5594679854940059</v>
      </c>
      <c r="Y215" s="86">
        <f>MSY!E256</f>
        <v>1.2534762081516555</v>
      </c>
      <c r="Z215" s="86">
        <f>MSY!F256</f>
        <v>1.9547560171909275</v>
      </c>
      <c r="AA215" s="86">
        <f>MSY!G256</f>
        <v>0.98691543069707299</v>
      </c>
      <c r="AB215">
        <f t="shared" si="11"/>
        <v>-5.230051218224614E-3</v>
      </c>
      <c r="AC215">
        <f t="shared" si="12"/>
        <v>0.68691917816758341</v>
      </c>
      <c r="AF215">
        <f t="shared" si="10"/>
        <v>2.12</v>
      </c>
    </row>
    <row r="216" spans="21:32" x14ac:dyDescent="0.3">
      <c r="U216" s="86">
        <f>MSY!A257</f>
        <v>2.13</v>
      </c>
      <c r="V216" s="86">
        <f>MSY!B257</f>
        <v>0.180036402200865</v>
      </c>
      <c r="W216" s="86">
        <f>MSY!C257</f>
        <v>0.78729024114719393</v>
      </c>
      <c r="X216" s="86">
        <f>MSY!D257</f>
        <v>1.5565454807178158</v>
      </c>
      <c r="Y216" s="86">
        <f>MSY!E257</f>
        <v>1.2465526835333356</v>
      </c>
      <c r="Z216" s="86">
        <f>MSY!F257</f>
        <v>1.9403159460304791</v>
      </c>
      <c r="AA216" s="86">
        <f>MSY!G257</f>
        <v>0.98139876282164151</v>
      </c>
      <c r="AB216">
        <f t="shared" si="11"/>
        <v>-5.2752573585279584E-3</v>
      </c>
      <c r="AC216">
        <f t="shared" si="12"/>
        <v>0.68696438430788676</v>
      </c>
      <c r="AF216">
        <f t="shared" si="10"/>
        <v>2.13</v>
      </c>
    </row>
    <row r="217" spans="21:32" x14ac:dyDescent="0.3">
      <c r="U217" s="86">
        <f>MSY!A258</f>
        <v>2.14</v>
      </c>
      <c r="V217" s="86">
        <f>MSY!B258</f>
        <v>0.17970086918972533</v>
      </c>
      <c r="W217" s="86">
        <f>MSY!C258</f>
        <v>0.78723726552444329</v>
      </c>
      <c r="X217" s="86">
        <f>MSY!D258</f>
        <v>1.5536445540955519</v>
      </c>
      <c r="Y217" s="86">
        <f>MSY!E258</f>
        <v>1.239654518961482</v>
      </c>
      <c r="Z217" s="86">
        <f>MSY!F258</f>
        <v>1.9259824923444477</v>
      </c>
      <c r="AA217" s="86">
        <f>MSY!G258</f>
        <v>0.97590223370225626</v>
      </c>
      <c r="AB217">
        <f t="shared" si="11"/>
        <v>-5.3192843585736461E-3</v>
      </c>
      <c r="AC217">
        <f t="shared" si="12"/>
        <v>0.68700841130793244</v>
      </c>
      <c r="AF217">
        <f t="shared" si="10"/>
        <v>2.14</v>
      </c>
    </row>
    <row r="218" spans="21:32" x14ac:dyDescent="0.3">
      <c r="U218" s="86">
        <f>MSY!A259</f>
        <v>2.15</v>
      </c>
      <c r="V218" s="86">
        <f>MSY!B259</f>
        <v>0.17936780122220169</v>
      </c>
      <c r="W218" s="86">
        <f>MSY!C259</f>
        <v>0.78718385546002245</v>
      </c>
      <c r="X218" s="86">
        <f>MSY!D259</f>
        <v>1.5507649395660283</v>
      </c>
      <c r="Y218" s="86">
        <f>MSY!E259</f>
        <v>1.2327815084997822</v>
      </c>
      <c r="Z218" s="86">
        <f>MSY!F259</f>
        <v>1.9117543415267819</v>
      </c>
      <c r="AA218" s="86">
        <f>MSY!G259</f>
        <v>0.97042570080068102</v>
      </c>
      <c r="AB218">
        <f t="shared" si="11"/>
        <v>-5.3621588263164056E-3</v>
      </c>
      <c r="AC218">
        <f t="shared" si="12"/>
        <v>0.6870512857756752</v>
      </c>
      <c r="AF218">
        <f t="shared" si="10"/>
        <v>2.15</v>
      </c>
    </row>
    <row r="219" spans="21:32" x14ac:dyDescent="0.3">
      <c r="U219" s="86">
        <f>MSY!A260</f>
        <v>2.16</v>
      </c>
      <c r="V219" s="86">
        <f>MSY!B260</f>
        <v>0.17903716805038003</v>
      </c>
      <c r="W219" s="86">
        <f>MSY!C260</f>
        <v>0.78713002234791696</v>
      </c>
      <c r="X219" s="86">
        <f>MSY!D260</f>
        <v>1.5479063756140548</v>
      </c>
      <c r="Y219" s="86">
        <f>MSY!E260</f>
        <v>1.2259334487722937</v>
      </c>
      <c r="Z219" s="86">
        <f>MSY!F260</f>
        <v>1.8976302014331596</v>
      </c>
      <c r="AA219" s="86">
        <f>MSY!G260</f>
        <v>0.96496902292919451</v>
      </c>
      <c r="AB219">
        <f t="shared" si="11"/>
        <v>-5.4039066984257148E-3</v>
      </c>
      <c r="AC219">
        <f t="shared" si="12"/>
        <v>0.68709303364778451</v>
      </c>
      <c r="AF219">
        <f t="shared" si="10"/>
        <v>2.16</v>
      </c>
    </row>
    <row r="220" spans="21:32" x14ac:dyDescent="0.3">
      <c r="U220" s="86">
        <f>MSY!A261</f>
        <v>2.17</v>
      </c>
      <c r="V220" s="86">
        <f>MSY!B261</f>
        <v>0.17870893994078052</v>
      </c>
      <c r="W220" s="86">
        <f>MSY!C261</f>
        <v>0.78707577732605394</v>
      </c>
      <c r="X220" s="86">
        <f>MSY!D261</f>
        <v>1.545068605172099</v>
      </c>
      <c r="Y220" s="86">
        <f>MSY!E261</f>
        <v>1.219110138921818</v>
      </c>
      <c r="Z220" s="86">
        <f>MSY!F261</f>
        <v>1.8836088018950969</v>
      </c>
      <c r="AA220" s="86">
        <f>MSY!G261</f>
        <v>0.95953206023796345</v>
      </c>
      <c r="AB220">
        <f t="shared" si="11"/>
        <v>-5.4445532596925032E-3</v>
      </c>
      <c r="AC220">
        <f t="shared" si="12"/>
        <v>0.6871336802090513</v>
      </c>
      <c r="AF220">
        <f t="shared" si="10"/>
        <v>2.17</v>
      </c>
    </row>
    <row r="221" spans="21:32" x14ac:dyDescent="0.3">
      <c r="U221" s="86">
        <f>MSY!A262</f>
        <v>2.1800000000000002</v>
      </c>
      <c r="V221" s="86">
        <f>MSY!B262</f>
        <v>0.17838308766327837</v>
      </c>
      <c r="W221" s="86">
        <f>MSY!C262</f>
        <v>0.78702113128272311</v>
      </c>
      <c r="X221" s="86">
        <f>MSY!D262</f>
        <v>1.5422513755244986</v>
      </c>
      <c r="Y221" s="86">
        <f>MSY!E262</f>
        <v>1.2123113805690775</v>
      </c>
      <c r="Z221" s="86">
        <f>MSY!F262</f>
        <v>1.8696888942466638</v>
      </c>
      <c r="AA221" s="86">
        <f>MSY!G262</f>
        <v>0.95411467420239526</v>
      </c>
      <c r="AB221">
        <f t="shared" si="11"/>
        <v>-5.4841231621138801E-3</v>
      </c>
      <c r="AC221">
        <f t="shared" si="12"/>
        <v>0.68717325011147268</v>
      </c>
      <c r="AF221">
        <f t="shared" si="10"/>
        <v>2.1800000000000002</v>
      </c>
    </row>
    <row r="222" spans="21:32" x14ac:dyDescent="0.3">
      <c r="U222" s="86">
        <f>MSY!A263</f>
        <v>2.19</v>
      </c>
      <c r="V222" s="86">
        <f>MSY!B263</f>
        <v>0.17805958248031289</v>
      </c>
      <c r="W222" s="86">
        <f>MSY!C263</f>
        <v>0.78696609486281166</v>
      </c>
      <c r="X222" s="86">
        <f>MSY!D263</f>
        <v>1.5394544382141657</v>
      </c>
      <c r="Y222" s="86">
        <f>MSY!E263</f>
        <v>1.2055369777727212</v>
      </c>
      <c r="Z222" s="86">
        <f>MSY!F263</f>
        <v>1.8558692508635077</v>
      </c>
      <c r="AA222" s="86">
        <f>MSY!G263</f>
        <v>0.94871672761051451</v>
      </c>
      <c r="AB222">
        <f t="shared" si="11"/>
        <v>-5.5226404429897739E-3</v>
      </c>
      <c r="AC222">
        <f t="shared" si="12"/>
        <v>0.68721176739234857</v>
      </c>
      <c r="AF222">
        <f t="shared" si="10"/>
        <v>2.19</v>
      </c>
    </row>
    <row r="223" spans="21:32" x14ac:dyDescent="0.3">
      <c r="U223" s="86">
        <f>MSY!A264</f>
        <v>2.2000000000000002</v>
      </c>
      <c r="V223" s="86">
        <f>MSY!B264</f>
        <v>0.1777383961363744</v>
      </c>
      <c r="W223" s="86">
        <f>MSY!C264</f>
        <v>0.78691067847386331</v>
      </c>
      <c r="X223" s="86">
        <f>MSY!D264</f>
        <v>1.5366775489516933</v>
      </c>
      <c r="Y223" s="86">
        <f>MSY!E264</f>
        <v>1.1987867369901046</v>
      </c>
      <c r="Z223" s="86">
        <f>MSY!F264</f>
        <v>1.8421486647137522</v>
      </c>
      <c r="AA223" s="86">
        <f>MSY!G264</f>
        <v>0.94333808455035195</v>
      </c>
      <c r="AB223">
        <f t="shared" si="11"/>
        <v>-5.5601285426254369E-3</v>
      </c>
      <c r="AC223">
        <f t="shared" si="12"/>
        <v>0.68724925549198423</v>
      </c>
      <c r="AF223">
        <f t="shared" si="10"/>
        <v>2.2000000000000002</v>
      </c>
    </row>
    <row r="224" spans="21:32" x14ac:dyDescent="0.3">
      <c r="U224" s="86">
        <f>MSY!A265</f>
        <v>2.21</v>
      </c>
      <c r="V224" s="86">
        <f>MSY!B265</f>
        <v>0.17741950084776195</v>
      </c>
      <c r="W224" s="86">
        <f>MSY!C265</f>
        <v>0.78685489229195915</v>
      </c>
      <c r="X224" s="86">
        <f>MSY!D265</f>
        <v>1.5339204675268041</v>
      </c>
      <c r="Y224" s="86">
        <f>MSY!E265</f>
        <v>1.1920604670388606</v>
      </c>
      <c r="Z224" s="86">
        <f>MSY!F265</f>
        <v>1.8285259489204693</v>
      </c>
      <c r="AA224" s="86">
        <f>MSY!G265</f>
        <v>0.93797861039736519</v>
      </c>
      <c r="AB224">
        <f t="shared" si="11"/>
        <v>-5.5966103213289601E-3</v>
      </c>
      <c r="AC224">
        <f t="shared" si="12"/>
        <v>0.68728573727068776</v>
      </c>
      <c r="AF224">
        <f t="shared" si="10"/>
        <v>2.21</v>
      </c>
    </row>
    <row r="225" spans="21:32" x14ac:dyDescent="0.3">
      <c r="U225" s="86">
        <f>MSY!A266</f>
        <v>2.2200000000000002</v>
      </c>
      <c r="V225" s="86">
        <f>MSY!B266</f>
        <v>0.17710286929260316</v>
      </c>
      <c r="W225" s="86">
        <f>MSY!C266</f>
        <v>0.78679874626743673</v>
      </c>
      <c r="X225" s="86">
        <f>MSY!D266</f>
        <v>1.5311829577220635</v>
      </c>
      <c r="Y225" s="86">
        <f>MSY!E266</f>
        <v>1.1853579790592104</v>
      </c>
      <c r="Z225" s="86">
        <f>MSY!F266</f>
        <v>1.8149999363353293</v>
      </c>
      <c r="AA225" s="86">
        <f>MSY!G266</f>
        <v>0.93263817180188924</v>
      </c>
      <c r="AB225">
        <f t="shared" si="11"/>
        <v>-5.6321080760479651E-3</v>
      </c>
      <c r="AC225">
        <f t="shared" si="12"/>
        <v>0.68732123502540676</v>
      </c>
      <c r="AF225">
        <f t="shared" si="10"/>
        <v>2.2200000000000002</v>
      </c>
    </row>
    <row r="226" spans="21:32" x14ac:dyDescent="0.3">
      <c r="U226" s="86">
        <f>MSY!A267</f>
        <v>2.23</v>
      </c>
      <c r="V226" s="86">
        <f>MSY!B267</f>
        <v>0.17678847460112776</v>
      </c>
      <c r="W226" s="86">
        <f>MSY!C267</f>
        <v>0.78674225013043819</v>
      </c>
      <c r="X226" s="86">
        <f>MSY!D267</f>
        <v>1.5284647872287889</v>
      </c>
      <c r="Y226" s="86">
        <f>MSY!E267</f>
        <v>1.178679086477016</v>
      </c>
      <c r="Z226" s="86">
        <f>MSY!F267</f>
        <v>1.8015694791231156</v>
      </c>
      <c r="AA226" s="86">
        <f>MSY!G267</f>
        <v>0.9273166366766169</v>
      </c>
      <c r="AB226">
        <f t="shared" si="11"/>
        <v>-5.6666435562513443E-3</v>
      </c>
      <c r="AC226">
        <f t="shared" si="12"/>
        <v>0.68735577050561014</v>
      </c>
      <c r="AF226">
        <f t="shared" si="10"/>
        <v>2.23</v>
      </c>
    </row>
    <row r="227" spans="21:32" x14ac:dyDescent="0.3">
      <c r="U227" s="86">
        <f>MSY!A268</f>
        <v>2.2400000000000002</v>
      </c>
      <c r="V227" s="86">
        <f>MSY!B268</f>
        <v>0.17647629034618892</v>
      </c>
      <c r="W227" s="86">
        <f>MSY!C268</f>
        <v>0.78668541339631171</v>
      </c>
      <c r="X227" s="86">
        <f>MSY!D268</f>
        <v>1.5257657275650984</v>
      </c>
      <c r="Y227" s="86">
        <f>MSY!E268</f>
        <v>1.1720236049675585</v>
      </c>
      <c r="Z227" s="86">
        <f>MSY!F268</f>
        <v>1.7882334483567965</v>
      </c>
      <c r="AA227" s="86">
        <f>MSY!G268</f>
        <v>0.92201387418413927</v>
      </c>
      <c r="AB227">
        <f t="shared" si="11"/>
        <v>-5.7002379792392369E-3</v>
      </c>
      <c r="AC227">
        <f t="shared" si="12"/>
        <v>0.68738936492859803</v>
      </c>
      <c r="AF227">
        <f t="shared" si="10"/>
        <v>2.2400000000000002</v>
      </c>
    </row>
    <row r="228" spans="21:32" x14ac:dyDescent="0.3">
      <c r="U228" s="86">
        <f>MSY!A269</f>
        <v>2.25</v>
      </c>
      <c r="V228" s="86">
        <f>MSY!B269</f>
        <v>0.17616629053402327</v>
      </c>
      <c r="W228" s="86">
        <f>MSY!C269</f>
        <v>0.78662824537085341</v>
      </c>
      <c r="X228" s="86">
        <f>MSY!D269</f>
        <v>1.5230855539960251</v>
      </c>
      <c r="Y228" s="86">
        <f>MSY!E269</f>
        <v>1.1653913524200179</v>
      </c>
      <c r="Z228" s="86">
        <f>MSY!F269</f>
        <v>1.7749907336228199</v>
      </c>
      <c r="AA228" s="86">
        <f>MSY!G269</f>
        <v>0.91672975472452456</v>
      </c>
      <c r="AB228">
        <f t="shared" si="11"/>
        <v>-5.7329120453532114E-3</v>
      </c>
      <c r="AC228">
        <f t="shared" si="12"/>
        <v>0.68742203899471199</v>
      </c>
      <c r="AF228">
        <f t="shared" si="10"/>
        <v>2.25</v>
      </c>
    </row>
    <row r="229" spans="21:32" x14ac:dyDescent="0.3">
      <c r="U229" s="86">
        <f>MSY!A270</f>
        <v>2.2599999999999998</v>
      </c>
      <c r="V229" s="86">
        <f>MSY!B270</f>
        <v>0.17585844959524363</v>
      </c>
      <c r="W229" s="86">
        <f>MSY!C270</f>
        <v>0.78657075515540464</v>
      </c>
      <c r="X229" s="86">
        <f>MSY!D270</f>
        <v>1.5204240454556424</v>
      </c>
      <c r="Y229" s="86">
        <f>MSY!E270</f>
        <v>1.1587821489026358</v>
      </c>
      <c r="Z229" s="86">
        <f>MSY!F270</f>
        <v>1.761840242636328</v>
      </c>
      <c r="AA229" s="86">
        <f>MSY!G270</f>
        <v>0.91146414992294877</v>
      </c>
      <c r="AB229">
        <f t="shared" si="11"/>
        <v>-5.7646859523030562E-3</v>
      </c>
      <c r="AC229">
        <f t="shared" si="12"/>
        <v>0.68745381290166185</v>
      </c>
      <c r="AF229">
        <f t="shared" si="10"/>
        <v>2.2599999999999998</v>
      </c>
    </row>
    <row r="230" spans="21:32" x14ac:dyDescent="0.3">
      <c r="U230" s="86">
        <f>MSY!A271</f>
        <v>2.27</v>
      </c>
      <c r="V230" s="86">
        <f>MSY!B271</f>
        <v>0.1755527423760572</v>
      </c>
      <c r="W230" s="86">
        <f>MSY!C271</f>
        <v>0.78651295165180735</v>
      </c>
      <c r="X230" s="86">
        <f>MSY!D271</f>
        <v>1.5177809844711392</v>
      </c>
      <c r="Y230" s="86">
        <f>MSY!E271</f>
        <v>1.1521958166285564</v>
      </c>
      <c r="Z230" s="86">
        <f>MSY!F271</f>
        <v>1.7487809008660185</v>
      </c>
      <c r="AA230" s="86">
        <f>MSY!G271</f>
        <v>0.90621693261739045</v>
      </c>
      <c r="AB230">
        <f t="shared" si="11"/>
        <v>-5.795579409106905E-3</v>
      </c>
      <c r="AC230">
        <f t="shared" si="12"/>
        <v>0.6874847063584657</v>
      </c>
      <c r="AF230">
        <f t="shared" si="10"/>
        <v>2.27</v>
      </c>
    </row>
    <row r="231" spans="21:32" x14ac:dyDescent="0.3">
      <c r="U231" s="86">
        <f>MSY!A272</f>
        <v>2.2799999999999998</v>
      </c>
      <c r="V231" s="86">
        <f>MSY!B272</f>
        <v>0.17524914412970322</v>
      </c>
      <c r="W231" s="86">
        <f>MSY!C272</f>
        <v>0.78645484356722251</v>
      </c>
      <c r="X231" s="86">
        <f>MSY!D272</f>
        <v>1.5151561570887917</v>
      </c>
      <c r="Y231" s="86">
        <f>MSY!E272</f>
        <v>1.1456321799223257</v>
      </c>
      <c r="Z231" s="86">
        <f>MSY!F272</f>
        <v>1.7358116511683661</v>
      </c>
      <c r="AA231" s="86">
        <f>MSY!G272</f>
        <v>0.90098797684638876</v>
      </c>
      <c r="AB231">
        <f t="shared" si="11"/>
        <v>-5.8256116497623581E-3</v>
      </c>
      <c r="AC231">
        <f t="shared" si="12"/>
        <v>0.68751473859912116</v>
      </c>
      <c r="AF231">
        <f t="shared" si="10"/>
        <v>2.2799999999999998</v>
      </c>
    </row>
    <row r="232" spans="21:32" x14ac:dyDescent="0.3">
      <c r="U232" s="86">
        <f>MSY!A273</f>
        <v>2.29</v>
      </c>
      <c r="V232" s="86">
        <f>MSY!B273</f>
        <v>0.17494763050810253</v>
      </c>
      <c r="W232" s="86">
        <f>MSY!C273</f>
        <v>0.7863964394188121</v>
      </c>
      <c r="X232" s="86">
        <f>MSY!D273</f>
        <v>1.5125493528017686</v>
      </c>
      <c r="Y232" s="86">
        <f>MSY!E273</f>
        <v>1.139091065187027</v>
      </c>
      <c r="Z232" s="86">
        <f>MSY!F273</f>
        <v>1.7229314534309148</v>
      </c>
      <c r="AA232" s="86">
        <f>MSY!G273</f>
        <v>0.89577715783685996</v>
      </c>
      <c r="AB232">
        <f t="shared" si="11"/>
        <v>-5.8548014462422807E-3</v>
      </c>
      <c r="AC232">
        <f t="shared" si="12"/>
        <v>0.68754392839560108</v>
      </c>
      <c r="AF232">
        <f t="shared" si="10"/>
        <v>2.29</v>
      </c>
    </row>
    <row r="233" spans="21:32" x14ac:dyDescent="0.3">
      <c r="U233" s="86">
        <f>MSY!A274</f>
        <v>2.2999999999999998</v>
      </c>
      <c r="V233" s="86">
        <f>MSY!B274</f>
        <v>0.17464817755371459</v>
      </c>
      <c r="W233" s="86">
        <f>MSY!C274</f>
        <v>0.78633774753829766</v>
      </c>
      <c r="X233" s="86">
        <f>MSY!D274</f>
        <v>1.5099603644797286</v>
      </c>
      <c r="Y233" s="86">
        <f>MSY!E274</f>
        <v>1.1325723008720565</v>
      </c>
      <c r="Z233" s="86">
        <f>MSY!F274</f>
        <v>1.7101392842244152</v>
      </c>
      <c r="AA233" s="86">
        <f>MSY!G274</f>
        <v>0.89058435199200003</v>
      </c>
      <c r="AB233">
        <f t="shared" si="11"/>
        <v>-5.8831671212955464E-3</v>
      </c>
      <c r="AC233">
        <f t="shared" si="12"/>
        <v>0.68757229407065434</v>
      </c>
      <c r="AF233">
        <f t="shared" si="10"/>
        <v>2.2999999999999998</v>
      </c>
    </row>
    <row r="234" spans="21:32" x14ac:dyDescent="0.3">
      <c r="U234" s="86">
        <f>MSY!A275</f>
        <v>2.31</v>
      </c>
      <c r="V234" s="86">
        <f>MSY!B275</f>
        <v>0.17435076169159369</v>
      </c>
      <c r="W234" s="86">
        <f>MSY!C275</f>
        <v>0.78627877607638619</v>
      </c>
      <c r="X234" s="86">
        <f>MSY!D275</f>
        <v>1.5073889883001403</v>
      </c>
      <c r="Y234" s="86">
        <f>MSY!E275</f>
        <v>1.1260757174414884</v>
      </c>
      <c r="Z234" s="86">
        <f>MSY!F275</f>
        <v>1.6974341364634797</v>
      </c>
      <c r="AA234" s="86">
        <f>MSY!G275</f>
        <v>0.88540943687923201</v>
      </c>
      <c r="AB234">
        <f t="shared" si="11"/>
        <v>-5.9107265608371266E-3</v>
      </c>
      <c r="AC234">
        <f t="shared" si="12"/>
        <v>0.68759985351019592</v>
      </c>
      <c r="AF234">
        <f t="shared" si="10"/>
        <v>2.31</v>
      </c>
    </row>
    <row r="235" spans="21:32" x14ac:dyDescent="0.3">
      <c r="U235" s="86">
        <f>MSY!A276</f>
        <v>2.3199999999999998</v>
      </c>
      <c r="V235" s="86">
        <f>MSY!B276</f>
        <v>0.17405535972164157</v>
      </c>
      <c r="W235" s="86">
        <f>MSY!C276</f>
        <v>0.78621953300708092</v>
      </c>
      <c r="X235" s="86">
        <f>MSY!D276</f>
        <v>1.5048350236813013</v>
      </c>
      <c r="Y235" s="86">
        <f>MSY!E276</f>
        <v>1.1196011473430747</v>
      </c>
      <c r="Z235" s="86">
        <f>MSY!F276</f>
        <v>1.6848150190756279</v>
      </c>
      <c r="AA235" s="86">
        <f>MSY!G276</f>
        <v>0.8802522912182642</v>
      </c>
      <c r="AB235">
        <f t="shared" si="11"/>
        <v>-5.9374972256220852E-3</v>
      </c>
      <c r="AC235">
        <f t="shared" si="12"/>
        <v>0.68762662417498088</v>
      </c>
      <c r="AF235">
        <f t="shared" si="10"/>
        <v>2.3199999999999998</v>
      </c>
    </row>
    <row r="236" spans="21:32" x14ac:dyDescent="0.3">
      <c r="U236" s="86">
        <f>MSY!A277</f>
        <v>2.33</v>
      </c>
      <c r="V236" s="86">
        <f>MSY!B277</f>
        <v>0.17376194881104792</v>
      </c>
      <c r="W236" s="86">
        <f>MSY!C277</f>
        <v>0.78616002613187375</v>
      </c>
      <c r="X236" s="86">
        <f>MSY!D277</f>
        <v>1.5022982732169794</v>
      </c>
      <c r="Y236" s="86">
        <f>MSY!E277</f>
        <v>1.1131484249778008</v>
      </c>
      <c r="Z236" s="86">
        <f>MSY!F277</f>
        <v>1.6722809566783503</v>
      </c>
      <c r="AA236" s="86">
        <f>MSY!G277</f>
        <v>0.8751127948692019</v>
      </c>
      <c r="AB236">
        <f t="shared" si="11"/>
        <v>-5.9634961629750852E-3</v>
      </c>
      <c r="AC236">
        <f t="shared" si="12"/>
        <v>0.68765262311233388</v>
      </c>
      <c r="AF236">
        <f t="shared" si="10"/>
        <v>2.33</v>
      </c>
    </row>
    <row r="237" spans="21:32" x14ac:dyDescent="0.3">
      <c r="U237" s="86">
        <f>MSY!A278</f>
        <v>2.34</v>
      </c>
      <c r="V237" s="86">
        <f>MSY!B278</f>
        <v>0.173470506486915</v>
      </c>
      <c r="W237" s="86">
        <f>MSY!C278</f>
        <v>0.78610026308382142</v>
      </c>
      <c r="X237" s="86">
        <f>MSY!D278</f>
        <v>1.4997785426126495</v>
      </c>
      <c r="Y237" s="86">
        <f>MSY!E278</f>
        <v>1.1067173866700302</v>
      </c>
      <c r="Z237" s="86">
        <f>MSY!F278</f>
        <v>1.6598309892640579</v>
      </c>
      <c r="AA237" s="86">
        <f>MSY!G278</f>
        <v>0.86999082882075007</v>
      </c>
      <c r="AB237">
        <f t="shared" si="11"/>
        <v>-5.9887400179481302E-3</v>
      </c>
      <c r="AC237">
        <f t="shared" si="12"/>
        <v>0.68767786696730693</v>
      </c>
      <c r="AF237">
        <f t="shared" si="10"/>
        <v>2.34</v>
      </c>
    </row>
    <row r="238" spans="21:32" x14ac:dyDescent="0.3">
      <c r="U238" s="86">
        <f>MSY!A279</f>
        <v>2.35</v>
      </c>
      <c r="V238" s="86">
        <f>MSY!B279</f>
        <v>0.17318101062906152</v>
      </c>
      <c r="W238" s="86">
        <f>MSY!C279</f>
        <v>0.78604025133151478</v>
      </c>
      <c r="X238" s="86">
        <f>MSY!D279</f>
        <v>1.497275640623275</v>
      </c>
      <c r="Y238" s="86">
        <f>MSY!E279</f>
        <v>1.1003078706382086</v>
      </c>
      <c r="Z238" s="86">
        <f>MSY!F279</f>
        <v>1.6474641718926553</v>
      </c>
      <c r="AA238" s="86">
        <f>MSY!G279</f>
        <v>0.86488627517850136</v>
      </c>
      <c r="AB238">
        <f t="shared" si="11"/>
        <v>-6.0132450441951982E-3</v>
      </c>
      <c r="AC238">
        <f t="shared" si="12"/>
        <v>0.687702371993554</v>
      </c>
      <c r="AF238">
        <f t="shared" si="10"/>
        <v>2.35</v>
      </c>
    </row>
    <row r="239" spans="21:32" x14ac:dyDescent="0.3">
      <c r="U239" s="86">
        <f>MSY!A280</f>
        <v>2.36</v>
      </c>
      <c r="V239" s="86">
        <f>MSY!B280</f>
        <v>0.17289343946299918</v>
      </c>
      <c r="W239" s="86">
        <f>MSY!C280</f>
        <v>0.78597999818293751</v>
      </c>
      <c r="X239" s="86">
        <f>MSY!D280</f>
        <v>1.4947893789925872</v>
      </c>
      <c r="Y239" s="86">
        <f>MSY!E280</f>
        <v>1.0939197169661152</v>
      </c>
      <c r="Z239" s="86">
        <f>MSY!F280</f>
        <v>1.6351795743915261</v>
      </c>
      <c r="AA239" s="86">
        <f>MSY!G280</f>
        <v>0.85979901715330675</v>
      </c>
      <c r="AB239">
        <f t="shared" si="11"/>
        <v>-6.0370271143639301E-3</v>
      </c>
      <c r="AC239">
        <f t="shared" si="12"/>
        <v>0.68772615406372273</v>
      </c>
      <c r="AF239">
        <f t="shared" si="10"/>
        <v>2.36</v>
      </c>
    </row>
    <row r="240" spans="21:32" x14ac:dyDescent="0.3">
      <c r="U240" s="86">
        <f>MSY!A281</f>
        <v>2.37</v>
      </c>
      <c r="V240" s="86">
        <f>MSY!B281</f>
        <v>0.17260777155307835</v>
      </c>
      <c r="W240" s="86">
        <f>MSY!C281</f>
        <v>0.7859195107892275</v>
      </c>
      <c r="X240" s="86">
        <f>MSY!D281</f>
        <v>1.4923195723938236</v>
      </c>
      <c r="Y240" s="86">
        <f>MSY!E281</f>
        <v>1.0875527675746484</v>
      </c>
      <c r="Z240" s="86">
        <f>MSY!F281</f>
        <v>1.6229762810627189</v>
      </c>
      <c r="AA240" s="86">
        <f>MSY!G281</f>
        <v>0.85472893904973812</v>
      </c>
      <c r="AB240">
        <f t="shared" si="11"/>
        <v>-6.0601017303762942E-3</v>
      </c>
      <c r="AC240">
        <f t="shared" si="12"/>
        <v>0.68774922867973509</v>
      </c>
      <c r="AF240">
        <f t="shared" si="10"/>
        <v>2.37</v>
      </c>
    </row>
    <row r="241" spans="21:32" x14ac:dyDescent="0.3">
      <c r="U241" s="86">
        <f>MSY!A282</f>
        <v>2.38</v>
      </c>
      <c r="V241" s="86">
        <f>MSY!B282</f>
        <v>0.17232398579579764</v>
      </c>
      <c r="W241" s="86">
        <f>MSY!C282</f>
        <v>0.78585879614832999</v>
      </c>
      <c r="X241" s="86">
        <f>MSY!D282</f>
        <v>1.489866038371884</v>
      </c>
      <c r="Y241" s="86">
        <f>MSY!E282</f>
        <v>1.081206866194137</v>
      </c>
      <c r="Z241" s="86">
        <f>MSY!F282</f>
        <v>1.6108533903971385</v>
      </c>
      <c r="AA241" s="86">
        <f>MSY!G282</f>
        <v>0.84967592625463295</v>
      </c>
      <c r="AB241">
        <f t="shared" si="11"/>
        <v>-6.082484033348429E-3</v>
      </c>
      <c r="AC241">
        <f t="shared" si="12"/>
        <v>0.68777161098270723</v>
      </c>
      <c r="AF241">
        <f t="shared" si="10"/>
        <v>2.38</v>
      </c>
    </row>
    <row r="242" spans="21:32" x14ac:dyDescent="0.3">
      <c r="U242" s="86">
        <f>MSY!A283</f>
        <v>2.39</v>
      </c>
      <c r="V242" s="86">
        <f>MSY!B283</f>
        <v>0.17204206141327241</v>
      </c>
      <c r="W242" s="86">
        <f>MSY!C283</f>
        <v>0.78579786110856054</v>
      </c>
      <c r="X242" s="86">
        <f>MSY!D283</f>
        <v>1.4874285972868628</v>
      </c>
      <c r="Y242" s="86">
        <f>MSY!E283</f>
        <v>1.0748818583371653</v>
      </c>
      <c r="Z242" s="86">
        <f>MSY!F283</f>
        <v>1.5988100147955462</v>
      </c>
      <c r="AA242" s="86">
        <f>MSY!G283</f>
        <v>0.84463986522573931</v>
      </c>
      <c r="AB242">
        <f t="shared" si="11"/>
        <v>-6.1041888130608461E-3</v>
      </c>
      <c r="AC242">
        <f t="shared" si="12"/>
        <v>0.68779331576241964</v>
      </c>
      <c r="AF242">
        <f t="shared" si="10"/>
        <v>2.39</v>
      </c>
    </row>
    <row r="243" spans="21:32" x14ac:dyDescent="0.3">
      <c r="U243" s="86">
        <f>MSY!A284</f>
        <v>2.4</v>
      </c>
      <c r="V243" s="86">
        <f>MSY!B284</f>
        <v>0.1717619779468591</v>
      </c>
      <c r="W243" s="86">
        <f>MSY!C284</f>
        <v>0.78573671237206877</v>
      </c>
      <c r="X243" s="86">
        <f>MSY!D284</f>
        <v>1.4850070722589244</v>
      </c>
      <c r="Y243" s="86">
        <f>MSY!E284</f>
        <v>1.0685775912719031</v>
      </c>
      <c r="Z243" s="86">
        <f>MSY!F284</f>
        <v>1.5868452802961823</v>
      </c>
      <c r="AA243" s="86">
        <f>MSY!G284</f>
        <v>0.8396206434804494</v>
      </c>
      <c r="AB243">
        <f t="shared" si="11"/>
        <v>-6.1252305172843028E-3</v>
      </c>
      <c r="AC243">
        <f t="shared" si="12"/>
        <v>0.6878143574666431</v>
      </c>
      <c r="AF243">
        <f t="shared" si="10"/>
        <v>2.4</v>
      </c>
    </row>
    <row r="244" spans="21:32" x14ac:dyDescent="0.3">
      <c r="U244" s="86">
        <f>MSY!A285</f>
        <v>2.41</v>
      </c>
      <c r="V244" s="86">
        <f>MSY!B285</f>
        <v>0.17148371525092945</v>
      </c>
      <c r="W244" s="86">
        <f>MSY!C285</f>
        <v>0.78567535649821485</v>
      </c>
      <c r="X244" s="86">
        <f>MSY!D285</f>
        <v>1.4826012891144777</v>
      </c>
      <c r="Y244" s="86">
        <f>MSY!E285</f>
        <v>1.0622939139959238</v>
      </c>
      <c r="Z244" s="86">
        <f>MSY!F285</f>
        <v>1.5749583263088207</v>
      </c>
      <c r="AA244" s="86">
        <f>MSY!G285</f>
        <v>0.83461814958463143</v>
      </c>
      <c r="AB244">
        <f t="shared" si="11"/>
        <v>-6.1456232607837117E-3</v>
      </c>
      <c r="AC244">
        <f t="shared" si="12"/>
        <v>0.68783475021014251</v>
      </c>
      <c r="AF244">
        <f t="shared" si="10"/>
        <v>2.41</v>
      </c>
    </row>
    <row r="245" spans="21:32" x14ac:dyDescent="0.3">
      <c r="U245" s="86">
        <f>MSY!A286</f>
        <v>2.42</v>
      </c>
      <c r="V245" s="86">
        <f>MSY!B286</f>
        <v>0.17120725348679094</v>
      </c>
      <c r="W245" s="86">
        <f>MSY!C286</f>
        <v>0.78561379990685309</v>
      </c>
      <c r="X245" s="86">
        <f>MSY!D286</f>
        <v>1.4802110763336149</v>
      </c>
      <c r="Y245" s="86">
        <f>MSY!E286</f>
        <v>1.0560306772104933</v>
      </c>
      <c r="Z245" s="86">
        <f>MSY!F286</f>
        <v>1.5631483053550606</v>
      </c>
      <c r="AA245" s="86">
        <f>MSY!G286</f>
        <v>0.82963227314154298</v>
      </c>
      <c r="AB245">
        <f t="shared" si="11"/>
        <v>-6.1653808341166575E-3</v>
      </c>
      <c r="AC245">
        <f t="shared" si="12"/>
        <v>0.68785450778347546</v>
      </c>
      <c r="AF245">
        <f t="shared" si="10"/>
        <v>2.42</v>
      </c>
    </row>
    <row r="246" spans="21:32" x14ac:dyDescent="0.3">
      <c r="U246" s="86">
        <f>MSY!A287</f>
        <v>2.4300000000000002</v>
      </c>
      <c r="V246" s="86">
        <f>MSY!B287</f>
        <v>0.17093257311675078</v>
      </c>
      <c r="W246" s="86">
        <f>MSY!C287</f>
        <v>0.78555204888153252</v>
      </c>
      <c r="X246" s="86">
        <f>MSY!D287</f>
        <v>1.4778362649987888</v>
      </c>
      <c r="Y246" s="86">
        <f>MSY!E287</f>
        <v>1.049787733295348</v>
      </c>
      <c r="Z246" s="86">
        <f>MSY!F287</f>
        <v>1.551414382814742</v>
      </c>
      <c r="AA246" s="86">
        <f>MSY!G287</f>
        <v>0.82466290478086046</v>
      </c>
      <c r="AB246">
        <f t="shared" si="11"/>
        <v>-6.1845167119656212E-3</v>
      </c>
      <c r="AC246">
        <f t="shared" si="12"/>
        <v>0.68787364366132442</v>
      </c>
      <c r="AF246">
        <f t="shared" si="10"/>
        <v>2.4300000000000002</v>
      </c>
    </row>
    <row r="247" spans="21:32" x14ac:dyDescent="0.3">
      <c r="U247" s="86">
        <f>MSY!A288</f>
        <v>2.44</v>
      </c>
      <c r="V247" s="86">
        <f>MSY!B288</f>
        <v>0.17065965489831747</v>
      </c>
      <c r="W247" s="86">
        <f>MSY!C288</f>
        <v>0.78549010957261378</v>
      </c>
      <c r="X247" s="86">
        <f>MSY!D288</f>
        <v>1.4754766887446824</v>
      </c>
      <c r="Y247" s="86">
        <f>MSY!E288</f>
        <v>1.043564936283919</v>
      </c>
      <c r="Z247" s="86">
        <f>MSY!F288</f>
        <v>1.5397557366782524</v>
      </c>
      <c r="AA247" s="86">
        <f>MSY!G288</f>
        <v>0.81970993614779331</v>
      </c>
      <c r="AB247">
        <f t="shared" si="11"/>
        <v>-6.2030440615257147E-3</v>
      </c>
      <c r="AC247">
        <f t="shared" si="12"/>
        <v>0.68789217101088451</v>
      </c>
      <c r="AF247">
        <f t="shared" si="10"/>
        <v>2.44</v>
      </c>
    </row>
    <row r="248" spans="21:32" x14ac:dyDescent="0.3">
      <c r="U248" s="86">
        <f>MSY!A289</f>
        <v>2.4500000000000002</v>
      </c>
      <c r="V248" s="86">
        <f>MSY!B289</f>
        <v>0.17038847987853742</v>
      </c>
      <c r="W248" s="86">
        <f>MSY!C289</f>
        <v>0.785427988000302</v>
      </c>
      <c r="X248" s="86">
        <f>MSY!D289</f>
        <v>1.4731321837092435</v>
      </c>
      <c r="Y248" s="86">
        <f>MSY!E289</f>
        <v>1.0373621418390053</v>
      </c>
      <c r="Z248" s="86">
        <f>MSY!F289</f>
        <v>1.528171557304592</v>
      </c>
      <c r="AA248" s="86">
        <f>MSY!G289</f>
        <v>0.81477325989229388</v>
      </c>
      <c r="AB248">
        <f t="shared" si="11"/>
        <v>-6.2209757503650601E-3</v>
      </c>
      <c r="AC248">
        <f t="shared" si="12"/>
        <v>0.68791010269972386</v>
      </c>
      <c r="AF248">
        <f t="shared" si="10"/>
        <v>2.4500000000000002</v>
      </c>
    </row>
    <row r="249" spans="21:32" x14ac:dyDescent="0.3">
      <c r="U249" s="86">
        <f>MSY!A290</f>
        <v>2.46</v>
      </c>
      <c r="V249" s="86">
        <f>MSY!B290</f>
        <v>0.17011902938846288</v>
      </c>
      <c r="W249" s="86">
        <f>MSY!C290</f>
        <v>0.78536569005760648</v>
      </c>
      <c r="X249" s="86">
        <f>MSY!D290</f>
        <v>1.4708025884858575</v>
      </c>
      <c r="Y249" s="86">
        <f>MSY!E290</f>
        <v>1.0311792072288957</v>
      </c>
      <c r="Z249" s="86">
        <f>MSY!F290</f>
        <v>1.5166610471850543</v>
      </c>
      <c r="AA249" s="86">
        <f>MSY!G290</f>
        <v>0.80985276965837727</v>
      </c>
      <c r="AB249">
        <f t="shared" si="11"/>
        <v>-6.2383243542019021E-3</v>
      </c>
      <c r="AC249">
        <f t="shared" si="12"/>
        <v>0.6879274513035607</v>
      </c>
      <c r="AF249">
        <f t="shared" si="10"/>
        <v>2.46</v>
      </c>
    </row>
    <row r="250" spans="21:32" x14ac:dyDescent="0.3">
      <c r="U250" s="86">
        <f>MSY!A291</f>
        <v>2.4700000000000002</v>
      </c>
      <c r="V250" s="86">
        <f>MSY!B291</f>
        <v>0.16985128503774724</v>
      </c>
      <c r="W250" s="86">
        <f>MSY!C291</f>
        <v>0.78530322151321796</v>
      </c>
      <c r="X250" s="86">
        <f>MSY!D291</f>
        <v>1.4684877440766186</v>
      </c>
      <c r="Y250" s="86">
        <f>MSY!E291</f>
        <v>1.0250159913039141</v>
      </c>
      <c r="Z250" s="86">
        <f>MSY!F291</f>
        <v>1.5052234207123438</v>
      </c>
      <c r="AA250" s="86">
        <f>MSY!G291</f>
        <v>0.80494836007352832</v>
      </c>
      <c r="AB250">
        <f t="shared" si="11"/>
        <v>-6.2551021644319197E-3</v>
      </c>
      <c r="AC250">
        <f t="shared" si="12"/>
        <v>0.68794422911379072</v>
      </c>
      <c r="AF250">
        <f t="shared" si="10"/>
        <v>2.4700000000000002</v>
      </c>
    </row>
    <row r="251" spans="21:32" x14ac:dyDescent="0.3">
      <c r="U251" s="86">
        <f>MSY!A292</f>
        <v>2.48</v>
      </c>
      <c r="V251" s="86">
        <f>MSY!B292</f>
        <v>0.16958522870936446</v>
      </c>
      <c r="W251" s="86">
        <f>MSY!C292</f>
        <v>0.78524058801431784</v>
      </c>
      <c r="X251" s="86">
        <f>MSY!D292</f>
        <v>1.4661874938466761</v>
      </c>
      <c r="Y251" s="86">
        <f>MSY!E292</f>
        <v>1.0188723544733884</v>
      </c>
      <c r="Z251" s="86">
        <f>MSY!F292</f>
        <v>1.4938579039549995</v>
      </c>
      <c r="AA251" s="86">
        <f>MSY!G292</f>
        <v>0.80005992673821602</v>
      </c>
      <c r="AB251">
        <f t="shared" si="11"/>
        <v>-6.2713211953613294E-3</v>
      </c>
      <c r="AC251">
        <f t="shared" si="12"/>
        <v>0.68796044814472013</v>
      </c>
      <c r="AF251">
        <f t="shared" si="10"/>
        <v>2.48</v>
      </c>
    </row>
    <row r="252" spans="21:32" x14ac:dyDescent="0.3">
      <c r="U252" s="86">
        <f>MSY!A293</f>
        <v>2.4900000000000002</v>
      </c>
      <c r="V252" s="86">
        <f>MSY!B293</f>
        <v>0.16932084255444962</v>
      </c>
      <c r="W252" s="86">
        <f>MSY!C293</f>
        <v>0.78517779508931074</v>
      </c>
      <c r="X252" s="86">
        <f>MSY!D293</f>
        <v>1.4639016834796263</v>
      </c>
      <c r="Y252" s="86">
        <f>MSY!E293</f>
        <v>1.0127481586830365</v>
      </c>
      <c r="Z252" s="86">
        <f>MSY!F293</f>
        <v>1.4825637344369889</v>
      </c>
      <c r="AA252" s="86">
        <f>MSY!G293</f>
        <v>0.79518736621550601</v>
      </c>
      <c r="AB252">
        <f t="shared" si="11"/>
        <v>-6.2869931914455394E-3</v>
      </c>
      <c r="AC252">
        <f t="shared" si="12"/>
        <v>0.68797612014080434</v>
      </c>
      <c r="AF252">
        <f t="shared" si="10"/>
        <v>2.4900000000000002</v>
      </c>
    </row>
    <row r="253" spans="21:32" x14ac:dyDescent="0.3">
      <c r="U253" s="86">
        <f>MSY!A294</f>
        <v>2.5</v>
      </c>
      <c r="V253" s="86">
        <f>MSY!B294</f>
        <v>0.16905810898725607</v>
      </c>
      <c r="W253" s="86">
        <f>MSY!C294</f>
        <v>0.78511484815048893</v>
      </c>
      <c r="X253" s="86">
        <f>MSY!D294</f>
        <v>1.4616301609339153</v>
      </c>
      <c r="Y253" s="86">
        <f>MSY!E294</f>
        <v>1.0066432673927375</v>
      </c>
      <c r="Z253" s="86">
        <f>MSY!F294</f>
        <v>1.4713401609222891</v>
      </c>
      <c r="AA253" s="86">
        <f>MSY!G294</f>
        <v>0.79033057602076107</v>
      </c>
      <c r="AB253">
        <f t="shared" si="11"/>
        <v>-6.3021296339894851E-3</v>
      </c>
      <c r="AC253">
        <f t="shared" si="12"/>
        <v>0.68799125658334825</v>
      </c>
      <c r="AF253">
        <f t="shared" si="10"/>
        <v>2.5</v>
      </c>
    </row>
    <row r="254" spans="21:32" x14ac:dyDescent="0.3">
      <c r="U254" s="86">
        <f>MSY!A295</f>
        <v>2.5099999999999998</v>
      </c>
      <c r="V254" s="86">
        <f>MSY!B295</f>
        <v>0.16879701068022879</v>
      </c>
      <c r="W254" s="86">
        <f>MSY!C295</f>
        <v>0.78505175249663095</v>
      </c>
      <c r="X254" s="86">
        <f>MSY!D295</f>
        <v>1.4593727764002422</v>
      </c>
      <c r="Y254" s="86">
        <f>MSY!E295</f>
        <v>1.0005575455547351</v>
      </c>
      <c r="Z254" s="86">
        <f>MSY!F295</f>
        <v>1.4601864432044256</v>
      </c>
      <c r="AA254" s="86">
        <f>MSY!G295</f>
        <v>0.78548945461147246</v>
      </c>
      <c r="AB254">
        <f t="shared" si="11"/>
        <v>-6.3167417478859848E-3</v>
      </c>
      <c r="AC254">
        <f t="shared" si="12"/>
        <v>0.68800586869724478</v>
      </c>
      <c r="AF254">
        <f t="shared" si="10"/>
        <v>2.5099999999999998</v>
      </c>
    </row>
    <row r="255" spans="21:32" x14ac:dyDescent="0.3">
      <c r="U255" s="86">
        <f>MSY!A296</f>
        <v>2.52</v>
      </c>
      <c r="V255" s="86">
        <f>MSY!B296</f>
        <v>0.16853753055918699</v>
      </c>
      <c r="W255" s="86">
        <f>MSY!C296</f>
        <v>0.78498851331553121</v>
      </c>
      <c r="X255" s="86">
        <f>MSY!D296</f>
        <v>1.457129382259911</v>
      </c>
      <c r="Y255" s="86">
        <f>MSY!E296</f>
        <v>0.9944908595921782</v>
      </c>
      <c r="Z255" s="86">
        <f>MSY!F296</f>
        <v>1.4491018519006784</v>
      </c>
      <c r="AA255" s="86">
        <f>MSY!G296</f>
        <v>0.78066390137714869</v>
      </c>
      <c r="AB255">
        <f t="shared" si="11"/>
        <v>-6.3308405081174916E-3</v>
      </c>
      <c r="AC255">
        <f t="shared" si="12"/>
        <v>0.68801996745747629</v>
      </c>
      <c r="AF255">
        <f t="shared" si="10"/>
        <v>2.52</v>
      </c>
    </row>
    <row r="256" spans="21:32" x14ac:dyDescent="0.3">
      <c r="U256" s="86">
        <f>MSY!A297</f>
        <v>2.5299999999999998</v>
      </c>
      <c r="V256" s="86">
        <f>MSY!B297</f>
        <v>0.16827965179861709</v>
      </c>
      <c r="W256" s="86">
        <f>MSY!C297</f>
        <v>0.7849251356864686</v>
      </c>
      <c r="X256" s="86">
        <f>MSY!D297</f>
        <v>1.4548998330441343</v>
      </c>
      <c r="Y256" s="86">
        <f>MSY!E297</f>
        <v>0.98844307737808923</v>
      </c>
      <c r="Z256" s="86">
        <f>MSY!F297</f>
        <v>1.4380856682510124</v>
      </c>
      <c r="AA256" s="86">
        <f>MSY!G297</f>
        <v>0.77585381662934727</v>
      </c>
      <c r="AB256">
        <f t="shared" si="11"/>
        <v>-6.3444366460496619E-3</v>
      </c>
      <c r="AC256">
        <f t="shared" si="12"/>
        <v>0.68803356359540846</v>
      </c>
      <c r="AF256">
        <f t="shared" si="10"/>
        <v>2.5299999999999998</v>
      </c>
    </row>
    <row r="257" spans="21:32" x14ac:dyDescent="0.3">
      <c r="U257" s="86">
        <f>MSY!A298</f>
        <v>2.54</v>
      </c>
      <c r="V257" s="86">
        <f>MSY!B298</f>
        <v>0.16802335781707023</v>
      </c>
      <c r="W257" s="86">
        <f>MSY!C298</f>
        <v>0.78486162458261022</v>
      </c>
      <c r="X257" s="86">
        <f>MSY!D298</f>
        <v>1.4526839853942415</v>
      </c>
      <c r="Y257" s="86">
        <f>MSY!E298</f>
        <v>0.98241406821467125</v>
      </c>
      <c r="Z257" s="86">
        <f>MSY!F298</f>
        <v>1.4271371839214588</v>
      </c>
      <c r="AA257" s="86">
        <f>MSY!G298</f>
        <v>0.77105910159177815</v>
      </c>
      <c r="AB257">
        <f t="shared" si="11"/>
        <v>-6.357540655582688E-3</v>
      </c>
      <c r="AC257">
        <f t="shared" si="12"/>
        <v>0.68804666760494149</v>
      </c>
      <c r="AF257">
        <f t="shared" si="10"/>
        <v>2.54</v>
      </c>
    </row>
    <row r="258" spans="21:32" x14ac:dyDescent="0.3">
      <c r="U258" s="86">
        <f>MSY!A299</f>
        <v>2.5499999999999998</v>
      </c>
      <c r="V258" s="86">
        <f>MSY!B299</f>
        <v>0.16776863227266239</v>
      </c>
      <c r="W258" s="86">
        <f>MSY!C299</f>
        <v>0.78479798487335695</v>
      </c>
      <c r="X258" s="86">
        <f>MSY!D299</f>
        <v>1.4504816980227742</v>
      </c>
      <c r="Y258" s="86">
        <f>MSY!E299</f>
        <v>0.97640370281297684</v>
      </c>
      <c r="Z258" s="86">
        <f>MSY!F299</f>
        <v>1.4162557008118908</v>
      </c>
      <c r="AA258" s="86">
        <f>MSY!G299</f>
        <v>0.76627965839050827</v>
      </c>
      <c r="AB258">
        <f t="shared" si="11"/>
        <v>-6.3701627989964866E-3</v>
      </c>
      <c r="AC258">
        <f t="shared" si="12"/>
        <v>0.68805928974835528</v>
      </c>
      <c r="AF258">
        <f t="shared" ref="AF258:AF321" si="13">U258</f>
        <v>2.5499999999999998</v>
      </c>
    </row>
    <row r="259" spans="21:32" x14ac:dyDescent="0.3">
      <c r="U259" s="86">
        <f>MSY!A300</f>
        <v>2.56</v>
      </c>
      <c r="V259" s="86">
        <f>MSY!B300</f>
        <v>0.16751545905867593</v>
      </c>
      <c r="W259" s="86">
        <f>MSY!C300</f>
        <v>0.78473422132663029</v>
      </c>
      <c r="X259" s="86">
        <f>MSY!D300</f>
        <v>1.4482928316754575</v>
      </c>
      <c r="Y259" s="86">
        <f>MSY!E300</f>
        <v>0.9704118532729612</v>
      </c>
      <c r="Z259" s="86">
        <f>MSY!F300</f>
        <v>1.4054405308681255</v>
      </c>
      <c r="AA259" s="86">
        <f>MSY!G300</f>
        <v>0.76151539004428936</v>
      </c>
      <c r="AB259">
        <f t="shared" si="11"/>
        <v>-6.3823131127793637E-3</v>
      </c>
      <c r="AC259">
        <f t="shared" si="12"/>
        <v>0.68807144006213816</v>
      </c>
      <c r="AF259">
        <f t="shared" si="13"/>
        <v>2.56</v>
      </c>
    </row>
    <row r="260" spans="21:32" x14ac:dyDescent="0.3">
      <c r="U260" s="86">
        <f>MSY!A301</f>
        <v>2.57</v>
      </c>
      <c r="V260" s="86">
        <f>MSY!B301</f>
        <v>0.16726382229925751</v>
      </c>
      <c r="W260" s="86">
        <f>MSY!C301</f>
        <v>0.78467033861110136</v>
      </c>
      <c r="X260" s="86">
        <f>MSY!D301</f>
        <v>1.4461172490940069</v>
      </c>
      <c r="Y260" s="86">
        <f>MSY!E301</f>
        <v>0.96443839306385704</v>
      </c>
      <c r="Z260" s="86">
        <f>MSY!F301</f>
        <v>1.3946909958981495</v>
      </c>
      <c r="AA260" s="86">
        <f>MSY!G301</f>
        <v>0.75676620045496312</v>
      </c>
      <c r="AB260">
        <f t="shared" si="11"/>
        <v>-6.3940014132901563E-3</v>
      </c>
      <c r="AC260">
        <f t="shared" si="12"/>
        <v>0.68808312836264895</v>
      </c>
      <c r="AF260">
        <f t="shared" si="13"/>
        <v>2.57</v>
      </c>
    </row>
    <row r="261" spans="21:32" x14ac:dyDescent="0.3">
      <c r="U261" s="86">
        <f>MSY!A302</f>
        <v>2.58</v>
      </c>
      <c r="V261" s="86">
        <f>MSY!B302</f>
        <v>0.16701370634521115</v>
      </c>
      <c r="W261" s="86">
        <f>MSY!C302</f>
        <v>0.78460634129836448</v>
      </c>
      <c r="X261" s="86">
        <f>MSY!D302</f>
        <v>1.4439548149797552</v>
      </c>
      <c r="Y261" s="86">
        <f>MSY!E302</f>
        <v>0.95848319700489171</v>
      </c>
      <c r="Z261" s="86">
        <f>MSY!F302</f>
        <v>1.3840064273924026</v>
      </c>
      <c r="AA261" s="86">
        <f>MSY!G302</f>
        <v>0.75203199439796764</v>
      </c>
      <c r="AB261">
        <f t="shared" si="11"/>
        <v>-6.4052373021317105E-3</v>
      </c>
      <c r="AC261">
        <f t="shared" si="12"/>
        <v>0.68809436425149051</v>
      </c>
      <c r="AF261">
        <f t="shared" si="13"/>
        <v>2.58</v>
      </c>
    </row>
    <row r="262" spans="21:32" x14ac:dyDescent="0.3">
      <c r="U262" s="86">
        <f>MSY!A303</f>
        <v>2.59</v>
      </c>
      <c r="V262" s="86">
        <f>MSY!B303</f>
        <v>0.16676509576988452</v>
      </c>
      <c r="W262" s="86">
        <f>MSY!C303</f>
        <v>0.78454223386505872</v>
      </c>
      <c r="X262" s="86">
        <f>MSY!D303</f>
        <v>1.4418053959580865</v>
      </c>
      <c r="Y262" s="86">
        <f>MSY!E303</f>
        <v>0.95254614124635395</v>
      </c>
      <c r="Z262" s="86">
        <f>MSY!F303</f>
        <v>1.3733861663480467</v>
      </c>
      <c r="AA262" s="86">
        <f>MSY!G303</f>
        <v>0.74731267751295627</v>
      </c>
      <c r="AB262">
        <f t="shared" ref="AB262:AB325" si="14">(W263-W261)/(U263-U261)</f>
        <v>-6.416030171513259E-3</v>
      </c>
      <c r="AC262">
        <f t="shared" ref="AC262:AC325" si="15">ABS(AB262-$AC$3)</f>
        <v>0.68810515712087206</v>
      </c>
      <c r="AF262">
        <f t="shared" si="13"/>
        <v>2.59</v>
      </c>
    </row>
    <row r="263" spans="21:32" x14ac:dyDescent="0.3">
      <c r="U263" s="86">
        <f>MSY!A304</f>
        <v>2.6</v>
      </c>
      <c r="V263" s="86">
        <f>MSY!B304</f>
        <v>0.16651797536514457</v>
      </c>
      <c r="W263" s="86">
        <f>MSY!C304</f>
        <v>0.78447802069493422</v>
      </c>
      <c r="X263" s="86">
        <f>MSY!D304</f>
        <v>1.4396688605436432</v>
      </c>
      <c r="Y263" s="86">
        <f>MSY!E304</f>
        <v>0.94662710325096822</v>
      </c>
      <c r="Z263" s="86">
        <f>MSY!F304</f>
        <v>1.3628295630970511</v>
      </c>
      <c r="AA263" s="86">
        <f>MSY!G304</f>
        <v>0.74260815629449872</v>
      </c>
      <c r="AB263">
        <f t="shared" si="14"/>
        <v>-6.4263892093685488E-3</v>
      </c>
      <c r="AC263">
        <f t="shared" si="15"/>
        <v>0.68811551615872735</v>
      </c>
      <c r="AF263">
        <f t="shared" si="13"/>
        <v>2.6</v>
      </c>
    </row>
    <row r="264" spans="21:32" x14ac:dyDescent="0.3">
      <c r="U264" s="86">
        <f>MSY!A305</f>
        <v>2.61</v>
      </c>
      <c r="V264" s="86">
        <f>MSY!B305</f>
        <v>0.16627233013744183</v>
      </c>
      <c r="W264" s="86">
        <f>MSY!C305</f>
        <v>0.78441370608087135</v>
      </c>
      <c r="X264" s="86">
        <f>MSY!D305</f>
        <v>1.437545079106298</v>
      </c>
      <c r="Y264" s="86">
        <f>MSY!E305</f>
        <v>0.94072596177560741</v>
      </c>
      <c r="Z264" s="86">
        <f>MSY!F305</f>
        <v>1.3523359771380639</v>
      </c>
      <c r="AA264" s="86">
        <f>MSY!G305</f>
        <v>0.73791833808289631</v>
      </c>
      <c r="AB264">
        <f t="shared" si="14"/>
        <v>-6.4363234043185386E-3</v>
      </c>
      <c r="AC264">
        <f t="shared" si="15"/>
        <v>0.68812545035367734</v>
      </c>
      <c r="AF264">
        <f t="shared" si="13"/>
        <v>2.61</v>
      </c>
    </row>
    <row r="265" spans="21:32" x14ac:dyDescent="0.3">
      <c r="U265" s="86">
        <f>MSY!A306</f>
        <v>2.62</v>
      </c>
      <c r="V265" s="86">
        <f>MSY!B306</f>
        <v>0.16602814530395976</v>
      </c>
      <c r="W265" s="86">
        <f>MSY!C306</f>
        <v>0.78434929422684785</v>
      </c>
      <c r="X265" s="86">
        <f>MSY!D306</f>
        <v>1.4354339238378635</v>
      </c>
      <c r="Y265" s="86">
        <f>MSY!E306</f>
        <v>0.93484259685330684</v>
      </c>
      <c r="Z265" s="86">
        <f>MSY!F306</f>
        <v>1.3419047769719201</v>
      </c>
      <c r="AA265" s="86">
        <f>MSY!G306</f>
        <v>0.73324313105508487</v>
      </c>
      <c r="AB265">
        <f t="shared" si="14"/>
        <v>-6.4458415506674022E-3</v>
      </c>
      <c r="AC265">
        <f t="shared" si="15"/>
        <v>0.6881349685000262</v>
      </c>
      <c r="AF265">
        <f t="shared" si="13"/>
        <v>2.62</v>
      </c>
    </row>
    <row r="266" spans="21:32" x14ac:dyDescent="0.3">
      <c r="U266" s="86">
        <f>MSY!A307</f>
        <v>2.63</v>
      </c>
      <c r="V266" s="86">
        <f>MSY!B307</f>
        <v>0.16578540628884772</v>
      </c>
      <c r="W266" s="86">
        <f>MSY!C307</f>
        <v>0.78428478924985801</v>
      </c>
      <c r="X266" s="86">
        <f>MSY!D307</f>
        <v>1.4333352687195227</v>
      </c>
      <c r="Y266" s="86">
        <f>MSY!E307</f>
        <v>0.92897688977559023</v>
      </c>
      <c r="Z266" s="86">
        <f>MSY!F307</f>
        <v>1.3315353399407219</v>
      </c>
      <c r="AA266" s="86">
        <f>MSY!G307</f>
        <v>0.72858244421563734</v>
      </c>
      <c r="AB266">
        <f t="shared" si="14"/>
        <v>-6.4549522530321585E-3</v>
      </c>
      <c r="AC266">
        <f t="shared" si="15"/>
        <v>0.68814407920239096</v>
      </c>
      <c r="AF266">
        <f t="shared" si="13"/>
        <v>2.63</v>
      </c>
    </row>
    <row r="267" spans="21:32" x14ac:dyDescent="0.3">
      <c r="U267" s="86">
        <f>MSY!A308</f>
        <v>2.64</v>
      </c>
      <c r="V267" s="86">
        <f>MSY!B308</f>
        <v>0.16554409871953504</v>
      </c>
      <c r="W267" s="86">
        <f>MSY!C308</f>
        <v>0.78422019518178721</v>
      </c>
      <c r="X267" s="86">
        <f>MSY!D308</f>
        <v>1.4312489894899612</v>
      </c>
      <c r="Y267" s="86">
        <f>MSY!E308</f>
        <v>0.92312872307508542</v>
      </c>
      <c r="Z267" s="86">
        <f>MSY!F308</f>
        <v>1.3212270520703742</v>
      </c>
      <c r="AA267" s="86">
        <f>MSY!G308</f>
        <v>0.72393618738785748</v>
      </c>
      <c r="AB267">
        <f t="shared" si="14"/>
        <v>-6.4636639309167904E-3</v>
      </c>
      <c r="AC267">
        <f t="shared" si="15"/>
        <v>0.68815279088027559</v>
      </c>
      <c r="AF267">
        <f t="shared" si="13"/>
        <v>2.64</v>
      </c>
    </row>
    <row r="268" spans="21:32" x14ac:dyDescent="0.3">
      <c r="U268" s="86">
        <f>MSY!A309</f>
        <v>2.65</v>
      </c>
      <c r="V268" s="86">
        <f>MSY!B309</f>
        <v>0.1653042084231251</v>
      </c>
      <c r="W268" s="86">
        <f>MSY!C309</f>
        <v>0.78415551597123967</v>
      </c>
      <c r="X268" s="86">
        <f>MSY!D309</f>
        <v>1.4291749636141919</v>
      </c>
      <c r="Y268" s="86">
        <f>MSY!E309</f>
        <v>0.91729798050846212</v>
      </c>
      <c r="Z268" s="86">
        <f>MSY!F309</f>
        <v>1.310979307916553</v>
      </c>
      <c r="AA268" s="86">
        <f>MSY!G309</f>
        <v>0.7193042712049893</v>
      </c>
      <c r="AB268">
        <f t="shared" si="14"/>
        <v>-6.4719848233474259E-3</v>
      </c>
      <c r="AC268">
        <f t="shared" si="15"/>
        <v>0.68816111177270622</v>
      </c>
      <c r="AF268">
        <f t="shared" si="13"/>
        <v>2.65</v>
      </c>
    </row>
    <row r="269" spans="21:32" x14ac:dyDescent="0.3">
      <c r="U269" s="86">
        <f>MSY!A310</f>
        <v>2.66</v>
      </c>
      <c r="V269" s="86">
        <f>MSY!B310</f>
        <v>0.16506572142286566</v>
      </c>
      <c r="W269" s="86">
        <f>MSY!C310</f>
        <v>0.78409075548532026</v>
      </c>
      <c r="X269" s="86">
        <f>MSY!D310</f>
        <v>1.4271130702530392</v>
      </c>
      <c r="Y269" s="86">
        <f>MSY!E310</f>
        <v>0.91148454703962589</v>
      </c>
      <c r="Z269" s="86">
        <f>MSY!F310</f>
        <v>1.3007915104139214</v>
      </c>
      <c r="AA269" s="86">
        <f>MSY!G310</f>
        <v>0.71468660710149523</v>
      </c>
      <c r="AB269">
        <f t="shared" si="14"/>
        <v>-6.479922993107839E-3</v>
      </c>
      <c r="AC269">
        <f t="shared" si="15"/>
        <v>0.68816904994246664</v>
      </c>
      <c r="AF269">
        <f t="shared" si="13"/>
        <v>2.66</v>
      </c>
    </row>
    <row r="270" spans="21:32" x14ac:dyDescent="0.3">
      <c r="U270" s="86">
        <f>MSY!A311</f>
        <v>2.67</v>
      </c>
      <c r="V270" s="86">
        <f>MSY!B311</f>
        <v>0.16482862393469544</v>
      </c>
      <c r="W270" s="86">
        <f>MSY!C311</f>
        <v>0.78402591751137751</v>
      </c>
      <c r="X270" s="86">
        <f>MSY!D311</f>
        <v>1.42506319023328</v>
      </c>
      <c r="Y270" s="86">
        <f>MSY!E311</f>
        <v>0.90568830882321893</v>
      </c>
      <c r="Z270" s="86">
        <f>MSY!F311</f>
        <v>1.2906630707286006</v>
      </c>
      <c r="AA270" s="86">
        <f>MSY!G311</f>
        <v>0.71008310730445201</v>
      </c>
      <c r="AB270">
        <f t="shared" si="14"/>
        <v>-6.4874863309305414E-3</v>
      </c>
      <c r="AC270">
        <f t="shared" si="15"/>
        <v>0.68817661328028934</v>
      </c>
      <c r="AF270">
        <f t="shared" si="13"/>
        <v>2.67</v>
      </c>
    </row>
    <row r="271" spans="21:32" x14ac:dyDescent="0.3">
      <c r="U271" s="86">
        <f>MSY!A312</f>
        <v>2.68</v>
      </c>
      <c r="V271" s="86">
        <f>MSY!B312</f>
        <v>0.16459290236386337</v>
      </c>
      <c r="W271" s="86">
        <f>MSY!C312</f>
        <v>0.78396100575870165</v>
      </c>
      <c r="X271" s="86">
        <f>MSY!D312</f>
        <v>1.4230252060184156</v>
      </c>
      <c r="Y271" s="86">
        <f>MSY!E312</f>
        <v>0.89990915318838116</v>
      </c>
      <c r="Z271" s="86">
        <f>MSY!F312</f>
        <v>1.280593408113754</v>
      </c>
      <c r="AA271" s="86">
        <f>MSY!G312</f>
        <v>0.70549368482502484</v>
      </c>
      <c r="AB271">
        <f t="shared" si="14"/>
        <v>-6.4946825597433861E-3</v>
      </c>
      <c r="AC271">
        <f t="shared" si="15"/>
        <v>0.68818380950910218</v>
      </c>
      <c r="AF271">
        <f t="shared" si="13"/>
        <v>2.68</v>
      </c>
    </row>
    <row r="272" spans="21:32" x14ac:dyDescent="0.3">
      <c r="U272" s="86">
        <f>MSY!A313</f>
        <v>2.69</v>
      </c>
      <c r="V272" s="86">
        <f>MSY!B313</f>
        <v>0.16435854330162039</v>
      </c>
      <c r="W272" s="86">
        <f>MSY!C313</f>
        <v>0.78389602386018264</v>
      </c>
      <c r="X272" s="86">
        <f>MSY!D313</f>
        <v>1.4209990016800698</v>
      </c>
      <c r="Y272" s="86">
        <f>MSY!E313</f>
        <v>0.89414696862280341</v>
      </c>
      <c r="Z272" s="86">
        <f>MSY!F313</f>
        <v>1.2705819497682644</v>
      </c>
      <c r="AA272" s="86">
        <f>MSY!G313</f>
        <v>0.7009182534500511</v>
      </c>
      <c r="AB272">
        <f t="shared" si="14"/>
        <v>-6.5015192386053073E-3</v>
      </c>
      <c r="AC272">
        <f t="shared" si="15"/>
        <v>0.68819064618796411</v>
      </c>
      <c r="AF272">
        <f t="shared" si="13"/>
        <v>2.69</v>
      </c>
    </row>
    <row r="273" spans="21:32" x14ac:dyDescent="0.3">
      <c r="U273" s="86">
        <f>MSY!A314</f>
        <v>2.7</v>
      </c>
      <c r="V273" s="86">
        <f>MSY!B314</f>
        <v>0.1641255335219802</v>
      </c>
      <c r="W273" s="86">
        <f>MSY!C314</f>
        <v>0.78383097537392954</v>
      </c>
      <c r="X273" s="86">
        <f>MSY!D314</f>
        <v>1.418984462869983</v>
      </c>
      <c r="Y273" s="86">
        <f>MSY!E314</f>
        <v>0.88840164475702521</v>
      </c>
      <c r="Z273" s="86">
        <f>MSY!F314</f>
        <v>1.2606281306983569</v>
      </c>
      <c r="AA273" s="86">
        <f>MSY!G314</f>
        <v>0.69635672773370227</v>
      </c>
      <c r="AB273">
        <f t="shared" si="14"/>
        <v>-6.5080037666476126E-3</v>
      </c>
      <c r="AC273">
        <f t="shared" si="15"/>
        <v>0.68819713071600641</v>
      </c>
      <c r="AF273">
        <f t="shared" si="13"/>
        <v>2.7</v>
      </c>
    </row>
    <row r="274" spans="21:32" x14ac:dyDescent="0.3">
      <c r="U274" s="86">
        <f>MSY!A315</f>
        <v>2.71</v>
      </c>
      <c r="V274" s="86">
        <f>MSY!B315</f>
        <v>0.16389385997854836</v>
      </c>
      <c r="W274" s="86">
        <f>MSY!C315</f>
        <v>0.78376586378484969</v>
      </c>
      <c r="X274" s="86">
        <f>MSY!D315</f>
        <v>1.4169814767925988</v>
      </c>
      <c r="Y274" s="86">
        <f>MSY!E315</f>
        <v>0.8826730723490015</v>
      </c>
      <c r="Z274" s="86">
        <f>MSY!F315</f>
        <v>1.2507313935821485</v>
      </c>
      <c r="AA274" s="86">
        <f>MSY!G315</f>
        <v>0.69180902298924229</v>
      </c>
      <c r="AB274">
        <f t="shared" si="14"/>
        <v>-6.5141433868098836E-3</v>
      </c>
      <c r="AC274">
        <f t="shared" si="15"/>
        <v>0.68820327033616868</v>
      </c>
      <c r="AF274">
        <f t="shared" si="13"/>
        <v>2.71</v>
      </c>
    </row>
    <row r="275" spans="21:32" x14ac:dyDescent="0.3">
      <c r="U275" s="86">
        <f>MSY!A316</f>
        <v>2.72</v>
      </c>
      <c r="V275" s="86">
        <f>MSY!B316</f>
        <v>0.1636635098014185</v>
      </c>
      <c r="W275" s="86">
        <f>MSY!C316</f>
        <v>0.78370069250619334</v>
      </c>
      <c r="X275" s="86">
        <f>MSY!D316</f>
        <v>1.4149899321782269</v>
      </c>
      <c r="Y275" s="86">
        <f>MSY!E316</f>
        <v>0.87696114326893582</v>
      </c>
      <c r="Z275" s="86">
        <f>MSY!F316</f>
        <v>1.2408911886370519</v>
      </c>
      <c r="AA275" s="86">
        <f>MSY!G316</f>
        <v>0.68727505528088806</v>
      </c>
      <c r="AB275">
        <f t="shared" si="14"/>
        <v>-6.5199451896147337E-3</v>
      </c>
      <c r="AC275">
        <f t="shared" si="15"/>
        <v>0.68820907213897353</v>
      </c>
      <c r="AF275">
        <f t="shared" si="13"/>
        <v>2.72</v>
      </c>
    </row>
    <row r="276" spans="21:32" x14ac:dyDescent="0.3">
      <c r="U276" s="86">
        <f>MSY!A317</f>
        <v>2.73</v>
      </c>
      <c r="V276" s="86">
        <f>MSY!B317</f>
        <v>0.16343447029413258</v>
      </c>
      <c r="W276" s="86">
        <f>MSY!C317</f>
        <v>0.7836354648810574</v>
      </c>
      <c r="X276" s="86">
        <f>MSY!D317</f>
        <v>1.4130097192567646</v>
      </c>
      <c r="Y276" s="86">
        <f>MSY!E317</f>
        <v>0.87126575048434818</v>
      </c>
      <c r="Z276" s="86">
        <f>MSY!F317</f>
        <v>1.2311069734899232</v>
      </c>
      <c r="AA276" s="86">
        <f>MSY!G317</f>
        <v>0.68275474141574555</v>
      </c>
      <c r="AB276">
        <f t="shared" si="14"/>
        <v>-6.5254161166983177E-3</v>
      </c>
      <c r="AC276">
        <f t="shared" si="15"/>
        <v>0.68821454306605712</v>
      </c>
      <c r="AF276">
        <f t="shared" si="13"/>
        <v>2.73</v>
      </c>
    </row>
    <row r="277" spans="21:32" x14ac:dyDescent="0.3">
      <c r="U277" s="86">
        <f>MSY!A318</f>
        <v>2.74</v>
      </c>
      <c r="V277" s="86">
        <f>MSY!B318</f>
        <v>0.16320672893070454</v>
      </c>
      <c r="W277" s="86">
        <f>MSY!C318</f>
        <v>0.78357018418385938</v>
      </c>
      <c r="X277" s="86">
        <f>MSY!D318</f>
        <v>1.4110407297319632</v>
      </c>
      <c r="Y277" s="86">
        <f>MSY!E318</f>
        <v>0.8655867880453969</v>
      </c>
      <c r="Z277" s="86">
        <f>MSY!F318</f>
        <v>1.2213782130499229</v>
      </c>
      <c r="AA277" s="86">
        <f>MSY!G318</f>
        <v>0.67824799893584686</v>
      </c>
      <c r="AB277">
        <f t="shared" si="14"/>
        <v>-6.5305629643130853E-3</v>
      </c>
      <c r="AC277">
        <f t="shared" si="15"/>
        <v>0.68821968991367188</v>
      </c>
      <c r="AF277">
        <f t="shared" si="13"/>
        <v>2.74</v>
      </c>
    </row>
    <row r="278" spans="21:32" x14ac:dyDescent="0.3">
      <c r="U278" s="86">
        <f>MSY!A319</f>
        <v>2.75</v>
      </c>
      <c r="V278" s="86">
        <f>MSY!B319</f>
        <v>0.16298027335270607</v>
      </c>
      <c r="W278" s="86">
        <f>MSY!C319</f>
        <v>0.78350485362177114</v>
      </c>
      <c r="X278" s="86">
        <f>MSY!D319</f>
        <v>1.4090828567562323</v>
      </c>
      <c r="Y278" s="86">
        <f>MSY!E319</f>
        <v>0.85992415107044484</v>
      </c>
      <c r="Z278" s="86">
        <f>MSY!F319</f>
        <v>1.2117043793840203</v>
      </c>
      <c r="AA278" s="86">
        <f>MSY!G319</f>
        <v>0.67375474611027475</v>
      </c>
      <c r="AB278">
        <f t="shared" si="14"/>
        <v>-6.5353923868251293E-3</v>
      </c>
      <c r="AC278">
        <f t="shared" si="15"/>
        <v>0.68822451933618389</v>
      </c>
      <c r="AF278">
        <f t="shared" si="13"/>
        <v>2.75</v>
      </c>
    </row>
    <row r="279" spans="21:32" x14ac:dyDescent="0.3">
      <c r="U279" s="86">
        <f>MSY!A320</f>
        <v>2.76</v>
      </c>
      <c r="V279" s="86">
        <f>MSY!B320</f>
        <v>0.16275509136641192</v>
      </c>
      <c r="W279" s="86">
        <f>MSY!C320</f>
        <v>0.78343947633612288</v>
      </c>
      <c r="X279" s="86">
        <f>MSY!D320</f>
        <v>1.4071359949059596</v>
      </c>
      <c r="Y279" s="86">
        <f>MSY!E320</f>
        <v>0.85427773573184729</v>
      </c>
      <c r="Z279" s="86">
        <f>MSY!F320</f>
        <v>1.2020849515950434</v>
      </c>
      <c r="AA279" s="86">
        <f>MSY!G320</f>
        <v>0.66927490192736716</v>
      </c>
      <c r="AB279">
        <f t="shared" si="14"/>
        <v>-6.5399108998886952E-3</v>
      </c>
      <c r="AC279">
        <f t="shared" si="15"/>
        <v>0.68822903784924749</v>
      </c>
      <c r="AF279">
        <f t="shared" si="13"/>
        <v>2.76</v>
      </c>
    </row>
    <row r="280" spans="21:32" x14ac:dyDescent="0.3">
      <c r="U280" s="86">
        <f>MSY!A321</f>
        <v>2.77</v>
      </c>
      <c r="V280" s="86">
        <f>MSY!B321</f>
        <v>0.16253117094000463</v>
      </c>
      <c r="W280" s="86">
        <f>MSY!C321</f>
        <v>0.78337405540377336</v>
      </c>
      <c r="X280" s="86">
        <f>MSY!D321</f>
        <v>1.4052000401573428</v>
      </c>
      <c r="Y280" s="86">
        <f>MSY!E321</f>
        <v>0.84864743924199293</v>
      </c>
      <c r="Z280" s="86">
        <f>MSY!F321</f>
        <v>1.1925194157022745</v>
      </c>
      <c r="AA280" s="86">
        <f>MSY!G321</f>
        <v>0.6648083860870273</v>
      </c>
      <c r="AB280">
        <f t="shared" si="14"/>
        <v>-6.5441248838005112E-3</v>
      </c>
      <c r="AC280">
        <f t="shared" si="15"/>
        <v>0.68823325183315931</v>
      </c>
      <c r="AF280">
        <f t="shared" si="13"/>
        <v>2.77</v>
      </c>
    </row>
    <row r="281" spans="21:32" x14ac:dyDescent="0.3">
      <c r="U281" s="86">
        <f>MSY!A322</f>
        <v>2.78</v>
      </c>
      <c r="V281" s="86">
        <f>MSY!B322</f>
        <v>0.16230850020083601</v>
      </c>
      <c r="W281" s="86">
        <f>MSY!C322</f>
        <v>0.78330859383844686</v>
      </c>
      <c r="X281" s="86">
        <f>MSY!D322</f>
        <v>1.4032748898627134</v>
      </c>
      <c r="Y281" s="86">
        <f>MSY!E322</f>
        <v>0.84303315983955041</v>
      </c>
      <c r="Z281" s="86">
        <f>MSY!F322</f>
        <v>1.1830072645244603</v>
      </c>
      <c r="AA281" s="86">
        <f>MSY!G322</f>
        <v>0.66035511899310084</v>
      </c>
      <c r="AB281">
        <f t="shared" si="14"/>
        <v>-6.5480405866291608E-3</v>
      </c>
      <c r="AC281">
        <f t="shared" si="15"/>
        <v>0.68823716753598796</v>
      </c>
      <c r="AF281">
        <f t="shared" si="13"/>
        <v>2.78</v>
      </c>
    </row>
    <row r="282" spans="21:32" x14ac:dyDescent="0.3">
      <c r="U282" s="86">
        <f>MSY!A323</f>
        <v>2.79</v>
      </c>
      <c r="V282" s="86">
        <f>MSY!B323</f>
        <v>0.16208706743274495</v>
      </c>
      <c r="W282" s="86">
        <f>MSY!C323</f>
        <v>0.78324309459204078</v>
      </c>
      <c r="X282" s="86">
        <f>MSY!D323</f>
        <v>1.4013604427273478</v>
      </c>
      <c r="Y282" s="86">
        <f>MSY!E323</f>
        <v>0.83743479677595223</v>
      </c>
      <c r="Z282" s="86">
        <f>MSY!F323</f>
        <v>1.173547997565235</v>
      </c>
      <c r="AA282" s="86">
        <f>MSY!G323</f>
        <v>0.65591502174585359</v>
      </c>
      <c r="AB282">
        <f t="shared" si="14"/>
        <v>-6.5516641271912085E-3</v>
      </c>
      <c r="AC282">
        <f t="shared" si="15"/>
        <v>0.68824079107655001</v>
      </c>
      <c r="AF282">
        <f t="shared" si="13"/>
        <v>2.79</v>
      </c>
    </row>
    <row r="283" spans="21:32" x14ac:dyDescent="0.3">
      <c r="U283" s="86">
        <f>MSY!A324</f>
        <v>2.8</v>
      </c>
      <c r="V283" s="86">
        <f>MSY!B324</f>
        <v>0.16186686107342985</v>
      </c>
      <c r="W283" s="86">
        <f>MSY!C324</f>
        <v>0.78317756055590304</v>
      </c>
      <c r="X283" s="86">
        <f>MSY!D324</f>
        <v>1.3994565987867493</v>
      </c>
      <c r="Y283" s="86">
        <f>MSY!E324</f>
        <v>0.83185225030209409</v>
      </c>
      <c r="Z283" s="86">
        <f>MSY!F324</f>
        <v>1.1641411209008723</v>
      </c>
      <c r="AA283" s="86">
        <f>MSY!G324</f>
        <v>0.65148801613453255</v>
      </c>
      <c r="AB283">
        <f t="shared" si="14"/>
        <v>-6.5550014981041677E-3</v>
      </c>
      <c r="AC283">
        <f t="shared" si="15"/>
        <v>0.68824412844746297</v>
      </c>
      <c r="AF283">
        <f t="shared" si="13"/>
        <v>2.8</v>
      </c>
    </row>
    <row r="284" spans="21:32" x14ac:dyDescent="0.3">
      <c r="U284" s="86">
        <f>MSY!A325</f>
        <v>2.81</v>
      </c>
      <c r="V284" s="86">
        <f>MSY!B325</f>
        <v>0.16164786971187375</v>
      </c>
      <c r="W284" s="86">
        <f>MSY!C325</f>
        <v>0.78311199456207869</v>
      </c>
      <c r="X284" s="86">
        <f>MSY!D325</f>
        <v>1.3975632593843874</v>
      </c>
      <c r="Y284" s="86">
        <f>MSY!E325</f>
        <v>0.82628542165523911</v>
      </c>
      <c r="Z284" s="86">
        <f>MSY!F325</f>
        <v>1.1547861470702989</v>
      </c>
      <c r="AA284" s="86">
        <f>MSY!G325</f>
        <v>0.64707402463000252</v>
      </c>
      <c r="AB284">
        <f t="shared" si="14"/>
        <v>-6.5580585687008358E-3</v>
      </c>
      <c r="AC284">
        <f t="shared" si="15"/>
        <v>0.68824718551805963</v>
      </c>
      <c r="AF284">
        <f t="shared" si="13"/>
        <v>2.81</v>
      </c>
    </row>
    <row r="285" spans="21:32" x14ac:dyDescent="0.3">
      <c r="U285" s="86">
        <f>MSY!A326</f>
        <v>2.82</v>
      </c>
      <c r="V285" s="86">
        <f>MSY!B326</f>
        <v>0.1614300820858226</v>
      </c>
      <c r="W285" s="86">
        <f>MSY!C326</f>
        <v>0.78304639938452902</v>
      </c>
      <c r="X285" s="86">
        <f>MSY!D326</f>
        <v>1.3956803271498943</v>
      </c>
      <c r="Y285" s="86">
        <f>MSY!E326</f>
        <v>0.82073421304614624</v>
      </c>
      <c r="Z285" s="86">
        <f>MSY!F326</f>
        <v>1.1454825949673564</v>
      </c>
      <c r="AA285" s="86">
        <f>MSY!G326</f>
        <v>0.64267297037747972</v>
      </c>
      <c r="AB285">
        <f t="shared" si="14"/>
        <v>-6.5608410878326079E-3</v>
      </c>
      <c r="AC285">
        <f t="shared" si="15"/>
        <v>0.68824996803719141</v>
      </c>
      <c r="AF285">
        <f t="shared" si="13"/>
        <v>2.82</v>
      </c>
    </row>
    <row r="286" spans="21:32" x14ac:dyDescent="0.3">
      <c r="U286" s="86">
        <f>MSY!A327</f>
        <v>2.83</v>
      </c>
      <c r="V286" s="86">
        <f>MSY!B327</f>
        <v>0.16121348707931329</v>
      </c>
      <c r="W286" s="86">
        <f>MSY!C327</f>
        <v>0.78298077774032204</v>
      </c>
      <c r="X286" s="86">
        <f>MSY!D327</f>
        <v>1.3938077059776941</v>
      </c>
      <c r="Y286" s="86">
        <f>MSY!E327</f>
        <v>0.815198527646395</v>
      </c>
      <c r="Z286" s="86">
        <f>MSY!F327</f>
        <v>1.1362299897352157</v>
      </c>
      <c r="AA286" s="86">
        <f>MSY!G327</f>
        <v>0.63828477718933974</v>
      </c>
      <c r="AB286">
        <f t="shared" si="14"/>
        <v>-6.563354686656136E-3</v>
      </c>
      <c r="AC286">
        <f t="shared" si="15"/>
        <v>0.68825248163601493</v>
      </c>
      <c r="AF286">
        <f t="shared" si="13"/>
        <v>2.83</v>
      </c>
    </row>
    <row r="287" spans="21:32" x14ac:dyDescent="0.3">
      <c r="U287" s="86">
        <f>MSY!A328</f>
        <v>2.84</v>
      </c>
      <c r="V287" s="86">
        <f>MSY!B328</f>
        <v>0.16099807372025182</v>
      </c>
      <c r="W287" s="86">
        <f>MSY!C328</f>
        <v>0.7829151322907959</v>
      </c>
      <c r="X287" s="86">
        <f>MSY!D328</f>
        <v>1.3919453010060634</v>
      </c>
      <c r="Y287" s="86">
        <f>MSY!E328</f>
        <v>0.80967826957591138</v>
      </c>
      <c r="Z287" s="86">
        <f>MSY!F328</f>
        <v>1.1270278626629104</v>
      </c>
      <c r="AA287" s="86">
        <f>MSY!G328</f>
        <v>0.63390936953800736</v>
      </c>
      <c r="AB287">
        <f t="shared" si="14"/>
        <v>-6.5656048812534557E-3</v>
      </c>
      <c r="AC287">
        <f t="shared" si="15"/>
        <v>0.68825473183061225</v>
      </c>
      <c r="AF287">
        <f t="shared" si="13"/>
        <v>2.84</v>
      </c>
    </row>
    <row r="288" spans="21:32" x14ac:dyDescent="0.3">
      <c r="U288" s="86">
        <f>MSY!A329</f>
        <v>2.85</v>
      </c>
      <c r="V288" s="86">
        <f>MSY!B329</f>
        <v>0.16078383117803993</v>
      </c>
      <c r="W288" s="86">
        <f>MSY!C329</f>
        <v>0.78284946564269697</v>
      </c>
      <c r="X288" s="86">
        <f>MSY!D329</f>
        <v>1.3900930185966129</v>
      </c>
      <c r="Y288" s="86">
        <f>MSY!E329</f>
        <v>0.80417334389070283</v>
      </c>
      <c r="Z288" s="86">
        <f>MSY!F329</f>
        <v>1.1178757510839592</v>
      </c>
      <c r="AA288" s="86">
        <f>MSY!G329</f>
        <v>0.62954667254893748</v>
      </c>
      <c r="AB288">
        <f t="shared" si="14"/>
        <v>-6.567597075329828E-3</v>
      </c>
      <c r="AC288">
        <f t="shared" si="15"/>
        <v>0.68825672402468863</v>
      </c>
      <c r="AF288">
        <f t="shared" si="13"/>
        <v>2.85</v>
      </c>
    </row>
    <row r="289" spans="21:32" x14ac:dyDescent="0.3">
      <c r="U289" s="86">
        <f>MSY!A330</f>
        <v>2.86</v>
      </c>
      <c r="V289" s="86">
        <f>MSY!B330</f>
        <v>0.16057074876124891</v>
      </c>
      <c r="W289" s="86">
        <f>MSY!C330</f>
        <v>0.7827837803492893</v>
      </c>
      <c r="X289" s="86">
        <f>MSY!D330</f>
        <v>1.3882507663141748</v>
      </c>
      <c r="Y289" s="86">
        <f>MSY!E330</f>
        <v>0.798683656570775</v>
      </c>
      <c r="Z289" s="86">
        <f>MSY!F330</f>
        <v>1.1087731982769857</v>
      </c>
      <c r="AA289" s="86">
        <f>MSY!G330</f>
        <v>0.62519661199366472</v>
      </c>
      <c r="AB289">
        <f t="shared" si="14"/>
        <v>-6.5693365627672523E-3</v>
      </c>
      <c r="AC289">
        <f t="shared" si="15"/>
        <v>0.68825846351212605</v>
      </c>
      <c r="AF289">
        <f t="shared" si="13"/>
        <v>2.86</v>
      </c>
    </row>
    <row r="290" spans="21:32" x14ac:dyDescent="0.3">
      <c r="U290" s="86">
        <f>MSY!A331</f>
        <v>2.87</v>
      </c>
      <c r="V290" s="86">
        <f>MSY!B331</f>
        <v>0.16035881591533943</v>
      </c>
      <c r="W290" s="86">
        <f>MSY!C331</f>
        <v>0.78271807891144163</v>
      </c>
      <c r="X290" s="86">
        <f>MSY!D331</f>
        <v>1.3864184529070893</v>
      </c>
      <c r="Y290" s="86">
        <f>MSY!E331</f>
        <v>0.7932091145082405</v>
      </c>
      <c r="Z290" s="86">
        <f>MSY!F331</f>
        <v>1.099719753368317</v>
      </c>
      <c r="AA290" s="86">
        <f>MSY!G331</f>
        <v>0.62085911428293572</v>
      </c>
      <c r="AB290">
        <f t="shared" si="14"/>
        <v>-6.5708285300003439E-3</v>
      </c>
      <c r="AC290">
        <f t="shared" si="15"/>
        <v>0.68825995547935914</v>
      </c>
      <c r="AF290">
        <f t="shared" si="13"/>
        <v>2.87</v>
      </c>
    </row>
    <row r="291" spans="21:32" x14ac:dyDescent="0.3">
      <c r="U291" s="86">
        <f>MSY!A332</f>
        <v>2.88</v>
      </c>
      <c r="V291" s="86">
        <f>MSY!B332</f>
        <v>0.16014802222042707</v>
      </c>
      <c r="W291" s="86">
        <f>MSY!C332</f>
        <v>0.7826523637786893</v>
      </c>
      <c r="X291" s="86">
        <f>MSY!D332</f>
        <v>1.3845959882878864</v>
      </c>
      <c r="Y291" s="86">
        <f>MSY!E332</f>
        <v>0.78774962549562988</v>
      </c>
      <c r="Z291" s="86">
        <f>MSY!F332</f>
        <v>1.090714971236534</v>
      </c>
      <c r="AA291" s="86">
        <f>MSY!G332</f>
        <v>0.61653410645993201</v>
      </c>
      <c r="AB291">
        <f t="shared" si="14"/>
        <v>-6.572078058553193E-3</v>
      </c>
      <c r="AC291">
        <f t="shared" si="15"/>
        <v>0.68826120500791199</v>
      </c>
      <c r="AF291">
        <f t="shared" si="13"/>
        <v>2.88</v>
      </c>
    </row>
    <row r="292" spans="21:32" x14ac:dyDescent="0.3">
      <c r="U292" s="86">
        <f>MSY!A333</f>
        <v>2.89</v>
      </c>
      <c r="V292" s="86">
        <f>MSY!B333</f>
        <v>0.15993835738909121</v>
      </c>
      <c r="W292" s="86">
        <f>MSY!C333</f>
        <v>0.78258663735027056</v>
      </c>
      <c r="X292" s="86">
        <f>MSY!D333</f>
        <v>1.3827832835143419</v>
      </c>
      <c r="Y292" s="86">
        <f>MSY!E333</f>
        <v>0.78230509821436145</v>
      </c>
      <c r="Z292" s="86">
        <f>MSY!F333</f>
        <v>1.0817584124188644</v>
      </c>
      <c r="AA292" s="86">
        <f>MSY!G333</f>
        <v>0.61222151619355025</v>
      </c>
      <c r="AB292">
        <f t="shared" si="14"/>
        <v>-6.5730901273763848E-3</v>
      </c>
      <c r="AC292">
        <f t="shared" si="15"/>
        <v>0.68826221707673518</v>
      </c>
      <c r="AF292">
        <f t="shared" si="13"/>
        <v>2.89</v>
      </c>
    </row>
    <row r="293" spans="21:32" x14ac:dyDescent="0.3">
      <c r="U293" s="86">
        <f>MSY!A334</f>
        <v>2.9</v>
      </c>
      <c r="V293" s="86">
        <f>MSY!B334</f>
        <v>0.1597298112642275</v>
      </c>
      <c r="W293" s="86">
        <f>MSY!C334</f>
        <v>0.78252090197614177</v>
      </c>
      <c r="X293" s="86">
        <f>MSY!D334</f>
        <v>1.3809802507709101</v>
      </c>
      <c r="Y293" s="86">
        <f>MSY!E334</f>
        <v>0.77687544222341087</v>
      </c>
      <c r="Z293" s="86">
        <f>MSY!F334</f>
        <v>1.0728496430194476</v>
      </c>
      <c r="AA293" s="86">
        <f>MSY!G334</f>
        <v>0.60792127177177746</v>
      </c>
      <c r="AB293">
        <f t="shared" si="14"/>
        <v>-6.5738696151340587E-3</v>
      </c>
      <c r="AC293">
        <f t="shared" si="15"/>
        <v>0.68826299656449286</v>
      </c>
      <c r="AF293">
        <f t="shared" si="13"/>
        <v>2.9</v>
      </c>
    </row>
    <row r="294" spans="21:32" x14ac:dyDescent="0.3">
      <c r="U294" s="86">
        <f>MSY!A335</f>
        <v>2.91</v>
      </c>
      <c r="V294" s="86">
        <f>MSY!B335</f>
        <v>0.15952237381694254</v>
      </c>
      <c r="W294" s="86">
        <f>MSY!C335</f>
        <v>0.78245515995796788</v>
      </c>
      <c r="X294" s="86">
        <f>MSY!D335</f>
        <v>1.3791868033505224</v>
      </c>
      <c r="Y294" s="86">
        <f>MSY!E335</f>
        <v>0.77146056794815621</v>
      </c>
      <c r="Z294" s="86">
        <f>MSY!F335</f>
        <v>1.0639882346193961</v>
      </c>
      <c r="AA294" s="86">
        <f>MSY!G335</f>
        <v>0.60363330209513932</v>
      </c>
      <c r="AB294">
        <f t="shared" si="14"/>
        <v>-6.5744213024243542E-3</v>
      </c>
      <c r="AC294">
        <f t="shared" si="15"/>
        <v>0.68826354825178315</v>
      </c>
      <c r="AF294">
        <f t="shared" si="13"/>
        <v>2.91</v>
      </c>
    </row>
    <row r="295" spans="21:32" x14ac:dyDescent="0.3">
      <c r="U295" s="86">
        <f>MSY!A336</f>
        <v>2.92</v>
      </c>
      <c r="V295" s="86">
        <f>MSY!B336</f>
        <v>0.1593160351444888</v>
      </c>
      <c r="W295" s="86">
        <f>MSY!C336</f>
        <v>0.78238941355009328</v>
      </c>
      <c r="X295" s="86">
        <f>MSY!D336</f>
        <v>1.3774028556367326</v>
      </c>
      <c r="Y295" s="86">
        <f>MSY!E336</f>
        <v>0.76606038666937815</v>
      </c>
      <c r="Z295" s="86">
        <f>MSY!F336</f>
        <v>1.055173764188581</v>
      </c>
      <c r="AA295" s="86">
        <f>MSY!G336</f>
        <v>0.59935753667021252</v>
      </c>
      <c r="AB295">
        <f t="shared" si="14"/>
        <v>-6.5747498739609994E-3</v>
      </c>
      <c r="AC295">
        <f t="shared" si="15"/>
        <v>0.6882638768233198</v>
      </c>
      <c r="AF295">
        <f t="shared" si="13"/>
        <v>2.92</v>
      </c>
    </row>
    <row r="296" spans="21:32" x14ac:dyDescent="0.3">
      <c r="U296" s="86">
        <f>MSY!A337</f>
        <v>2.93</v>
      </c>
      <c r="V296" s="86">
        <f>MSY!B337</f>
        <v>0.1591107854682409</v>
      </c>
      <c r="W296" s="86">
        <f>MSY!C337</f>
        <v>0.78232366496048866</v>
      </c>
      <c r="X296" s="86">
        <f>MSY!D337</f>
        <v>1.3756283230862207</v>
      </c>
      <c r="Y296" s="86">
        <f>MSY!E337</f>
        <v>0.76067481051245689</v>
      </c>
      <c r="Z296" s="86">
        <f>MSY!F337</f>
        <v>1.0464058139991796</v>
      </c>
      <c r="AA296" s="86">
        <f>MSY!G337</f>
        <v>0.5950939056032305</v>
      </c>
      <c r="AB296">
        <f t="shared" si="14"/>
        <v>-6.5748599208159614E-3</v>
      </c>
      <c r="AC296">
        <f t="shared" si="15"/>
        <v>0.68826398687017476</v>
      </c>
      <c r="AF296">
        <f t="shared" si="13"/>
        <v>2.93</v>
      </c>
    </row>
    <row r="297" spans="21:32" x14ac:dyDescent="0.3">
      <c r="U297" s="86">
        <f>MSY!A338</f>
        <v>2.94</v>
      </c>
      <c r="V297" s="86">
        <f>MSY!B338</f>
        <v>0.15890661513170998</v>
      </c>
      <c r="W297" s="86">
        <f>MSY!C338</f>
        <v>0.78225791635167696</v>
      </c>
      <c r="X297" s="86">
        <f>MSY!D338</f>
        <v>1.373863122211626</v>
      </c>
      <c r="Y297" s="86">
        <f>MSY!E338</f>
        <v>0.75530375243670966</v>
      </c>
      <c r="Z297" s="86">
        <f>MSY!F338</f>
        <v>1.037683971540855</v>
      </c>
      <c r="AA297" s="86">
        <f>MSY!G338</f>
        <v>0.59084233959374333</v>
      </c>
      <c r="AB297">
        <f t="shared" si="14"/>
        <v>-6.5747559424178476E-3</v>
      </c>
      <c r="AC297">
        <f t="shared" si="15"/>
        <v>0.68826388289177665</v>
      </c>
      <c r="AF297">
        <f t="shared" si="13"/>
        <v>2.94</v>
      </c>
    </row>
    <row r="298" spans="21:32" x14ac:dyDescent="0.3">
      <c r="U298" s="86">
        <f>MSY!A339</f>
        <v>2.95</v>
      </c>
      <c r="V298" s="86">
        <f>MSY!B339</f>
        <v>0.15870351459859744</v>
      </c>
      <c r="W298" s="86">
        <f>MSY!C339</f>
        <v>0.78219216984164031</v>
      </c>
      <c r="X298" s="86">
        <f>MSY!D339</f>
        <v>1.3721071705647196</v>
      </c>
      <c r="Y298" s="86">
        <f>MSY!E339</f>
        <v>0.74994712622491533</v>
      </c>
      <c r="Z298" s="86">
        <f>MSY!F339</f>
        <v>1.0290078294376113</v>
      </c>
      <c r="AA298" s="86">
        <f>MSY!G339</f>
        <v>0.58660276992836902</v>
      </c>
      <c r="AB298">
        <f t="shared" si="14"/>
        <v>-6.5744423485170006E-3</v>
      </c>
      <c r="AC298">
        <f t="shared" si="15"/>
        <v>0.6882635692978758</v>
      </c>
      <c r="AF298">
        <f t="shared" si="13"/>
        <v>2.95</v>
      </c>
    </row>
    <row r="299" spans="21:32" x14ac:dyDescent="0.3">
      <c r="U299" s="86">
        <f>MSY!A340</f>
        <v>2.96</v>
      </c>
      <c r="V299" s="86">
        <f>MSY!B340</f>
        <v>0.15850147445088555</v>
      </c>
      <c r="W299" s="86">
        <f>MSY!C340</f>
        <v>0.78212642750470662</v>
      </c>
      <c r="X299" s="86">
        <f>MSY!D340</f>
        <v>1.370360386719897</v>
      </c>
      <c r="Y299" s="86">
        <f>MSY!E340</f>
        <v>0.74460484647298664</v>
      </c>
      <c r="Z299" s="86">
        <f>MSY!F340</f>
        <v>1.0203769853662314</v>
      </c>
      <c r="AA299" s="86">
        <f>MSY!G340</f>
        <v>0.5823751284746076</v>
      </c>
      <c r="AB299">
        <f t="shared" si="14"/>
        <v>-6.5739234612505132E-3</v>
      </c>
      <c r="AC299">
        <f t="shared" si="15"/>
        <v>0.68826305041060931</v>
      </c>
      <c r="AF299">
        <f t="shared" si="13"/>
        <v>2.96</v>
      </c>
    </row>
    <row r="300" spans="21:32" x14ac:dyDescent="0.3">
      <c r="U300" s="86">
        <f>MSY!A341</f>
        <v>2.97</v>
      </c>
      <c r="V300" s="86">
        <f>MSY!B341</f>
        <v>0.15830048538696487</v>
      </c>
      <c r="W300" s="86">
        <f>MSY!C341</f>
        <v>0.7820606913724153</v>
      </c>
      <c r="X300" s="86">
        <f>MSY!D341</f>
        <v>1.368622690257987</v>
      </c>
      <c r="Y300" s="86">
        <f>MSY!E341</f>
        <v>0.73927682857979871</v>
      </c>
      <c r="Z300" s="86">
        <f>MSY!F341</f>
        <v>1.0117910419762768</v>
      </c>
      <c r="AA300" s="86">
        <f>MSY!G341</f>
        <v>0.57815934767472388</v>
      </c>
      <c r="AB300">
        <f t="shared" si="14"/>
        <v>-6.5732035170851183E-3</v>
      </c>
      <c r="AC300">
        <f t="shared" si="15"/>
        <v>0.68826233046644392</v>
      </c>
      <c r="AF300">
        <f t="shared" si="13"/>
        <v>2.97</v>
      </c>
    </row>
    <row r="301" spans="21:32" x14ac:dyDescent="0.3">
      <c r="U301" s="86">
        <f>MSY!A342</f>
        <v>2.98</v>
      </c>
      <c r="V301" s="86">
        <f>MSY!B342</f>
        <v>0.15810053821979733</v>
      </c>
      <c r="W301" s="86">
        <f>MSY!C342</f>
        <v>0.78199496343436492</v>
      </c>
      <c r="X301" s="86">
        <f>MSY!D342</f>
        <v>1.3668940017503721</v>
      </c>
      <c r="Y301" s="86">
        <f>MSY!E342</f>
        <v>0.73396298873718002</v>
      </c>
      <c r="Z301" s="86">
        <f>MSY!F342</f>
        <v>1.0032496068116272</v>
      </c>
      <c r="AA301" s="86">
        <f>MSY!G342</f>
        <v>0.5739553605397083</v>
      </c>
      <c r="AB301">
        <f t="shared" si="14"/>
        <v>-6.5722866686268528E-3</v>
      </c>
      <c r="AC301">
        <f t="shared" si="15"/>
        <v>0.68826141361798565</v>
      </c>
      <c r="AF301">
        <f t="shared" si="13"/>
        <v>2.98</v>
      </c>
    </row>
    <row r="302" spans="21:32" x14ac:dyDescent="0.3">
      <c r="U302" s="86">
        <f>MSY!A343</f>
        <v>2.99</v>
      </c>
      <c r="V302" s="86">
        <f>MSY!B343</f>
        <v>0.15790162387511492</v>
      </c>
      <c r="W302" s="86">
        <f>MSY!C343</f>
        <v>0.78192924563904276</v>
      </c>
      <c r="X302" s="86">
        <f>MSY!D343</f>
        <v>1.3651742427434135</v>
      </c>
      <c r="Y302" s="86">
        <f>MSY!E343</f>
        <v>0.72866324392005577</v>
      </c>
      <c r="Z302" s="86">
        <f>MSY!F343</f>
        <v>0.99475229223352124</v>
      </c>
      <c r="AA302" s="86">
        <f>MSY!G343</f>
        <v>0.56976310064330704</v>
      </c>
      <c r="AB302">
        <f t="shared" si="14"/>
        <v>-6.5711769865361919E-3</v>
      </c>
      <c r="AC302">
        <f t="shared" si="15"/>
        <v>0.68826030393589499</v>
      </c>
      <c r="AF302">
        <f t="shared" si="13"/>
        <v>2.99</v>
      </c>
    </row>
    <row r="303" spans="21:32" x14ac:dyDescent="0.3">
      <c r="U303" s="86">
        <f>MSY!A344</f>
        <v>3</v>
      </c>
      <c r="V303" s="86">
        <f>MSY!B344</f>
        <v>0.15770373338965171</v>
      </c>
      <c r="W303" s="86">
        <f>MSY!C344</f>
        <v>0.7818635398946342</v>
      </c>
      <c r="X303" s="86">
        <f>MSY!D344</f>
        <v>1.363463335743166</v>
      </c>
      <c r="Y303" s="86">
        <f>MSY!E344</f>
        <v>0.72337751187673061</v>
      </c>
      <c r="Z303" s="86">
        <f>MSY!F344</f>
        <v>0.98629871534503888</v>
      </c>
      <c r="AA303" s="86">
        <f>MSY!G344</f>
        <v>0.56558250211611338</v>
      </c>
      <c r="AB303">
        <f t="shared" si="14"/>
        <v>-6.5698784612101832E-3</v>
      </c>
      <c r="AC303">
        <f t="shared" si="15"/>
        <v>0.68825900541056895</v>
      </c>
      <c r="AF303">
        <f t="shared" si="13"/>
        <v>3</v>
      </c>
    </row>
    <row r="304" spans="21:32" x14ac:dyDescent="0.3">
      <c r="U304" s="86">
        <f>MSY!A345</f>
        <v>3.01</v>
      </c>
      <c r="V304" s="86">
        <f>MSY!B345</f>
        <v>0.15750685790941016</v>
      </c>
      <c r="W304" s="86">
        <f>MSY!C345</f>
        <v>0.78179784806981856</v>
      </c>
      <c r="X304" s="86">
        <f>MSY!D345</f>
        <v>1.3617612042003893</v>
      </c>
      <c r="Y304" s="86">
        <f>MSY!E345</f>
        <v>0.71810571111932942</v>
      </c>
      <c r="Z304" s="86">
        <f>MSY!F345</f>
        <v>0.97788849791703492</v>
      </c>
      <c r="AA304" s="86">
        <f>MSY!G345</f>
        <v>0.56141349963973852</v>
      </c>
      <c r="AB304">
        <f t="shared" si="14"/>
        <v>-6.5683950046524437E-3</v>
      </c>
      <c r="AC304">
        <f t="shared" si="15"/>
        <v>0.68825752195401124</v>
      </c>
      <c r="AF304">
        <f t="shared" si="13"/>
        <v>3.01</v>
      </c>
    </row>
    <row r="305" spans="21:32" x14ac:dyDescent="0.3">
      <c r="U305" s="86">
        <f>MSY!A346</f>
        <v>3.02</v>
      </c>
      <c r="V305" s="86">
        <f>MSY!B346</f>
        <v>0.15731098868795979</v>
      </c>
      <c r="W305" s="86">
        <f>MSY!C346</f>
        <v>0.78173217199454115</v>
      </c>
      <c r="X305" s="86">
        <f>MSY!D346</f>
        <v>1.3600677724958381</v>
      </c>
      <c r="Y305" s="86">
        <f>MSY!E346</f>
        <v>0.71284776091437807</v>
      </c>
      <c r="Z305" s="86">
        <f>MSY!F346</f>
        <v>0.96952126631546387</v>
      </c>
      <c r="AA305" s="86">
        <f>MSY!G346</f>
        <v>0.55725602844104216</v>
      </c>
      <c r="AB305">
        <f t="shared" si="14"/>
        <v>-6.5667304521010933E-3</v>
      </c>
      <c r="AC305">
        <f t="shared" si="15"/>
        <v>0.68825585740145989</v>
      </c>
      <c r="AF305">
        <f t="shared" si="13"/>
        <v>3.02</v>
      </c>
    </row>
    <row r="306" spans="21:32" x14ac:dyDescent="0.3">
      <c r="U306" s="86">
        <f>MSY!A347</f>
        <v>3.03</v>
      </c>
      <c r="V306" s="86">
        <f>MSY!B347</f>
        <v>0.15711611708476786</v>
      </c>
      <c r="W306" s="86">
        <f>MSY!C347</f>
        <v>0.78166651346077654</v>
      </c>
      <c r="X306" s="86">
        <f>MSY!D347</f>
        <v>1.35838296592583</v>
      </c>
      <c r="Y306" s="86">
        <f>MSY!E347</f>
        <v>0.70760358127352496</v>
      </c>
      <c r="Z306" s="86">
        <f>MSY!F347</f>
        <v>0.96119665143006983</v>
      </c>
      <c r="AA306" s="86">
        <f>MSY!G347</f>
        <v>0.55311002428643552</v>
      </c>
      <c r="AB306">
        <f t="shared" si="14"/>
        <v>-6.564888563692633E-3</v>
      </c>
      <c r="AC306">
        <f t="shared" si="15"/>
        <v>0.68825401551305143</v>
      </c>
      <c r="AF306">
        <f t="shared" si="13"/>
        <v>3.03</v>
      </c>
    </row>
    <row r="307" spans="21:32" x14ac:dyDescent="0.3">
      <c r="U307" s="86">
        <f>MSY!A348</f>
        <v>3.04</v>
      </c>
      <c r="V307" s="86">
        <f>MSY!B348</f>
        <v>0.15692223456356119</v>
      </c>
      <c r="W307" s="86">
        <f>MSY!C348</f>
        <v>0.78160087422326729</v>
      </c>
      <c r="X307" s="86">
        <f>MSY!D348</f>
        <v>1.3567067106880826</v>
      </c>
      <c r="Y307" s="86">
        <f>MSY!E348</f>
        <v>0.70237309294439487</v>
      </c>
      <c r="Z307" s="86">
        <f>MSY!F348</f>
        <v>0.95291428860440486</v>
      </c>
      <c r="AA307" s="86">
        <f>MSY!G348</f>
        <v>0.54897542347623918</v>
      </c>
      <c r="AB307">
        <f t="shared" si="14"/>
        <v>-6.5628730261335583E-3</v>
      </c>
      <c r="AC307">
        <f t="shared" si="15"/>
        <v>0.68825199997549236</v>
      </c>
      <c r="AF307">
        <f t="shared" si="13"/>
        <v>3.04</v>
      </c>
    </row>
    <row r="308" spans="21:32" x14ac:dyDescent="0.3">
      <c r="U308" s="86">
        <f>MSY!A349</f>
        <v>3.05</v>
      </c>
      <c r="V308" s="86">
        <f>MSY!B349</f>
        <v>0.1567293326907192</v>
      </c>
      <c r="W308" s="86">
        <f>MSY!C349</f>
        <v>0.78153525600025386</v>
      </c>
      <c r="X308" s="86">
        <f>MSY!D349</f>
        <v>1.3550389338678193</v>
      </c>
      <c r="Y308" s="86">
        <f>MSY!E349</f>
        <v>0.69715621740159572</v>
      </c>
      <c r="Z308" s="86">
        <f>MSY!F349</f>
        <v>0.94467381756717994</v>
      </c>
      <c r="AA308" s="86">
        <f>MSY!G349</f>
        <v>0.54485216283912474</v>
      </c>
      <c r="AB308">
        <f t="shared" si="14"/>
        <v>-6.5606874541879129E-3</v>
      </c>
      <c r="AC308">
        <f t="shared" si="15"/>
        <v>0.68824981440354671</v>
      </c>
      <c r="AF308">
        <f t="shared" si="13"/>
        <v>3.05</v>
      </c>
    </row>
    <row r="309" spans="21:32" x14ac:dyDescent="0.3">
      <c r="U309" s="86">
        <f>MSY!A350</f>
        <v>3.06</v>
      </c>
      <c r="V309" s="86">
        <f>MSY!B350</f>
        <v>0.15653740313369602</v>
      </c>
      <c r="W309" s="86">
        <f>MSY!C350</f>
        <v>0.78146966047418354</v>
      </c>
      <c r="X309" s="86">
        <f>MSY!D350</f>
        <v>1.3533795634241281</v>
      </c>
      <c r="Y309" s="86">
        <f>MSY!E350</f>
        <v>0.69195287683783779</v>
      </c>
      <c r="Z309" s="86">
        <f>MSY!F350</f>
        <v>0.93647488236486232</v>
      </c>
      <c r="AA309" s="86">
        <f>MSY!G350</f>
        <v>0.5407401797265996</v>
      </c>
      <c r="AB309">
        <f t="shared" si="14"/>
        <v>-6.558335392392583E-3</v>
      </c>
      <c r="AC309">
        <f t="shared" si="15"/>
        <v>0.68824746234175138</v>
      </c>
      <c r="AF309">
        <f t="shared" si="13"/>
        <v>3.06</v>
      </c>
    </row>
    <row r="310" spans="21:32" x14ac:dyDescent="0.3">
      <c r="U310" s="86">
        <f>MSY!A351</f>
        <v>3.07</v>
      </c>
      <c r="V310" s="86">
        <f>MSY!B351</f>
        <v>0.15634643765947276</v>
      </c>
      <c r="W310" s="86">
        <f>MSY!C351</f>
        <v>0.78140408929240601</v>
      </c>
      <c r="X310" s="86">
        <f>MSY!D351</f>
        <v>1.3517285281765801</v>
      </c>
      <c r="Y310" s="86">
        <f>MSY!E351</f>
        <v>0.68676299415520903</v>
      </c>
      <c r="Z310" s="86">
        <f>MSY!F351</f>
        <v>0.92831713129556193</v>
      </c>
      <c r="AA310" s="86">
        <f>MSY!G351</f>
        <v>0.53663941200757703</v>
      </c>
      <c r="AB310">
        <f t="shared" si="14"/>
        <v>-6.5558203163729118E-3</v>
      </c>
      <c r="AC310">
        <f t="shared" si="15"/>
        <v>0.68824494726573171</v>
      </c>
      <c r="AF310">
        <f t="shared" si="13"/>
        <v>3.07</v>
      </c>
    </row>
    <row r="311" spans="21:32" x14ac:dyDescent="0.3">
      <c r="U311" s="86">
        <f>MSY!A352</f>
        <v>3.08</v>
      </c>
      <c r="V311" s="86">
        <f>MSY!B352</f>
        <v>0.15615642813303784</v>
      </c>
      <c r="W311" s="86">
        <f>MSY!C352</f>
        <v>0.78133854406785608</v>
      </c>
      <c r="X311" s="86">
        <f>MSY!D352</f>
        <v>1.3500857577920906</v>
      </c>
      <c r="Y311" s="86">
        <f>MSY!E352</f>
        <v>0.68158649295655738</v>
      </c>
      <c r="Z311" s="86">
        <f>MSY!F352</f>
        <v>0.92020021684410724</v>
      </c>
      <c r="AA311" s="86">
        <f>MSY!G352</f>
        <v>0.53254979806299263</v>
      </c>
      <c r="AB311">
        <f t="shared" si="14"/>
        <v>-6.5531456344025624E-3</v>
      </c>
      <c r="AC311">
        <f t="shared" si="15"/>
        <v>0.68824227258376136</v>
      </c>
      <c r="AF311">
        <f t="shared" si="13"/>
        <v>3.08</v>
      </c>
    </row>
    <row r="312" spans="21:32" x14ac:dyDescent="0.3">
      <c r="U312" s="86">
        <f>MSY!A353</f>
        <v>3.09</v>
      </c>
      <c r="V312" s="86">
        <f>MSY!B353</f>
        <v>0.15596736651589546</v>
      </c>
      <c r="W312" s="86">
        <f>MSY!C353</f>
        <v>0.78127302637971796</v>
      </c>
      <c r="X312" s="86">
        <f>MSY!D353</f>
        <v>1.3484511827720242</v>
      </c>
      <c r="Y312" s="86">
        <f>MSY!E353</f>
        <v>0.67642329753700892</v>
      </c>
      <c r="Z312" s="86">
        <f>MSY!F353</f>
        <v>0.91212379561833257</v>
      </c>
      <c r="AA312" s="86">
        <f>MSY!G353</f>
        <v>0.52847127678048733</v>
      </c>
      <c r="AB312">
        <f t="shared" si="14"/>
        <v>-6.5503146888801151E-3</v>
      </c>
      <c r="AC312">
        <f t="shared" si="15"/>
        <v>0.68823944163823891</v>
      </c>
      <c r="AF312">
        <f t="shared" si="13"/>
        <v>3.09</v>
      </c>
    </row>
    <row r="313" spans="21:32" x14ac:dyDescent="0.3">
      <c r="U313" s="86">
        <f>MSY!A354</f>
        <v>3.1</v>
      </c>
      <c r="V313" s="86">
        <f>MSY!B354</f>
        <v>0.1557792448646019</v>
      </c>
      <c r="W313" s="86">
        <f>MSY!C354</f>
        <v>0.78120753777407848</v>
      </c>
      <c r="X313" s="86">
        <f>MSY!D354</f>
        <v>1.3468247344395394</v>
      </c>
      <c r="Y313" s="86">
        <f>MSY!E354</f>
        <v>0.6712733328756193</v>
      </c>
      <c r="Z313" s="86">
        <f>MSY!F354</f>
        <v>0.90408752828655048</v>
      </c>
      <c r="AA313" s="86">
        <f>MSY!G354</f>
        <v>0.52440378754916195</v>
      </c>
      <c r="AB313">
        <f t="shared" si="14"/>
        <v>-6.5473307576613344E-3</v>
      </c>
      <c r="AC313">
        <f t="shared" si="15"/>
        <v>0.68823645770702013</v>
      </c>
      <c r="AF313">
        <f t="shared" si="13"/>
        <v>3.1</v>
      </c>
    </row>
    <row r="314" spans="21:32" x14ac:dyDescent="0.3">
      <c r="U314" s="86">
        <f>MSY!A355</f>
        <v>3.11</v>
      </c>
      <c r="V314" s="86">
        <f>MSY!B355</f>
        <v>0.15559205532932777</v>
      </c>
      <c r="W314" s="86">
        <f>MSY!C355</f>
        <v>0.78114207976456473</v>
      </c>
      <c r="X314" s="86">
        <f>MSY!D355</f>
        <v>1.3452063449271587</v>
      </c>
      <c r="Y314" s="86">
        <f>MSY!E355</f>
        <v>0.66613652462712514</v>
      </c>
      <c r="Z314" s="86">
        <f>MSY!F355</f>
        <v>0.89609107951613531</v>
      </c>
      <c r="AA314" s="86">
        <f>MSY!G355</f>
        <v>0.52034727025437177</v>
      </c>
      <c r="AB314">
        <f t="shared" si="14"/>
        <v>-6.5441970554580503E-3</v>
      </c>
      <c r="AC314">
        <f t="shared" si="15"/>
        <v>0.68823332400481685</v>
      </c>
      <c r="AF314">
        <f t="shared" si="13"/>
        <v>3.11</v>
      </c>
    </row>
    <row r="315" spans="21:32" x14ac:dyDescent="0.3">
      <c r="U315" s="86">
        <f>MSY!A356</f>
        <v>3.12</v>
      </c>
      <c r="V315" s="86">
        <f>MSY!B356</f>
        <v>0.15540579015244765</v>
      </c>
      <c r="W315" s="86">
        <f>MSY!C356</f>
        <v>0.78107665383296931</v>
      </c>
      <c r="X315" s="86">
        <f>MSY!D356</f>
        <v>1.3435959471645753</v>
      </c>
      <c r="Y315" s="86">
        <f>MSY!E356</f>
        <v>0.66101279911384325</v>
      </c>
      <c r="Z315" s="86">
        <f>MSY!F356</f>
        <v>0.88813411791327146</v>
      </c>
      <c r="AA315" s="86">
        <f>MSY!G356</f>
        <v>0.51630166527260546</v>
      </c>
      <c r="AB315">
        <f t="shared" si="14"/>
        <v>-6.5409167351870795E-3</v>
      </c>
      <c r="AC315">
        <f t="shared" si="15"/>
        <v>0.68823004368454588</v>
      </c>
      <c r="AF315">
        <f t="shared" si="13"/>
        <v>3.12</v>
      </c>
    </row>
    <row r="316" spans="21:32" x14ac:dyDescent="0.3">
      <c r="U316" s="86">
        <f>MSY!A357</f>
        <v>3.13</v>
      </c>
      <c r="V316" s="86">
        <f>MSY!B357</f>
        <v>0.15522044166715449</v>
      </c>
      <c r="W316" s="86">
        <f>MSY!C357</f>
        <v>0.78101126142986099</v>
      </c>
      <c r="X316" s="86">
        <f>MSY!D357</f>
        <v>1.3419934748666726</v>
      </c>
      <c r="Y316" s="86">
        <f>MSY!E357</f>
        <v>0.65590208331766608</v>
      </c>
      <c r="Z316" s="86">
        <f>MSY!F357</f>
        <v>0.8802163159637646</v>
      </c>
      <c r="AA316" s="86">
        <f>MSY!G357</f>
        <v>0.51226691346640418</v>
      </c>
      <c r="AB316">
        <f t="shared" si="14"/>
        <v>-6.5374928892636347E-3</v>
      </c>
      <c r="AC316">
        <f t="shared" si="15"/>
        <v>0.68822661983862243</v>
      </c>
      <c r="AF316">
        <f t="shared" si="13"/>
        <v>3.13</v>
      </c>
    </row>
    <row r="317" spans="21:32" x14ac:dyDescent="0.3">
      <c r="U317" s="86">
        <f>MSY!A358</f>
        <v>3.14</v>
      </c>
      <c r="V317" s="86">
        <f>MSY!B358</f>
        <v>0.15503600229609968</v>
      </c>
      <c r="W317" s="86">
        <f>MSY!C358</f>
        <v>0.78094590397518404</v>
      </c>
      <c r="X317" s="86">
        <f>MSY!D358</f>
        <v>1.3403988625217675</v>
      </c>
      <c r="Y317" s="86">
        <f>MSY!E358</f>
        <v>0.65080430487218544</v>
      </c>
      <c r="Z317" s="86">
        <f>MSY!F358</f>
        <v>0.87233734997494705</v>
      </c>
      <c r="AA317" s="86">
        <f>MSY!G358</f>
        <v>0.50824295617935011</v>
      </c>
      <c r="AB317">
        <f t="shared" si="14"/>
        <v>-6.533928550855877E-3</v>
      </c>
      <c r="AC317">
        <f t="shared" si="15"/>
        <v>0.68822305550021468</v>
      </c>
      <c r="AF317">
        <f t="shared" si="13"/>
        <v>3.14</v>
      </c>
    </row>
    <row r="318" spans="21:32" x14ac:dyDescent="0.3">
      <c r="U318" s="86">
        <f>MSY!A359</f>
        <v>3.15</v>
      </c>
      <c r="V318" s="86">
        <f>MSY!B359</f>
        <v>0.15485246455005738</v>
      </c>
      <c r="W318" s="86">
        <f>MSY!C359</f>
        <v>0.78088058285884387</v>
      </c>
      <c r="X318" s="86">
        <f>MSY!D359</f>
        <v>1.3388120453800623</v>
      </c>
      <c r="Y318" s="86">
        <f>MSY!E359</f>
        <v>0.6457193920549219</v>
      </c>
      <c r="Z318" s="86">
        <f>MSY!F359</f>
        <v>0.86449690001862023</v>
      </c>
      <c r="AA318" s="86">
        <f>MSY!G359</f>
        <v>0.5042297352311057</v>
      </c>
      <c r="AB318">
        <f t="shared" si="14"/>
        <v>-6.53022669515057E-3</v>
      </c>
      <c r="AC318">
        <f t="shared" si="15"/>
        <v>0.68821935364450937</v>
      </c>
      <c r="AF318">
        <f t="shared" si="13"/>
        <v>3.15</v>
      </c>
    </row>
    <row r="319" spans="21:32" x14ac:dyDescent="0.3">
      <c r="U319" s="86">
        <f>MSY!A360</f>
        <v>3.16</v>
      </c>
      <c r="V319" s="86">
        <f>MSY!B360</f>
        <v>0.15466982102661339</v>
      </c>
      <c r="W319" s="86">
        <f>MSY!C360</f>
        <v>0.78081529944128103</v>
      </c>
      <c r="X319" s="86">
        <f>MSY!D360</f>
        <v>1.3372329594423087</v>
      </c>
      <c r="Y319" s="86">
        <f>MSY!E360</f>
        <v>0.64064727377967867</v>
      </c>
      <c r="Z319" s="86">
        <f>MSY!F360</f>
        <v>0.85669464987504662</v>
      </c>
      <c r="AA319" s="86">
        <f>MSY!G360</f>
        <v>0.50022719291252016</v>
      </c>
      <c r="AB319">
        <f t="shared" si="14"/>
        <v>-6.5263902405743252E-3</v>
      </c>
      <c r="AC319">
        <f t="shared" si="15"/>
        <v>0.68821551718993312</v>
      </c>
      <c r="AF319">
        <f t="shared" si="13"/>
        <v>3.16</v>
      </c>
    </row>
    <row r="320" spans="21:32" x14ac:dyDescent="0.3">
      <c r="U320" s="86">
        <f>MSY!A361</f>
        <v>3.17</v>
      </c>
      <c r="V320" s="86">
        <f>MSY!B361</f>
        <v>0.15448806440887713</v>
      </c>
      <c r="W320" s="86">
        <f>MSY!C361</f>
        <v>0.78075005505403239</v>
      </c>
      <c r="X320" s="86">
        <f>MSY!D361</f>
        <v>1.3356615414486728</v>
      </c>
      <c r="Y320" s="86">
        <f>MSY!E361</f>
        <v>0.63558787958899099</v>
      </c>
      <c r="Z320" s="86">
        <f>MSY!F361</f>
        <v>0.84893028697792505</v>
      </c>
      <c r="AA320" s="86">
        <f>MSY!G361</f>
        <v>0.49623527198078043</v>
      </c>
      <c r="AB320">
        <f t="shared" si="14"/>
        <v>-6.5224220499870917E-3</v>
      </c>
      <c r="AC320">
        <f t="shared" si="15"/>
        <v>0.68821154899934589</v>
      </c>
      <c r="AF320">
        <f t="shared" si="13"/>
        <v>3.17</v>
      </c>
    </row>
    <row r="321" spans="21:32" x14ac:dyDescent="0.3">
      <c r="U321" s="86">
        <f>MSY!A362</f>
        <v>3.18</v>
      </c>
      <c r="V321" s="86">
        <f>MSY!B362</f>
        <v>0.15430718746421682</v>
      </c>
      <c r="W321" s="86">
        <f>MSY!C362</f>
        <v>0.78068485100028129</v>
      </c>
      <c r="X321" s="86">
        <f>MSY!D362</f>
        <v>1.3340977288677984</v>
      </c>
      <c r="Y321" s="86">
        <f>MSY!E362</f>
        <v>0.63054113964668734</v>
      </c>
      <c r="Z321" s="86">
        <f>MSY!F362</f>
        <v>0.8412035023603589</v>
      </c>
      <c r="AA321" s="86">
        <f>MSY!G362</f>
        <v>0.49225391565462168</v>
      </c>
      <c r="AB321">
        <f t="shared" si="14"/>
        <v>-6.5183249317923792E-3</v>
      </c>
      <c r="AC321">
        <f t="shared" si="15"/>
        <v>0.68820745188115118</v>
      </c>
      <c r="AF321">
        <f t="shared" si="13"/>
        <v>3.18</v>
      </c>
    </row>
    <row r="322" spans="21:32" x14ac:dyDescent="0.3">
      <c r="U322" s="86">
        <f>MSY!A363</f>
        <v>3.19</v>
      </c>
      <c r="V322" s="86">
        <f>MSY!B363</f>
        <v>0.15412718304301781</v>
      </c>
      <c r="W322" s="86">
        <f>MSY!C363</f>
        <v>0.78061968855539654</v>
      </c>
      <c r="X322" s="86">
        <f>MSY!D363</f>
        <v>1.3325414598860736</v>
      </c>
      <c r="Y322" s="86">
        <f>MSY!E363</f>
        <v>0.62550698473057709</v>
      </c>
      <c r="Z322" s="86">
        <f>MSY!F363</f>
        <v>0.83351399060181919</v>
      </c>
      <c r="AA322" s="86">
        <f>MSY!G363</f>
        <v>0.48828306760960827</v>
      </c>
      <c r="AB322">
        <f t="shared" si="14"/>
        <v>-6.514101641136299E-3</v>
      </c>
      <c r="AC322">
        <f t="shared" si="15"/>
        <v>0.6882032285904951</v>
      </c>
      <c r="AF322">
        <f t="shared" ref="AF322:AF385" si="16">U322</f>
        <v>3.19</v>
      </c>
    </row>
    <row r="323" spans="21:32" x14ac:dyDescent="0.3">
      <c r="U323" s="86">
        <f>MSY!A364</f>
        <v>3.2</v>
      </c>
      <c r="V323" s="86">
        <f>MSY!B364</f>
        <v>0.15394804407746188</v>
      </c>
      <c r="W323" s="86">
        <f>MSY!C364</f>
        <v>0.78055456896745856</v>
      </c>
      <c r="X323" s="86">
        <f>MSY!D364</f>
        <v>1.3309926733970754</v>
      </c>
      <c r="Y323" s="86">
        <f>MSY!E364</f>
        <v>0.62048534622520113</v>
      </c>
      <c r="Z323" s="86">
        <f>MSY!F364</f>
        <v>0.82586144977599041</v>
      </c>
      <c r="AA323" s="86">
        <f>MSY!G364</f>
        <v>0.48432267197343615</v>
      </c>
      <c r="AB323">
        <f t="shared" si="14"/>
        <v>-6.5097548809567246E-3</v>
      </c>
      <c r="AC323">
        <f t="shared" si="15"/>
        <v>0.68819888183031552</v>
      </c>
      <c r="AF323">
        <f t="shared" si="16"/>
        <v>3.2</v>
      </c>
    </row>
    <row r="324" spans="21:32" x14ac:dyDescent="0.3">
      <c r="U324" s="86">
        <f>MSY!A365</f>
        <v>3.21</v>
      </c>
      <c r="V324" s="86">
        <f>MSY!B365</f>
        <v>0.15376976358032951</v>
      </c>
      <c r="W324" s="86">
        <f>MSY!C365</f>
        <v>0.78048949345777741</v>
      </c>
      <c r="X324" s="86">
        <f>MSY!D365</f>
        <v>1.3294513089912152</v>
      </c>
      <c r="Y324" s="86">
        <f>MSY!E365</f>
        <v>0.61547615611473117</v>
      </c>
      <c r="Z324" s="86">
        <f>MSY!F365</f>
        <v>0.81824558139961079</v>
      </c>
      <c r="AA324" s="86">
        <f>MSY!G365</f>
        <v>0.48037267332132644</v>
      </c>
      <c r="AB324">
        <f t="shared" si="14"/>
        <v>-6.5052873030824127E-3</v>
      </c>
      <c r="AC324">
        <f t="shared" si="15"/>
        <v>0.68819441425244121</v>
      </c>
      <c r="AF324">
        <f t="shared" si="16"/>
        <v>3.21</v>
      </c>
    </row>
    <row r="325" spans="21:32" x14ac:dyDescent="0.3">
      <c r="U325" s="86">
        <f>MSY!A366</f>
        <v>3.22</v>
      </c>
      <c r="V325" s="86">
        <f>MSY!B366</f>
        <v>0.1535923346438223</v>
      </c>
      <c r="W325" s="86">
        <f>MSY!C366</f>
        <v>0.78042446322139691</v>
      </c>
      <c r="X325" s="86">
        <f>MSY!D366</f>
        <v>1.3279173069455583</v>
      </c>
      <c r="Y325" s="86">
        <f>MSY!E366</f>
        <v>0.61047934697593864</v>
      </c>
      <c r="Z325" s="86">
        <f>MSY!F366</f>
        <v>0.81066609038217152</v>
      </c>
      <c r="AA325" s="86">
        <f>MSY!G366</f>
        <v>0.47643301667144583</v>
      </c>
      <c r="AB325">
        <f t="shared" si="14"/>
        <v>-6.5007015093654303E-3</v>
      </c>
      <c r="AC325">
        <f t="shared" si="15"/>
        <v>0.68818982845872423</v>
      </c>
      <c r="AF325">
        <f t="shared" si="16"/>
        <v>3.22</v>
      </c>
    </row>
    <row r="326" spans="21:32" x14ac:dyDescent="0.3">
      <c r="U326" s="86">
        <f>MSY!A367</f>
        <v>3.23</v>
      </c>
      <c r="V326" s="86">
        <f>MSY!B367</f>
        <v>0.15341575043840697</v>
      </c>
      <c r="W326" s="86">
        <f>MSY!C367</f>
        <v>0.7803594794275901</v>
      </c>
      <c r="X326" s="86">
        <f>MSY!D367</f>
        <v>1.3263906082138277</v>
      </c>
      <c r="Y326" s="86">
        <f>MSY!E367</f>
        <v>0.60549485197127362</v>
      </c>
      <c r="Z326" s="86">
        <f>MSY!F367</f>
        <v>0.80312268497651917</v>
      </c>
      <c r="AA326" s="86">
        <f>MSY!G367</f>
        <v>0.47250364748038881</v>
      </c>
      <c r="AB326">
        <f t="shared" ref="AB326:AB389" si="17">(W327-W325)/(U327-U325)</f>
        <v>-6.4960000525637824E-3</v>
      </c>
      <c r="AC326">
        <f t="shared" ref="AC326:AC389" si="18">ABS(AB326-$AC$3)</f>
        <v>0.68818512700192258</v>
      </c>
      <c r="AF326">
        <f t="shared" si="16"/>
        <v>3.23</v>
      </c>
    </row>
    <row r="327" spans="21:32" x14ac:dyDescent="0.3">
      <c r="U327" s="86">
        <f>MSY!A368</f>
        <v>3.24</v>
      </c>
      <c r="V327" s="86">
        <f>MSY!B368</f>
        <v>0.15324000421167891</v>
      </c>
      <c r="W327" s="86">
        <f>MSY!C368</f>
        <v>0.78029454322034564</v>
      </c>
      <c r="X327" s="86">
        <f>MSY!D368</f>
        <v>1.3248711544165808</v>
      </c>
      <c r="Y327" s="86">
        <f>MSY!E368</f>
        <v>0.60052260484204179</v>
      </c>
      <c r="Z327" s="86">
        <f>MSY!F368</f>
        <v>0.79561507673032805</v>
      </c>
      <c r="AA327" s="86">
        <f>MSY!G368</f>
        <v>0.46858451163871312</v>
      </c>
      <c r="AB327">
        <f t="shared" si="17"/>
        <v>-6.4911854374516348E-3</v>
      </c>
      <c r="AC327">
        <f t="shared" si="18"/>
        <v>0.68818031238681043</v>
      </c>
      <c r="AF327">
        <f t="shared" si="16"/>
        <v>3.24</v>
      </c>
    </row>
    <row r="328" spans="21:32" x14ac:dyDescent="0.3">
      <c r="U328" s="86">
        <f>MSY!A369</f>
        <v>3.25</v>
      </c>
      <c r="V328" s="86">
        <f>MSY!B369</f>
        <v>0.15306508928724652</v>
      </c>
      <c r="W328" s="86">
        <f>MSY!C369</f>
        <v>0.78022965571884106</v>
      </c>
      <c r="X328" s="86">
        <f>MSY!D369</f>
        <v>1.3233588878315623</v>
      </c>
      <c r="Y328" s="86">
        <f>MSY!E369</f>
        <v>0.5955625399016794</v>
      </c>
      <c r="Z328" s="86">
        <f>MSY!F369</f>
        <v>0.7881429804384269</v>
      </c>
      <c r="AA328" s="86">
        <f>MSY!G369</f>
        <v>0.46467555546652584</v>
      </c>
      <c r="AB328">
        <f t="shared" si="17"/>
        <v>-6.4862601217964546E-3</v>
      </c>
      <c r="AC328">
        <f t="shared" si="18"/>
        <v>0.68817538707115522</v>
      </c>
      <c r="AF328">
        <f t="shared" si="16"/>
        <v>3.25</v>
      </c>
    </row>
    <row r="329" spans="21:32" x14ac:dyDescent="0.3">
      <c r="U329" s="86">
        <f>MSY!A370</f>
        <v>3.26</v>
      </c>
      <c r="V329" s="86">
        <f>MSY!B370</f>
        <v>0.1528909990636344</v>
      </c>
      <c r="W329" s="86">
        <f>MSY!C370</f>
        <v>0.78016481801790971</v>
      </c>
      <c r="X329" s="86">
        <f>MSY!D370</f>
        <v>1.3218537513842217</v>
      </c>
      <c r="Y329" s="86">
        <f>MSY!E370</f>
        <v>0.59061459202911515</v>
      </c>
      <c r="Z329" s="86">
        <f>MSY!F370</f>
        <v>0.78070611409594748</v>
      </c>
      <c r="AA329" s="86">
        <f>MSY!G370</f>
        <v>0.4607767257091166</v>
      </c>
      <c r="AB329">
        <f t="shared" si="17"/>
        <v>-6.4812265172631217E-3</v>
      </c>
      <c r="AC329">
        <f t="shared" si="18"/>
        <v>0.68817035346662192</v>
      </c>
      <c r="AF329">
        <f t="shared" si="16"/>
        <v>3.26</v>
      </c>
    </row>
    <row r="330" spans="21:32" x14ac:dyDescent="0.3">
      <c r="U330" s="86">
        <f>MSY!A371</f>
        <v>3.27</v>
      </c>
      <c r="V330" s="86">
        <f>MSY!B371</f>
        <v>0.1527177270132058</v>
      </c>
      <c r="W330" s="86">
        <f>MSY!C371</f>
        <v>0.7801000311884958</v>
      </c>
      <c r="X330" s="86">
        <f>MSY!D371</f>
        <v>1.3203556886383974</v>
      </c>
      <c r="Y330" s="86">
        <f>MSY!E371</f>
        <v>0.5856786966622306</v>
      </c>
      <c r="Z330" s="86">
        <f>MSY!F371</f>
        <v>0.77330419885229851</v>
      </c>
      <c r="AA330" s="86">
        <f>MSY!G371</f>
        <v>0.45688796953264366</v>
      </c>
      <c r="AB330">
        <f t="shared" si="17"/>
        <v>-6.476086990481183E-3</v>
      </c>
      <c r="AC330">
        <f t="shared" si="18"/>
        <v>0.68816521393983998</v>
      </c>
      <c r="AF330">
        <f t="shared" si="16"/>
        <v>3.27</v>
      </c>
    </row>
    <row r="331" spans="21:32" x14ac:dyDescent="0.3">
      <c r="U331" s="86">
        <f>MSY!A372</f>
        <v>3.28</v>
      </c>
      <c r="V331" s="86">
        <f>MSY!B372</f>
        <v>0.15254526668110394</v>
      </c>
      <c r="W331" s="86">
        <f>MSY!C372</f>
        <v>0.78003529627810009</v>
      </c>
      <c r="X331" s="86">
        <f>MSY!D372</f>
        <v>1.3188646437871636</v>
      </c>
      <c r="Y331" s="86">
        <f>MSY!E372</f>
        <v>0.58075478979140893</v>
      </c>
      <c r="Z331" s="86">
        <f>MSY!F372</f>
        <v>0.76593695896593572</v>
      </c>
      <c r="AA331" s="86">
        <f>MSY!G372</f>
        <v>0.45300923451986741</v>
      </c>
      <c r="AB331">
        <f t="shared" si="17"/>
        <v>-6.4708438637761595E-3</v>
      </c>
      <c r="AC331">
        <f t="shared" si="18"/>
        <v>0.68815997081313496</v>
      </c>
      <c r="AF331">
        <f t="shared" si="16"/>
        <v>3.28</v>
      </c>
    </row>
    <row r="332" spans="21:32" x14ac:dyDescent="0.3">
      <c r="U332" s="86">
        <f>MSY!A373</f>
        <v>3.29</v>
      </c>
      <c r="V332" s="86">
        <f>MSY!B373</f>
        <v>0.15237361168421179</v>
      </c>
      <c r="W332" s="86">
        <f>MSY!C373</f>
        <v>0.77997061431122028</v>
      </c>
      <c r="X332" s="86">
        <f>MSY!D373</f>
        <v>1.317380561643837</v>
      </c>
      <c r="Y332" s="86">
        <f>MSY!E373</f>
        <v>0.57584280795318121</v>
      </c>
      <c r="Z332" s="86">
        <f>MSY!F373</f>
        <v>0.75860412175992598</v>
      </c>
      <c r="AA332" s="86">
        <f>MSY!G373</f>
        <v>0.44914046866594082</v>
      </c>
      <c r="AB332">
        <f t="shared" si="17"/>
        <v>-6.465499416247183E-3</v>
      </c>
      <c r="AC332">
        <f t="shared" si="18"/>
        <v>0.68815462636560598</v>
      </c>
      <c r="AF332">
        <f t="shared" si="16"/>
        <v>3.29</v>
      </c>
    </row>
    <row r="333" spans="21:32" x14ac:dyDescent="0.3">
      <c r="U333" s="86">
        <f>MSY!A374</f>
        <v>3.3</v>
      </c>
      <c r="V333" s="86">
        <f>MSY!B374</f>
        <v>0.15220275571012931</v>
      </c>
      <c r="W333" s="86">
        <f>MSY!C374</f>
        <v>0.77990598628977514</v>
      </c>
      <c r="X333" s="86">
        <f>MSY!D374</f>
        <v>1.3159033876331332</v>
      </c>
      <c r="Y333" s="86">
        <f>MSY!E374</f>
        <v>0.57094268822394501</v>
      </c>
      <c r="Z333" s="86">
        <f>MSY!F374</f>
        <v>0.75130541757825697</v>
      </c>
      <c r="AA333" s="86">
        <f>MSY!G374</f>
        <v>0.44528162037423141</v>
      </c>
      <c r="AB333">
        <f t="shared" si="17"/>
        <v>-6.4600558845495587E-3</v>
      </c>
      <c r="AC333">
        <f t="shared" si="18"/>
        <v>0.68814918283390836</v>
      </c>
      <c r="AF333">
        <f t="shared" si="16"/>
        <v>3.3</v>
      </c>
    </row>
    <row r="334" spans="21:32" x14ac:dyDescent="0.3">
      <c r="U334" s="86">
        <f>MSY!A375</f>
        <v>3.31</v>
      </c>
      <c r="V334" s="86">
        <f>MSY!B375</f>
        <v>0.15203269251616869</v>
      </c>
      <c r="W334" s="86">
        <f>MSY!C375</f>
        <v>0.77984141319352929</v>
      </c>
      <c r="X334" s="86">
        <f>MSY!D375</f>
        <v>1.3144330677824814</v>
      </c>
      <c r="Y334" s="86">
        <f>MSY!E375</f>
        <v>0.56605436821378197</v>
      </c>
      <c r="Z334" s="86">
        <f>MSY!F375</f>
        <v>0.74404057974291571</v>
      </c>
      <c r="AA334" s="86">
        <f>MSY!G375</f>
        <v>0.44143263845220609</v>
      </c>
      <c r="AB334">
        <f t="shared" si="17"/>
        <v>-6.4545154637440866E-3</v>
      </c>
      <c r="AC334">
        <f t="shared" si="18"/>
        <v>0.68814364241310289</v>
      </c>
      <c r="AF334">
        <f t="shared" si="16"/>
        <v>3.31</v>
      </c>
    </row>
    <row r="335" spans="21:32" x14ac:dyDescent="0.3">
      <c r="U335" s="86">
        <f>MSY!A376</f>
        <v>3.32</v>
      </c>
      <c r="V335" s="86">
        <f>MSY!B376</f>
        <v>0.15186341592836694</v>
      </c>
      <c r="W335" s="86">
        <f>MSY!C376</f>
        <v>0.77977689598050026</v>
      </c>
      <c r="X335" s="86">
        <f>MSY!D376</f>
        <v>1.3129695487134869</v>
      </c>
      <c r="Y335" s="86">
        <f>MSY!E376</f>
        <v>0.5611777860603645</v>
      </c>
      <c r="Z335" s="86">
        <f>MSY!F376</f>
        <v>0.73680934451171054</v>
      </c>
      <c r="AA335" s="86">
        <f>MSY!G376</f>
        <v>0.43759347210736027</v>
      </c>
      <c r="AB335">
        <f t="shared" si="17"/>
        <v>-6.4488803082018925E-3</v>
      </c>
      <c r="AC335">
        <f t="shared" si="18"/>
        <v>0.68813800725756069</v>
      </c>
      <c r="AF335">
        <f t="shared" si="16"/>
        <v>3.32</v>
      </c>
    </row>
    <row r="336" spans="21:32" x14ac:dyDescent="0.3">
      <c r="U336" s="86">
        <f>MSY!A377</f>
        <v>3.33</v>
      </c>
      <c r="V336" s="86">
        <f>MSY!B377</f>
        <v>0.15169491984051511</v>
      </c>
      <c r="W336" s="86">
        <f>MSY!C377</f>
        <v>0.77971243558736525</v>
      </c>
      <c r="X336" s="86">
        <f>MSY!D377</f>
        <v>1.3115127776335374</v>
      </c>
      <c r="Y336" s="86">
        <f>MSY!E377</f>
        <v>0.55631288042293159</v>
      </c>
      <c r="Z336" s="86">
        <f>MSY!F377</f>
        <v>0.72961145103679292</v>
      </c>
      <c r="AA336" s="86">
        <f>MSY!G377</f>
        <v>0.4337640709431867</v>
      </c>
      <c r="AB336">
        <f t="shared" si="17"/>
        <v>-6.4431525323704825E-3</v>
      </c>
      <c r="AC336">
        <f t="shared" si="18"/>
        <v>0.68813227948172928</v>
      </c>
      <c r="AF336">
        <f t="shared" si="16"/>
        <v>3.33</v>
      </c>
    </row>
    <row r="337" spans="21:32" x14ac:dyDescent="0.3">
      <c r="U337" s="86">
        <f>MSY!A378</f>
        <v>3.34</v>
      </c>
      <c r="V337" s="86">
        <f>MSY!B378</f>
        <v>0.15152719821320401</v>
      </c>
      <c r="W337" s="86">
        <f>MSY!C378</f>
        <v>0.77964803292985285</v>
      </c>
      <c r="X337" s="86">
        <f>MSY!D378</f>
        <v>1.3100627023275531</v>
      </c>
      <c r="Y337" s="86">
        <f>MSY!E378</f>
        <v>0.55145959047635584</v>
      </c>
      <c r="Z337" s="86">
        <f>MSY!F378</f>
        <v>0.72244664132390057</v>
      </c>
      <c r="AA337" s="86">
        <f>MSY!G378</f>
        <v>0.42994438495519305</v>
      </c>
      <c r="AB337">
        <f t="shared" si="17"/>
        <v>-6.4373342116064098E-3</v>
      </c>
      <c r="AC337">
        <f t="shared" si="18"/>
        <v>0.68812646116096521</v>
      </c>
      <c r="AF337">
        <f t="shared" si="16"/>
        <v>3.34</v>
      </c>
    </row>
    <row r="338" spans="21:32" x14ac:dyDescent="0.3">
      <c r="U338" s="86">
        <f>MSY!A379</f>
        <v>3.35</v>
      </c>
      <c r="V338" s="86">
        <f>MSY!B379</f>
        <v>0.15136024507288653</v>
      </c>
      <c r="W338" s="86">
        <f>MSY!C379</f>
        <v>0.77958368890313312</v>
      </c>
      <c r="X338" s="86">
        <f>MSY!D379</f>
        <v>1.3086192711498799</v>
      </c>
      <c r="Y338" s="86">
        <f>MSY!E379</f>
        <v>0.54661785590529421</v>
      </c>
      <c r="Z338" s="86">
        <f>MSY!F379</f>
        <v>0.71531466019229617</v>
      </c>
      <c r="AA338" s="86">
        <f>MSY!G379</f>
        <v>0.42613436452697051</v>
      </c>
      <c r="AB338">
        <f t="shared" si="17"/>
        <v>-6.4314273828802665E-3</v>
      </c>
      <c r="AC338">
        <f t="shared" si="18"/>
        <v>0.68812055433223906</v>
      </c>
      <c r="AF338">
        <f t="shared" si="16"/>
        <v>3.35</v>
      </c>
    </row>
    <row r="339" spans="21:32" x14ac:dyDescent="0.3">
      <c r="U339" s="86">
        <f>MSY!A380</f>
        <v>3.36</v>
      </c>
      <c r="V339" s="86">
        <f>MSY!B380</f>
        <v>0.15119405451095569</v>
      </c>
      <c r="W339" s="86">
        <f>MSY!C380</f>
        <v>0.77951940438219525</v>
      </c>
      <c r="X339" s="86">
        <f>MSY!D380</f>
        <v>1.3071824330163184</v>
      </c>
      <c r="Y339" s="86">
        <f>MSY!E380</f>
        <v>0.5417876168984187</v>
      </c>
      <c r="Z339" s="86">
        <f>MSY!F380</f>
        <v>0.70821525523538797</v>
      </c>
      <c r="AA339" s="86">
        <f>MSY!G380</f>
        <v>0.42233396042630433</v>
      </c>
      <c r="AB339">
        <f t="shared" si="17"/>
        <v>-6.4254340457259246E-3</v>
      </c>
      <c r="AC339">
        <f t="shared" si="18"/>
        <v>0.68811456099508472</v>
      </c>
      <c r="AF339">
        <f t="shared" si="16"/>
        <v>3.36</v>
      </c>
    </row>
    <row r="340" spans="21:32" x14ac:dyDescent="0.3">
      <c r="U340" s="86">
        <f>MSY!A381</f>
        <v>3.37</v>
      </c>
      <c r="V340" s="86">
        <f>MSY!B381</f>
        <v>0.15102862068283793</v>
      </c>
      <c r="W340" s="86">
        <f>MSY!C381</f>
        <v>0.7794551802222186</v>
      </c>
      <c r="X340" s="86">
        <f>MSY!D381</f>
        <v>1.3057521373962846</v>
      </c>
      <c r="Y340" s="86">
        <f>MSY!E381</f>
        <v>0.53696881414270836</v>
      </c>
      <c r="Z340" s="86">
        <f>MSY!F381</f>
        <v>0.70114817678198971</v>
      </c>
      <c r="AA340" s="86">
        <f>MSY!G381</f>
        <v>0.41854312380131575</v>
      </c>
      <c r="AB340">
        <f t="shared" si="17"/>
        <v>-6.4193561627789936E-3</v>
      </c>
      <c r="AC340">
        <f t="shared" si="18"/>
        <v>0.68810848311213779</v>
      </c>
      <c r="AF340">
        <f t="shared" si="16"/>
        <v>3.37</v>
      </c>
    </row>
    <row r="341" spans="21:32" x14ac:dyDescent="0.3">
      <c r="U341" s="86">
        <f>MSY!A382</f>
        <v>3.38</v>
      </c>
      <c r="V341" s="86">
        <f>MSY!B382</f>
        <v>0.15086393780710231</v>
      </c>
      <c r="W341" s="86">
        <f>MSY!C382</f>
        <v>0.77939101725893967</v>
      </c>
      <c r="X341" s="86">
        <f>MSY!D382</f>
        <v>1.304328334305108</v>
      </c>
      <c r="Y341" s="86">
        <f>MSY!E382</f>
        <v>0.53216138881784503</v>
      </c>
      <c r="Z341" s="86">
        <f>MSY!F382</f>
        <v>0.69411317785827276</v>
      </c>
      <c r="AA341" s="86">
        <f>MSY!G382</f>
        <v>0.41476180617667036</v>
      </c>
      <c r="AB341">
        <f t="shared" si="17"/>
        <v>-6.4131956606150392E-3</v>
      </c>
      <c r="AC341">
        <f t="shared" si="18"/>
        <v>0.68810232260997384</v>
      </c>
      <c r="AF341">
        <f t="shared" si="16"/>
        <v>3.38</v>
      </c>
    </row>
    <row r="342" spans="21:32" x14ac:dyDescent="0.3">
      <c r="U342" s="86">
        <f>MSY!A383</f>
        <v>3.39</v>
      </c>
      <c r="V342" s="86">
        <f>MSY!B383</f>
        <v>0.15070000016458435</v>
      </c>
      <c r="W342" s="86">
        <f>MSY!C383</f>
        <v>0.7793269163090063</v>
      </c>
      <c r="X342" s="86">
        <f>MSY!D383</f>
        <v>1.3029109742964573</v>
      </c>
      <c r="Y342" s="86">
        <f>MSY!E383</f>
        <v>0.52736528259066884</v>
      </c>
      <c r="Z342" s="86">
        <f>MSY!F383</f>
        <v>0.68711001415033479</v>
      </c>
      <c r="AA342" s="86">
        <f>MSY!G383</f>
        <v>0.41098995944981365</v>
      </c>
      <c r="AB342">
        <f t="shared" si="17"/>
        <v>-6.4069544304601262E-3</v>
      </c>
      <c r="AC342">
        <f t="shared" si="18"/>
        <v>0.68809608137981892</v>
      </c>
      <c r="AF342">
        <f t="shared" si="16"/>
        <v>3.39</v>
      </c>
    </row>
    <row r="343" spans="21:32" x14ac:dyDescent="0.3">
      <c r="U343" s="86">
        <f>MSY!A384</f>
        <v>3.4</v>
      </c>
      <c r="V343" s="86">
        <f>MSY!B384</f>
        <v>0.15053680209752446</v>
      </c>
      <c r="W343" s="86">
        <f>MSY!C384</f>
        <v>0.77926287817033046</v>
      </c>
      <c r="X343" s="86">
        <f>MSY!D384</f>
        <v>1.3015000084548909</v>
      </c>
      <c r="Y343" s="86">
        <f>MSY!E384</f>
        <v>0.52258043760970929</v>
      </c>
      <c r="Z343" s="86">
        <f>MSY!F384</f>
        <v>0.6801384439673972</v>
      </c>
      <c r="AA343" s="86">
        <f>MSY!G384</f>
        <v>0.40722753588725286</v>
      </c>
      <c r="AB343">
        <f t="shared" si="17"/>
        <v>-6.400634328918014E-3</v>
      </c>
      <c r="AC343">
        <f t="shared" si="18"/>
        <v>0.68808976127827681</v>
      </c>
      <c r="AF343">
        <f t="shared" si="16"/>
        <v>3.4</v>
      </c>
    </row>
    <row r="344" spans="21:32" x14ac:dyDescent="0.3">
      <c r="U344" s="86">
        <f>MSY!A385</f>
        <v>3.41</v>
      </c>
      <c r="V344" s="86">
        <f>MSY!B385</f>
        <v>0.15037433800872099</v>
      </c>
      <c r="W344" s="86">
        <f>MSY!C385</f>
        <v>0.77919890362242794</v>
      </c>
      <c r="X344" s="86">
        <f>MSY!D385</f>
        <v>1.3000953883885342</v>
      </c>
      <c r="Y344" s="86">
        <f>MSY!E385</f>
        <v>0.51780679649979222</v>
      </c>
      <c r="Z344" s="86">
        <f>MSY!F385</f>
        <v>0.67319822820562003</v>
      </c>
      <c r="AA344" s="86">
        <f>MSY!G385</f>
        <v>0.40347448812087977</v>
      </c>
      <c r="AB344">
        <f t="shared" si="17"/>
        <v>-6.3942371786085356E-3</v>
      </c>
      <c r="AC344">
        <f t="shared" si="18"/>
        <v>0.68808336412796733</v>
      </c>
      <c r="AF344">
        <f t="shared" si="16"/>
        <v>3.41</v>
      </c>
    </row>
    <row r="345" spans="21:32" x14ac:dyDescent="0.3">
      <c r="U345" s="86">
        <f>MSY!A386</f>
        <v>3.42</v>
      </c>
      <c r="V345" s="86">
        <f>MSY!B386</f>
        <v>0.15021260236069728</v>
      </c>
      <c r="W345" s="86">
        <f>MSY!C386</f>
        <v>0.77913499342675829</v>
      </c>
      <c r="X345" s="86">
        <f>MSY!D386</f>
        <v>1.2986970662218793</v>
      </c>
      <c r="Y345" s="86">
        <f>MSY!E386</f>
        <v>0.51304430235672327</v>
      </c>
      <c r="Z345" s="86">
        <f>MSY!F386</f>
        <v>0.66628913031252734</v>
      </c>
      <c r="AA345" s="86">
        <f>MSY!G386</f>
        <v>0.39973076914434136</v>
      </c>
      <c r="AB345">
        <f t="shared" si="17"/>
        <v>-6.3877647687726686E-3</v>
      </c>
      <c r="AC345">
        <f t="shared" si="18"/>
        <v>0.68807689171813147</v>
      </c>
      <c r="AF345">
        <f t="shared" si="16"/>
        <v>3.42</v>
      </c>
    </row>
    <row r="346" spans="21:32" x14ac:dyDescent="0.3">
      <c r="U346" s="86">
        <f>MSY!A387</f>
        <v>3.43</v>
      </c>
      <c r="V346" s="86">
        <f>MSY!B387</f>
        <v>0.15005158967488269</v>
      </c>
      <c r="W346" s="86">
        <f>MSY!C387</f>
        <v>0.77907114832705249</v>
      </c>
      <c r="X346" s="86">
        <f>MSY!D387</f>
        <v>1.297304994588703</v>
      </c>
      <c r="Y346" s="86">
        <f>MSY!E387</f>
        <v>0.50829289874203709</v>
      </c>
      <c r="Z346" s="86">
        <f>MSY!F387</f>
        <v>0.65941091625201464</v>
      </c>
      <c r="AA346" s="86">
        <f>MSY!G387</f>
        <v>0.39599633230944503</v>
      </c>
      <c r="AB346">
        <f t="shared" si="17"/>
        <v>-6.3812188561274069E-3</v>
      </c>
      <c r="AC346">
        <f t="shared" si="18"/>
        <v>0.68807034580548621</v>
      </c>
      <c r="AF346">
        <f t="shared" si="16"/>
        <v>3.43</v>
      </c>
    </row>
    <row r="347" spans="21:32" x14ac:dyDescent="0.3">
      <c r="U347" s="86">
        <f>MSY!A388</f>
        <v>3.44</v>
      </c>
      <c r="V347" s="86">
        <f>MSY!B388</f>
        <v>0.14989129453080674</v>
      </c>
      <c r="W347" s="86">
        <f>MSY!C388</f>
        <v>0.77900736904963575</v>
      </c>
      <c r="X347" s="86">
        <f>MSY!D388</f>
        <v>1.2959191266251004</v>
      </c>
      <c r="Y347" s="86">
        <f>MSY!E388</f>
        <v>0.50355252967780995</v>
      </c>
      <c r="Z347" s="86">
        <f>MSY!F388</f>
        <v>0.65256335446992741</v>
      </c>
      <c r="AA347" s="86">
        <f>MSY!G388</f>
        <v>0.39227113132259933</v>
      </c>
      <c r="AB347">
        <f t="shared" si="17"/>
        <v>-6.3746011653376062E-3</v>
      </c>
      <c r="AC347">
        <f t="shared" si="18"/>
        <v>0.6880637281146964</v>
      </c>
      <c r="AF347">
        <f t="shared" si="16"/>
        <v>3.44</v>
      </c>
    </row>
    <row r="348" spans="21:32" x14ac:dyDescent="0.3">
      <c r="U348" s="86">
        <f>MSY!A389</f>
        <v>3.45</v>
      </c>
      <c r="V348" s="86">
        <f>MSY!B389</f>
        <v>0.14973171156530743</v>
      </c>
      <c r="W348" s="86">
        <f>MSY!C389</f>
        <v>0.77894365630374574</v>
      </c>
      <c r="X348" s="86">
        <f>MSY!D389</f>
        <v>1.2945394159626404</v>
      </c>
      <c r="Y348" s="86">
        <f>MSY!E389</f>
        <v>0.49882313964156622</v>
      </c>
      <c r="Z348" s="86">
        <f>MSY!F389</f>
        <v>0.64574621586024372</v>
      </c>
      <c r="AA348" s="86">
        <f>MSY!G389</f>
        <v>0.3885551202413155</v>
      </c>
      <c r="AB348">
        <f t="shared" si="17"/>
        <v>-6.3679133896710144E-3</v>
      </c>
      <c r="AC348">
        <f t="shared" si="18"/>
        <v>0.68805704033902981</v>
      </c>
      <c r="AF348">
        <f t="shared" si="16"/>
        <v>3.45</v>
      </c>
    </row>
    <row r="349" spans="21:32" x14ac:dyDescent="0.3">
      <c r="U349" s="86">
        <f>MSY!A390</f>
        <v>3.46</v>
      </c>
      <c r="V349" s="86">
        <f>MSY!B390</f>
        <v>0.14957283547175157</v>
      </c>
      <c r="W349" s="86">
        <f>MSY!C390</f>
        <v>0.77888001078184232</v>
      </c>
      <c r="X349" s="86">
        <f>MSY!D390</f>
        <v>1.2931658167216238</v>
      </c>
      <c r="Y349" s="86">
        <f>MSY!E390</f>
        <v>0.49410467356121535</v>
      </c>
      <c r="Z349" s="86">
        <f>MSY!F390</f>
        <v>0.63895927373176031</v>
      </c>
      <c r="AA349" s="86">
        <f>MSY!G390</f>
        <v>0.3848482534707181</v>
      </c>
      <c r="AB349">
        <f t="shared" si="17"/>
        <v>-6.3611571916255489E-3</v>
      </c>
      <c r="AC349">
        <f t="shared" si="18"/>
        <v>0.68805028414098435</v>
      </c>
      <c r="AF349">
        <f t="shared" si="16"/>
        <v>3.46</v>
      </c>
    </row>
    <row r="350" spans="21:32" x14ac:dyDescent="0.3">
      <c r="U350" s="86">
        <f>MSY!A391</f>
        <v>3.47</v>
      </c>
      <c r="V350" s="86">
        <f>MSY!B391</f>
        <v>0.14941466099926884</v>
      </c>
      <c r="W350" s="86">
        <f>MSY!C391</f>
        <v>0.77881643315991322</v>
      </c>
      <c r="X350" s="86">
        <f>MSY!D391</f>
        <v>1.2917982835044624</v>
      </c>
      <c r="Y350" s="86">
        <f>MSY!E391</f>
        <v>0.4893970768100957</v>
      </c>
      <c r="Z350" s="86">
        <f>MSY!F391</f>
        <v>0.63220230377538322</v>
      </c>
      <c r="AA350" s="86">
        <f>MSY!G391</f>
        <v>0.38115048576012683</v>
      </c>
      <c r="AB350">
        <f t="shared" si="17"/>
        <v>-6.3543342035787759E-3</v>
      </c>
      <c r="AC350">
        <f t="shared" si="18"/>
        <v>0.68804346115293757</v>
      </c>
      <c r="AF350">
        <f t="shared" si="16"/>
        <v>3.47</v>
      </c>
    </row>
    <row r="351" spans="21:32" x14ac:dyDescent="0.3">
      <c r="U351" s="86">
        <f>MSY!A392</f>
        <v>3.48</v>
      </c>
      <c r="V351" s="86">
        <f>MSY!B392</f>
        <v>0.14925718295199764</v>
      </c>
      <c r="W351" s="86">
        <f>MSY!C392</f>
        <v>0.77875292409777075</v>
      </c>
      <c r="X351" s="86">
        <f>MSY!D392</f>
        <v>1.290436771389158</v>
      </c>
      <c r="Y351" s="86">
        <f>MSY!E392</f>
        <v>0.48470029520204677</v>
      </c>
      <c r="Z351" s="86">
        <f>MSY!F392</f>
        <v>0.62547508403190111</v>
      </c>
      <c r="AA351" s="86">
        <f>MSY!G392</f>
        <v>0.37746177219964661</v>
      </c>
      <c r="AB351">
        <f t="shared" si="17"/>
        <v>-6.3474460283485749E-3</v>
      </c>
      <c r="AC351">
        <f t="shared" si="18"/>
        <v>0.68803657297770737</v>
      </c>
      <c r="AF351">
        <f t="shared" si="16"/>
        <v>3.48</v>
      </c>
    </row>
    <row r="352" spans="21:32" x14ac:dyDescent="0.3">
      <c r="U352" s="86">
        <f>MSY!A393</f>
        <v>3.49</v>
      </c>
      <c r="V352" s="86">
        <f>MSY!B393</f>
        <v>0.1491003961883437</v>
      </c>
      <c r="W352" s="86">
        <f>MSY!C393</f>
        <v>0.77868948423934625</v>
      </c>
      <c r="X352" s="86">
        <f>MSY!D393</f>
        <v>1.2890812359228938</v>
      </c>
      <c r="Y352" s="86">
        <f>MSY!E393</f>
        <v>0.48001427498657423</v>
      </c>
      <c r="Z352" s="86">
        <f>MSY!F393</f>
        <v>0.6187773948603249</v>
      </c>
      <c r="AA352" s="86">
        <f>MSY!G393</f>
        <v>0.3737820682168192</v>
      </c>
      <c r="AB352">
        <f t="shared" si="17"/>
        <v>-6.3404942397093881E-3</v>
      </c>
      <c r="AC352">
        <f t="shared" si="18"/>
        <v>0.68802962118906819</v>
      </c>
      <c r="AF352">
        <f t="shared" si="16"/>
        <v>3.49</v>
      </c>
    </row>
    <row r="353" spans="21:32" x14ac:dyDescent="0.3">
      <c r="U353" s="86">
        <f>MSY!A394</f>
        <v>3.5</v>
      </c>
      <c r="V353" s="86">
        <f>MSY!B394</f>
        <v>0.14894429562025088</v>
      </c>
      <c r="W353" s="86">
        <f>MSY!C394</f>
        <v>0.77862611421297656</v>
      </c>
      <c r="X353" s="86">
        <f>MSY!D394</f>
        <v>1.2877316331157278</v>
      </c>
      <c r="Y353" s="86">
        <f>MSY!E394</f>
        <v>0.47533896284406862</v>
      </c>
      <c r="Z353" s="86">
        <f>MSY!F394</f>
        <v>0.61210901890672875</v>
      </c>
      <c r="AA353" s="86">
        <f>MSY!G394</f>
        <v>0.37011132957330362</v>
      </c>
      <c r="AB353">
        <f t="shared" si="17"/>
        <v>-6.3334803830196428E-3</v>
      </c>
      <c r="AC353">
        <f t="shared" si="18"/>
        <v>0.68802260733237841</v>
      </c>
      <c r="AF353">
        <f t="shared" si="16"/>
        <v>3.5</v>
      </c>
    </row>
    <row r="354" spans="21:32" x14ac:dyDescent="0.3">
      <c r="U354" s="86">
        <f>MSY!A395</f>
        <v>3.51</v>
      </c>
      <c r="V354" s="86">
        <f>MSY!B395</f>
        <v>0.14878887621248327</v>
      </c>
      <c r="W354" s="86">
        <f>MSY!C395</f>
        <v>0.77856281463168586</v>
      </c>
      <c r="X354" s="86">
        <f>MSY!D395</f>
        <v>1.2863879194343877</v>
      </c>
      <c r="Y354" s="86">
        <f>MSY!E395</f>
        <v>0.47067430588107756</v>
      </c>
      <c r="Z354" s="86">
        <f>MSY!F395</f>
        <v>0.60546974107358398</v>
      </c>
      <c r="AA354" s="86">
        <f>MSY!G395</f>
        <v>0.36644951236158679</v>
      </c>
      <c r="AB354">
        <f t="shared" si="17"/>
        <v>-6.3264059757039918E-3</v>
      </c>
      <c r="AC354">
        <f t="shared" si="18"/>
        <v>0.68801553292506279</v>
      </c>
      <c r="AF354">
        <f t="shared" si="16"/>
        <v>3.51</v>
      </c>
    </row>
    <row r="355" spans="21:32" x14ac:dyDescent="0.3">
      <c r="U355" s="86">
        <f>MSY!A396</f>
        <v>3.52</v>
      </c>
      <c r="V355" s="86">
        <f>MSY!B396</f>
        <v>0.14863413298191944</v>
      </c>
      <c r="W355" s="86">
        <f>MSY!C396</f>
        <v>0.77849958609346248</v>
      </c>
      <c r="X355" s="86">
        <f>MSY!D396</f>
        <v>1.2850500517961694</v>
      </c>
      <c r="Y355" s="86">
        <f>MSY!E396</f>
        <v>0.46602025162565941</v>
      </c>
      <c r="Z355" s="86">
        <f>MSY!F396</f>
        <v>0.59885934848961753</v>
      </c>
      <c r="AA355" s="86">
        <f>MSY!G396</f>
        <v>0.36279657300174711</v>
      </c>
      <c r="AB355">
        <f t="shared" si="17"/>
        <v>-6.3192725079153026E-3</v>
      </c>
      <c r="AC355">
        <f t="shared" si="18"/>
        <v>0.6880083994572741</v>
      </c>
      <c r="AF355">
        <f t="shared" si="16"/>
        <v>3.52</v>
      </c>
    </row>
    <row r="356" spans="21:32" x14ac:dyDescent="0.3">
      <c r="U356" s="86">
        <f>MSY!A397</f>
        <v>3.53</v>
      </c>
      <c r="V356" s="86">
        <f>MSY!B397</f>
        <v>0.14848006099685779</v>
      </c>
      <c r="W356" s="86">
        <f>MSY!C397</f>
        <v>0.77843642918152756</v>
      </c>
      <c r="X356" s="86">
        <f>MSY!D397</f>
        <v>1.2837179875629297</v>
      </c>
      <c r="Y356" s="86">
        <f>MSY!E397</f>
        <v>0.46137674802277745</v>
      </c>
      <c r="Z356" s="86">
        <f>MSY!F397</f>
        <v>0.59227763048012882</v>
      </c>
      <c r="AA356" s="86">
        <f>MSY!G397</f>
        <v>0.35915246823823627</v>
      </c>
      <c r="AB356">
        <f t="shared" si="17"/>
        <v>-6.3120814429606879E-3</v>
      </c>
      <c r="AC356">
        <f t="shared" si="18"/>
        <v>0.68800120839231949</v>
      </c>
      <c r="AF356">
        <f t="shared" si="16"/>
        <v>3.53</v>
      </c>
    </row>
    <row r="357" spans="21:32" x14ac:dyDescent="0.3">
      <c r="U357" s="86">
        <f>MSY!A398</f>
        <v>3.54</v>
      </c>
      <c r="V357" s="86">
        <f>MSY!B398</f>
        <v>0.14832665537633319</v>
      </c>
      <c r="W357" s="86">
        <f>MSY!C398</f>
        <v>0.77837334446460327</v>
      </c>
      <c r="X357" s="86">
        <f>MSY!D398</f>
        <v>1.2823916845351795</v>
      </c>
      <c r="Y357" s="86">
        <f>MSY!E398</f>
        <v>0.4567437434297657</v>
      </c>
      <c r="Z357" s="86">
        <f>MSY!F398</f>
        <v>0.58572437853780113</v>
      </c>
      <c r="AA357" s="86">
        <f>MSY!G398</f>
        <v>0.3555171551367094</v>
      </c>
      <c r="AB357">
        <f t="shared" si="17"/>
        <v>-6.3048342178129105E-3</v>
      </c>
      <c r="AC357">
        <f t="shared" si="18"/>
        <v>0.68799396116717171</v>
      </c>
      <c r="AF357">
        <f t="shared" si="16"/>
        <v>3.54</v>
      </c>
    </row>
    <row r="358" spans="21:32" x14ac:dyDescent="0.3">
      <c r="U358" s="86">
        <f>MSY!A399</f>
        <v>3.55</v>
      </c>
      <c r="V358" s="86">
        <f>MSY!B399</f>
        <v>0.1481739112894446</v>
      </c>
      <c r="W358" s="86">
        <f>MSY!C399</f>
        <v>0.7783103324971713</v>
      </c>
      <c r="X358" s="86">
        <f>MSY!D399</f>
        <v>1.2810711009462696</v>
      </c>
      <c r="Y358" s="86">
        <f>MSY!E399</f>
        <v>0.45212118661185019</v>
      </c>
      <c r="Z358" s="86">
        <f>MSY!F399</f>
        <v>0.57919938629397671</v>
      </c>
      <c r="AA358" s="86">
        <f>MSY!G399</f>
        <v>0.35189059108088477</v>
      </c>
      <c r="AB358">
        <f t="shared" si="17"/>
        <v>-6.2975322436709062E-3</v>
      </c>
      <c r="AC358">
        <f t="shared" si="18"/>
        <v>0.6879866591930297</v>
      </c>
      <c r="AF358">
        <f t="shared" si="16"/>
        <v>3.55</v>
      </c>
    </row>
    <row r="359" spans="21:32" x14ac:dyDescent="0.3">
      <c r="U359" s="86">
        <f>MSY!A400</f>
        <v>3.56</v>
      </c>
      <c r="V359" s="86">
        <f>MSY!B400</f>
        <v>0.1480218239546934</v>
      </c>
      <c r="W359" s="86">
        <f>MSY!C400</f>
        <v>0.77824739381972985</v>
      </c>
      <c r="X359" s="86">
        <f>MSY!D400</f>
        <v>1.2797561954566716</v>
      </c>
      <c r="Y359" s="86">
        <f>MSY!E400</f>
        <v>0.44750902673773357</v>
      </c>
      <c r="Z359" s="86">
        <f>MSY!F400</f>
        <v>0.57270244949039983</v>
      </c>
      <c r="AA359" s="86">
        <f>MSY!G400</f>
        <v>0.34827273376944495</v>
      </c>
      <c r="AB359">
        <f t="shared" si="17"/>
        <v>-6.2901769063983207E-3</v>
      </c>
      <c r="AC359">
        <f t="shared" si="18"/>
        <v>0.68797930385575712</v>
      </c>
      <c r="AF359">
        <f t="shared" si="16"/>
        <v>3.56</v>
      </c>
    </row>
    <row r="360" spans="21:32" x14ac:dyDescent="0.3">
      <c r="U360" s="86">
        <f>MSY!A401</f>
        <v>3.57</v>
      </c>
      <c r="V360" s="86">
        <f>MSY!B401</f>
        <v>0.14787038863933233</v>
      </c>
      <c r="W360" s="86">
        <f>MSY!C401</f>
        <v>0.77818452895904333</v>
      </c>
      <c r="X360" s="86">
        <f>MSY!D401</f>
        <v>1.2784469271483472</v>
      </c>
      <c r="Y360" s="86">
        <f>MSY!E401</f>
        <v>0.44290721337522371</v>
      </c>
      <c r="Z360" s="86">
        <f>MSY!F401</f>
        <v>0.56623336595139206</v>
      </c>
      <c r="AA360" s="86">
        <f>MSY!G401</f>
        <v>0.34466354121296094</v>
      </c>
      <c r="AB360">
        <f t="shared" si="17"/>
        <v>-6.2827695670897247E-3</v>
      </c>
      <c r="AC360">
        <f t="shared" si="18"/>
        <v>0.68797189651644852</v>
      </c>
      <c r="AF360">
        <f t="shared" si="16"/>
        <v>3.57</v>
      </c>
    </row>
    <row r="361" spans="21:32" x14ac:dyDescent="0.3">
      <c r="U361" s="86">
        <f>MSY!A402</f>
        <v>3.58</v>
      </c>
      <c r="V361" s="86">
        <f>MSY!B402</f>
        <v>0.14771960065872483</v>
      </c>
      <c r="W361" s="86">
        <f>MSY!C402</f>
        <v>0.77812173842838805</v>
      </c>
      <c r="X361" s="86">
        <f>MSY!D402</f>
        <v>1.2771432555192102</v>
      </c>
      <c r="Y361" s="86">
        <f>MSY!E402</f>
        <v>0.43831569648693181</v>
      </c>
      <c r="Z361" s="86">
        <f>MSY!F402</f>
        <v>0.55979193555649009</v>
      </c>
      <c r="AA361" s="86">
        <f>MSY!G402</f>
        <v>0.34106297173086109</v>
      </c>
      <c r="AB361">
        <f t="shared" si="17"/>
        <v>-6.2753115624591908E-3</v>
      </c>
      <c r="AC361">
        <f t="shared" si="18"/>
        <v>0.68796443851181799</v>
      </c>
      <c r="AF361">
        <f t="shared" si="16"/>
        <v>3.58</v>
      </c>
    </row>
    <row r="362" spans="21:32" x14ac:dyDescent="0.3">
      <c r="U362" s="86">
        <f>MSY!A403</f>
        <v>3.59</v>
      </c>
      <c r="V362" s="86">
        <f>MSY!B403</f>
        <v>0.14756945537571431</v>
      </c>
      <c r="W362" s="86">
        <f>MSY!C403</f>
        <v>0.77805902272779415</v>
      </c>
      <c r="X362" s="86">
        <f>MSY!D403</f>
        <v>1.2758451404776734</v>
      </c>
      <c r="Y362" s="86">
        <f>MSY!E403</f>
        <v>0.43373442642601795</v>
      </c>
      <c r="Z362" s="86">
        <f>MSY!F403</f>
        <v>0.55337796021350594</v>
      </c>
      <c r="AA362" s="86">
        <f>MSY!G403</f>
        <v>0.33747098394842784</v>
      </c>
      <c r="AB362">
        <f t="shared" si="17"/>
        <v>-6.2678042053010367E-3</v>
      </c>
      <c r="AC362">
        <f t="shared" si="18"/>
        <v>0.68795693115465983</v>
      </c>
      <c r="AF362">
        <f t="shared" si="16"/>
        <v>3.59</v>
      </c>
    </row>
    <row r="363" spans="21:32" x14ac:dyDescent="0.3">
      <c r="U363" s="86">
        <f>MSY!A404</f>
        <v>3.6</v>
      </c>
      <c r="V363" s="86">
        <f>MSY!B404</f>
        <v>0.14741994820000395</v>
      </c>
      <c r="W363" s="86">
        <f>MSY!C404</f>
        <v>0.77799638234428203</v>
      </c>
      <c r="X363" s="86">
        <f>MSY!D404</f>
        <v>1.2745525423372861</v>
      </c>
      <c r="Y363" s="86">
        <f>MSY!E404</f>
        <v>0.42916335393199645</v>
      </c>
      <c r="Z363" s="86">
        <f>MSY!F404</f>
        <v>0.54699124383202258</v>
      </c>
      <c r="AA363" s="86">
        <f>MSY!G404</f>
        <v>0.33388753679383193</v>
      </c>
      <c r="AB363">
        <f t="shared" si="17"/>
        <v>-6.2602487850282832E-3</v>
      </c>
      <c r="AC363">
        <f t="shared" si="18"/>
        <v>0.68794937573438708</v>
      </c>
      <c r="AF363">
        <f t="shared" si="16"/>
        <v>3.6</v>
      </c>
    </row>
    <row r="364" spans="21:32" x14ac:dyDescent="0.3">
      <c r="U364" s="86">
        <f>MSY!A405</f>
        <v>3.61</v>
      </c>
      <c r="V364" s="86">
        <f>MSY!B405</f>
        <v>0.14727107458754574</v>
      </c>
      <c r="W364" s="86">
        <f>MSY!C405</f>
        <v>0.77793381775209358</v>
      </c>
      <c r="X364" s="86">
        <f>MSY!D405</f>
        <v>1.2732654218114525</v>
      </c>
      <c r="Y364" s="86">
        <f>MSY!E405</f>
        <v>0.4246024301265956</v>
      </c>
      <c r="Z364" s="86">
        <f>MSY!F405</f>
        <v>0.54063159229730751</v>
      </c>
      <c r="AA364" s="86">
        <f>MSY!G405</f>
        <v>0.33031258949519909</v>
      </c>
      <c r="AB364">
        <f t="shared" si="17"/>
        <v>-6.2526465680334768E-3</v>
      </c>
      <c r="AC364">
        <f t="shared" si="18"/>
        <v>0.68794177351739227</v>
      </c>
      <c r="AF364">
        <f t="shared" si="16"/>
        <v>3.61</v>
      </c>
    </row>
    <row r="365" spans="21:32" x14ac:dyDescent="0.3">
      <c r="U365" s="86">
        <f>MSY!A406</f>
        <v>3.62</v>
      </c>
      <c r="V365" s="86">
        <f>MSY!B406</f>
        <v>0.1471228300399392</v>
      </c>
      <c r="W365" s="86">
        <f>MSY!C406</f>
        <v>0.77787132941292136</v>
      </c>
      <c r="X365" s="86">
        <f>MSY!D406</f>
        <v>1.2719837400082328</v>
      </c>
      <c r="Y365" s="86">
        <f>MSY!E406</f>
        <v>0.42005160650965445</v>
      </c>
      <c r="Z365" s="86">
        <f>MSY!F406</f>
        <v>0.53429881344461683</v>
      </c>
      <c r="AA365" s="86">
        <f>MSY!G406</f>
        <v>0.32674610157769823</v>
      </c>
      <c r="AB365">
        <f t="shared" si="17"/>
        <v>-6.2449987981827385E-3</v>
      </c>
      <c r="AC365">
        <f t="shared" si="18"/>
        <v>0.68793412574754154</v>
      </c>
      <c r="AF365">
        <f t="shared" si="16"/>
        <v>3.62</v>
      </c>
    </row>
    <row r="366" spans="21:32" x14ac:dyDescent="0.3">
      <c r="U366" s="86">
        <f>MSY!A407</f>
        <v>3.63</v>
      </c>
      <c r="V366" s="86">
        <f>MSY!B407</f>
        <v>0.14697521010383996</v>
      </c>
      <c r="W366" s="86">
        <f>MSY!C407</f>
        <v>0.77780891777612993</v>
      </c>
      <c r="X366" s="86">
        <f>MSY!D407</f>
        <v>1.2707074584252294</v>
      </c>
      <c r="Y366" s="86">
        <f>MSY!E407</f>
        <v>0.41551083495509478</v>
      </c>
      <c r="Z366" s="86">
        <f>MSY!F407</f>
        <v>0.52799271703393347</v>
      </c>
      <c r="AA366" s="86">
        <f>MSY!G407</f>
        <v>0.32318803286067843</v>
      </c>
      <c r="AB366">
        <f t="shared" si="17"/>
        <v>-6.237306697176587E-3</v>
      </c>
      <c r="AC366">
        <f t="shared" si="18"/>
        <v>0.68792643364653538</v>
      </c>
      <c r="AF366">
        <f t="shared" si="16"/>
        <v>3.63</v>
      </c>
    </row>
    <row r="367" spans="21:32" x14ac:dyDescent="0.3">
      <c r="U367" s="86">
        <f>MSY!A408</f>
        <v>3.64</v>
      </c>
      <c r="V367" s="86">
        <f>MSY!B408</f>
        <v>0.14682821037037719</v>
      </c>
      <c r="W367" s="86">
        <f>MSY!C408</f>
        <v>0.77774658327897783</v>
      </c>
      <c r="X367" s="86">
        <f>MSY!D408</f>
        <v>1.2694365389445519</v>
      </c>
      <c r="Y367" s="86">
        <f>MSY!E408</f>
        <v>0.41098006770693224</v>
      </c>
      <c r="Z367" s="86">
        <f>MSY!F408</f>
        <v>0.52171311472508564</v>
      </c>
      <c r="AA367" s="86">
        <f>MSY!G408</f>
        <v>0.3196383434548295</v>
      </c>
      <c r="AB367">
        <f t="shared" si="17"/>
        <v>-6.2295714650051296E-3</v>
      </c>
      <c r="AC367">
        <f t="shared" si="18"/>
        <v>0.68791869841436393</v>
      </c>
      <c r="AF367">
        <f t="shared" si="16"/>
        <v>3.64</v>
      </c>
    </row>
    <row r="368" spans="21:32" x14ac:dyDescent="0.3">
      <c r="U368" s="86">
        <f>MSY!A409</f>
        <v>3.65</v>
      </c>
      <c r="V368" s="86">
        <f>MSY!B409</f>
        <v>0.14668182647458036</v>
      </c>
      <c r="W368" s="86">
        <f>MSY!C409</f>
        <v>0.77768432634682982</v>
      </c>
      <c r="X368" s="86">
        <f>MSY!D409</f>
        <v>1.2681709438278588</v>
      </c>
      <c r="Y368" s="86">
        <f>MSY!E409</f>
        <v>0.40645925737533523</v>
      </c>
      <c r="Z368" s="86">
        <f>MSY!F409</f>
        <v>0.51545982005324942</v>
      </c>
      <c r="AA368" s="86">
        <f>MSY!G409</f>
        <v>0.31609699375937028</v>
      </c>
      <c r="AB368">
        <f t="shared" si="17"/>
        <v>-6.2217942804532137E-3</v>
      </c>
      <c r="AC368">
        <f t="shared" si="18"/>
        <v>0.68791092122981201</v>
      </c>
      <c r="AF368">
        <f t="shared" si="16"/>
        <v>3.65</v>
      </c>
    </row>
    <row r="369" spans="21:32" x14ac:dyDescent="0.3">
      <c r="U369" s="86">
        <f>MSY!A410</f>
        <v>3.66</v>
      </c>
      <c r="V369" s="86">
        <f>MSY!B410</f>
        <v>0.14653605409481477</v>
      </c>
      <c r="W369" s="86">
        <f>MSY!C410</f>
        <v>0.77762214739336877</v>
      </c>
      <c r="X369" s="86">
        <f>MSY!D410</f>
        <v>1.2669106357114785</v>
      </c>
      <c r="Y369" s="86">
        <f>MSY!E410</f>
        <v>0.40194835693274178</v>
      </c>
      <c r="Z369" s="86">
        <f>MSY!F410</f>
        <v>0.50923264840484417</v>
      </c>
      <c r="AA369" s="86">
        <f>MSY!G410</f>
        <v>0.31256394445927493</v>
      </c>
      <c r="AB369">
        <f t="shared" si="17"/>
        <v>-6.2139763012614094E-3</v>
      </c>
      <c r="AC369">
        <f t="shared" si="18"/>
        <v>0.68790310325062021</v>
      </c>
      <c r="AF369">
        <f t="shared" si="16"/>
        <v>3.66</v>
      </c>
    </row>
    <row r="370" spans="21:32" x14ac:dyDescent="0.3">
      <c r="U370" s="86">
        <f>MSY!A411</f>
        <v>3.67</v>
      </c>
      <c r="V370" s="86">
        <f>MSY!B411</f>
        <v>0.14639088895222585</v>
      </c>
      <c r="W370" s="86">
        <f>MSY!C411</f>
        <v>0.7775600468208046</v>
      </c>
      <c r="X370" s="86">
        <f>MSY!D411</f>
        <v>1.2656555776016056</v>
      </c>
      <c r="Y370" s="86">
        <f>MSY!E411</f>
        <v>0.39744731971001696</v>
      </c>
      <c r="Z370" s="86">
        <f>MSY!F411</f>
        <v>0.5030314169937915</v>
      </c>
      <c r="AA370" s="86">
        <f>MSY!G411</f>
        <v>0.30903915652252406</v>
      </c>
      <c r="AB370">
        <f t="shared" si="17"/>
        <v>-6.2061186646922232E-3</v>
      </c>
      <c r="AC370">
        <f t="shared" si="18"/>
        <v>0.68789524561405102</v>
      </c>
      <c r="AF370">
        <f t="shared" si="16"/>
        <v>3.67</v>
      </c>
    </row>
    <row r="371" spans="21:32" x14ac:dyDescent="0.3">
      <c r="U371" s="86">
        <f>MSY!A412</f>
        <v>3.68</v>
      </c>
      <c r="V371" s="86">
        <f>MSY!B412</f>
        <v>0.14624632681019237</v>
      </c>
      <c r="W371" s="86">
        <f>MSY!C412</f>
        <v>0.77749802502007492</v>
      </c>
      <c r="X371" s="86">
        <f>MSY!D412</f>
        <v>1.2644057328695717</v>
      </c>
      <c r="Y371" s="86">
        <f>MSY!E412</f>
        <v>0.39295609939266685</v>
      </c>
      <c r="Z371" s="86">
        <f>MSY!F412</f>
        <v>0.49685594483815315</v>
      </c>
      <c r="AA371" s="86">
        <f>MSY!G412</f>
        <v>0.30552259119739072</v>
      </c>
      <c r="AB371">
        <f t="shared" si="17"/>
        <v>-6.1982224879353291E-3</v>
      </c>
      <c r="AC371">
        <f t="shared" si="18"/>
        <v>0.68788734943729413</v>
      </c>
      <c r="AF371">
        <f t="shared" si="16"/>
        <v>3.68</v>
      </c>
    </row>
    <row r="372" spans="21:32" x14ac:dyDescent="0.3">
      <c r="U372" s="86">
        <f>MSY!A413</f>
        <v>3.69</v>
      </c>
      <c r="V372" s="86">
        <f>MSY!B413</f>
        <v>0.14610236347378761</v>
      </c>
      <c r="W372" s="86">
        <f>MSY!C413</f>
        <v>0.77743608237104589</v>
      </c>
      <c r="X372" s="86">
        <f>MSY!D413</f>
        <v>1.2631610652471879</v>
      </c>
      <c r="Y372" s="86">
        <f>MSY!E413</f>
        <v>0.38847465001709208</v>
      </c>
      <c r="Z372" s="86">
        <f>MSY!F413</f>
        <v>0.49070605273711848</v>
      </c>
      <c r="AA372" s="86">
        <f>MSY!G413</f>
        <v>0.30201421000975121</v>
      </c>
      <c r="AB372">
        <f t="shared" si="17"/>
        <v>-6.1902888683906757E-3</v>
      </c>
      <c r="AC372">
        <f t="shared" si="18"/>
        <v>0.68787941581774947</v>
      </c>
      <c r="AF372">
        <f t="shared" si="16"/>
        <v>3.69</v>
      </c>
    </row>
    <row r="373" spans="21:32" x14ac:dyDescent="0.3">
      <c r="U373" s="86">
        <f>MSY!A414</f>
        <v>3.7</v>
      </c>
      <c r="V373" s="86">
        <f>MSY!B414</f>
        <v>0.14595899478924926</v>
      </c>
      <c r="W373" s="86">
        <f>MSY!C414</f>
        <v>0.77737421924270711</v>
      </c>
      <c r="X373" s="86">
        <f>MSY!D414</f>
        <v>1.2619215388221616</v>
      </c>
      <c r="Y373" s="86">
        <f>MSY!E414</f>
        <v>0.38400292596689461</v>
      </c>
      <c r="Z373" s="86">
        <f>MSY!F414</f>
        <v>0.48458156324835627</v>
      </c>
      <c r="AA373" s="86">
        <f>MSY!G414</f>
        <v>0.29851397476042973</v>
      </c>
      <c r="AB373">
        <f t="shared" si="17"/>
        <v>-6.1823188840848201E-3</v>
      </c>
      <c r="AC373">
        <f t="shared" si="18"/>
        <v>0.68787144583344362</v>
      </c>
      <c r="AF373">
        <f t="shared" si="16"/>
        <v>3.7</v>
      </c>
    </row>
    <row r="374" spans="21:32" x14ac:dyDescent="0.3">
      <c r="U374" s="86">
        <f>MSY!A415</f>
        <v>3.71</v>
      </c>
      <c r="V374" s="86">
        <f>MSY!B415</f>
        <v>0.14581621664345734</v>
      </c>
      <c r="W374" s="86">
        <f>MSY!C415</f>
        <v>0.77731243599336419</v>
      </c>
      <c r="X374" s="86">
        <f>MSY!D415</f>
        <v>1.2606871180335828</v>
      </c>
      <c r="Y374" s="86">
        <f>MSY!E415</f>
        <v>0.37954088196922958</v>
      </c>
      <c r="Z374" s="86">
        <f>MSY!F415</f>
        <v>0.47848230066571223</v>
      </c>
      <c r="AA374" s="86">
        <f>MSY!G415</f>
        <v>0.29502184752257177</v>
      </c>
      <c r="AB374">
        <f t="shared" si="17"/>
        <v>-6.1743135939762387E-3</v>
      </c>
      <c r="AC374">
        <f t="shared" si="18"/>
        <v>0.68786344054333504</v>
      </c>
      <c r="AF374">
        <f t="shared" si="16"/>
        <v>3.71</v>
      </c>
    </row>
    <row r="375" spans="21:32" x14ac:dyDescent="0.3">
      <c r="U375" s="86">
        <f>MSY!A416</f>
        <v>3.72</v>
      </c>
      <c r="V375" s="86">
        <f>MSY!B416</f>
        <v>0.14567402496341983</v>
      </c>
      <c r="W375" s="86">
        <f>MSY!C416</f>
        <v>0.77725073297082758</v>
      </c>
      <c r="X375" s="86">
        <f>MSY!D416</f>
        <v>1.2594577676674767</v>
      </c>
      <c r="Y375" s="86">
        <f>MSY!E416</f>
        <v>0.37508847309119497</v>
      </c>
      <c r="Z375" s="86">
        <f>MSY!F416</f>
        <v>0.47240809099723885</v>
      </c>
      <c r="AA375" s="86">
        <f>MSY!G416</f>
        <v>0.29153779063903984</v>
      </c>
      <c r="AB375">
        <f t="shared" si="17"/>
        <v>-6.1662740383827633E-3</v>
      </c>
      <c r="AC375">
        <f t="shared" si="18"/>
        <v>0.68785540098774156</v>
      </c>
      <c r="AF375">
        <f t="shared" si="16"/>
        <v>3.72</v>
      </c>
    </row>
    <row r="376" spans="21:32" x14ac:dyDescent="0.3">
      <c r="U376" s="86">
        <f>MSY!A417</f>
        <v>3.73</v>
      </c>
      <c r="V376" s="86">
        <f>MSY!B417</f>
        <v>0.14553241571576672</v>
      </c>
      <c r="W376" s="86">
        <f>MSY!C417</f>
        <v>0.77718911051259654</v>
      </c>
      <c r="X376" s="86">
        <f>MSY!D417</f>
        <v>1.2582334528524297</v>
      </c>
      <c r="Y376" s="86">
        <f>MSY!E417</f>
        <v>0.37064565473627864</v>
      </c>
      <c r="Z376" s="86">
        <f>MSY!F417</f>
        <v>0.46635876194357734</v>
      </c>
      <c r="AA376" s="86">
        <f>MSY!G417</f>
        <v>0.28806176671984735</v>
      </c>
      <c r="AB376">
        <f t="shared" si="17"/>
        <v>-6.1582012392702393E-3</v>
      </c>
      <c r="AC376">
        <f t="shared" si="18"/>
        <v>0.68784732818862904</v>
      </c>
      <c r="AF376">
        <f t="shared" si="16"/>
        <v>3.73</v>
      </c>
    </row>
    <row r="377" spans="21:32" x14ac:dyDescent="0.3">
      <c r="U377" s="86">
        <f>MSY!A418</f>
        <v>3.74</v>
      </c>
      <c r="V377" s="86">
        <f>MSY!B418</f>
        <v>0.14539138490625131</v>
      </c>
      <c r="W377" s="86">
        <f>MSY!C418</f>
        <v>0.77712756894604218</v>
      </c>
      <c r="X377" s="86">
        <f>MSY!D418</f>
        <v>1.2570141390552771</v>
      </c>
      <c r="Y377" s="86">
        <f>MSY!E418</f>
        <v>0.36621238264084049</v>
      </c>
      <c r="Z377" s="86">
        <f>MSY!F418</f>
        <v>0.4603341428766578</v>
      </c>
      <c r="AA377" s="86">
        <f>MSY!G418</f>
        <v>0.28459373863961412</v>
      </c>
      <c r="AB377">
        <f t="shared" si="17"/>
        <v>-6.1500962006522056E-3</v>
      </c>
      <c r="AC377">
        <f t="shared" si="18"/>
        <v>0.687839223150011</v>
      </c>
      <c r="AF377">
        <f t="shared" si="16"/>
        <v>3.74</v>
      </c>
    </row>
    <row r="378" spans="21:32" x14ac:dyDescent="0.3">
      <c r="U378" s="86">
        <f>MSY!A419</f>
        <v>3.75</v>
      </c>
      <c r="V378" s="86">
        <f>MSY!B419</f>
        <v>0.1452509285792592</v>
      </c>
      <c r="W378" s="86">
        <f>MSY!C419</f>
        <v>0.77706610858858349</v>
      </c>
      <c r="X378" s="86">
        <f>MSY!D419</f>
        <v>1.2557997920768595</v>
      </c>
      <c r="Y378" s="86">
        <f>MSY!E419</f>
        <v>0.36178861287063951</v>
      </c>
      <c r="Z378" s="86">
        <f>MSY!F419</f>
        <v>0.45433406481872457</v>
      </c>
      <c r="AA378" s="86">
        <f>MSY!G419</f>
        <v>0.28113366953504937</v>
      </c>
      <c r="AB378">
        <f t="shared" si="17"/>
        <v>-6.1419599088564846E-3</v>
      </c>
      <c r="AC378">
        <f t="shared" si="18"/>
        <v>0.68783108685821526</v>
      </c>
      <c r="AF378">
        <f t="shared" si="16"/>
        <v>3.75</v>
      </c>
    </row>
    <row r="379" spans="21:32" x14ac:dyDescent="0.3">
      <c r="U379" s="86">
        <f>MSY!A420</f>
        <v>3.76</v>
      </c>
      <c r="V379" s="86">
        <f>MSY!B420</f>
        <v>0.14511104281732484</v>
      </c>
      <c r="W379" s="86">
        <f>MSY!C420</f>
        <v>0.77700472974786505</v>
      </c>
      <c r="X379" s="86">
        <f>MSY!D420</f>
        <v>1.2545903780478413</v>
      </c>
      <c r="Y379" s="86">
        <f>MSY!E420</f>
        <v>0.35737430181740265</v>
      </c>
      <c r="Z379" s="86">
        <f>MSY!F420</f>
        <v>0.44835836042167854</v>
      </c>
      <c r="AA379" s="86">
        <f>MSY!G420</f>
        <v>0.27768152280246289</v>
      </c>
      <c r="AB379">
        <f t="shared" si="17"/>
        <v>-6.1337933328187103E-3</v>
      </c>
      <c r="AC379">
        <f t="shared" si="18"/>
        <v>0.68782292028217751</v>
      </c>
      <c r="AF379">
        <f t="shared" si="16"/>
        <v>3.76</v>
      </c>
    </row>
    <row r="380" spans="21:32" x14ac:dyDescent="0.3">
      <c r="U380" s="86">
        <f>MSY!A421</f>
        <v>3.77</v>
      </c>
      <c r="V380" s="86">
        <f>MSY!B421</f>
        <v>0.14497172374065562</v>
      </c>
      <c r="W380" s="86">
        <f>MSY!C421</f>
        <v>0.77694343272192712</v>
      </c>
      <c r="X380" s="86">
        <f>MSY!D421</f>
        <v>1.2533858634245969</v>
      </c>
      <c r="Y380" s="86">
        <f>MSY!E421</f>
        <v>0.35296940619545059</v>
      </c>
      <c r="Z380" s="86">
        <f>MSY!F421</f>
        <v>0.4424068639467521</v>
      </c>
      <c r="AA380" s="86">
        <f>MSY!G421</f>
        <v>0.27423726209531363</v>
      </c>
      <c r="AB380">
        <f t="shared" si="17"/>
        <v>-6.1255974245888415E-3</v>
      </c>
      <c r="AC380">
        <f t="shared" si="18"/>
        <v>0.68781472437394764</v>
      </c>
      <c r="AF380">
        <f t="shared" si="16"/>
        <v>3.77</v>
      </c>
    </row>
    <row r="381" spans="21:32" x14ac:dyDescent="0.3">
      <c r="U381" s="86">
        <f>MSY!A422</f>
        <v>3.78</v>
      </c>
      <c r="V381" s="86">
        <f>MSY!B422</f>
        <v>0.14483296750666214</v>
      </c>
      <c r="W381" s="86">
        <f>MSY!C422</f>
        <v>0.77688221779937328</v>
      </c>
      <c r="X381" s="86">
        <f>MSY!D422</f>
        <v>1.2521862149851497</v>
      </c>
      <c r="Y381" s="86">
        <f>MSY!E422</f>
        <v>0.34857388303833081</v>
      </c>
      <c r="Z381" s="86">
        <f>MSY!F422</f>
        <v>0.43647941124444373</v>
      </c>
      <c r="AA381" s="86">
        <f>MSY!G422</f>
        <v>0.2708008513217578</v>
      </c>
      <c r="AB381">
        <f t="shared" si="17"/>
        <v>-6.117373119418618E-3</v>
      </c>
      <c r="AC381">
        <f t="shared" si="18"/>
        <v>0.68780650006877742</v>
      </c>
      <c r="AF381">
        <f t="shared" si="16"/>
        <v>3.78</v>
      </c>
    </row>
    <row r="382" spans="21:32" x14ac:dyDescent="0.3">
      <c r="U382" s="86">
        <f>MSY!A423</f>
        <v>3.79</v>
      </c>
      <c r="V382" s="86">
        <f>MSY!B423</f>
        <v>0.14469477030949707</v>
      </c>
      <c r="W382" s="86">
        <f>MSY!C423</f>
        <v>0.77682108525953875</v>
      </c>
      <c r="X382" s="86">
        <f>MSY!D423</f>
        <v>1.2509913998251847</v>
      </c>
      <c r="Y382" s="86">
        <f>MSY!E423</f>
        <v>0.34418768969553409</v>
      </c>
      <c r="Z382" s="86">
        <f>MSY!F423</f>
        <v>0.4305758397348125</v>
      </c>
      <c r="AA382" s="86">
        <f>MSY!G423</f>
        <v>0.26737225464225817</v>
      </c>
      <c r="AB382">
        <f t="shared" si="17"/>
        <v>-6.1091213361064104E-3</v>
      </c>
      <c r="AC382">
        <f t="shared" si="18"/>
        <v>0.68779824828546521</v>
      </c>
      <c r="AF382">
        <f t="shared" si="16"/>
        <v>3.79</v>
      </c>
    </row>
    <row r="383" spans="21:32" x14ac:dyDescent="0.3">
      <c r="U383" s="86">
        <f>MSY!A424</f>
        <v>3.8</v>
      </c>
      <c r="V383" s="86">
        <f>MSY!B424</f>
        <v>0.14455712837959972</v>
      </c>
      <c r="W383" s="86">
        <f>MSY!C424</f>
        <v>0.77676003537265115</v>
      </c>
      <c r="X383" s="86">
        <f>MSY!D424</f>
        <v>1.2498013853541114</v>
      </c>
      <c r="Y383" s="86">
        <f>MSY!E424</f>
        <v>0.33981078382922342</v>
      </c>
      <c r="Z383" s="86">
        <f>MSY!F424</f>
        <v>0.42469598838802991</v>
      </c>
      <c r="AA383" s="86">
        <f>MSY!G424</f>
        <v>0.26395143646719588</v>
      </c>
      <c r="AB383">
        <f t="shared" si="17"/>
        <v>-6.1008429774578269E-3</v>
      </c>
      <c r="AC383">
        <f t="shared" si="18"/>
        <v>0.68778996992681662</v>
      </c>
      <c r="AF383">
        <f t="shared" si="16"/>
        <v>3.8</v>
      </c>
    </row>
    <row r="384" spans="21:32" x14ac:dyDescent="0.3">
      <c r="U384" s="86">
        <f>MSY!A425</f>
        <v>3.81</v>
      </c>
      <c r="V384" s="86">
        <f>MSY!B425</f>
        <v>0.14442003798324779</v>
      </c>
      <c r="W384" s="86">
        <f>MSY!C425</f>
        <v>0.77669906839998959</v>
      </c>
      <c r="X384" s="86">
        <f>MSY!D425</f>
        <v>1.2486161392911883</v>
      </c>
      <c r="Y384" s="86">
        <f>MSY!E425</f>
        <v>0.33544312341100457</v>
      </c>
      <c r="Z384" s="86">
        <f>MSY!F425</f>
        <v>0.41883969770522617</v>
      </c>
      <c r="AA384" s="86">
        <f>MSY!G425</f>
        <v>0.26053836145450998</v>
      </c>
      <c r="AB384">
        <f t="shared" si="17"/>
        <v>-6.0925389304466952E-3</v>
      </c>
      <c r="AC384">
        <f t="shared" si="18"/>
        <v>0.68778166587980549</v>
      </c>
      <c r="AF384">
        <f t="shared" si="16"/>
        <v>3.81</v>
      </c>
    </row>
    <row r="385" spans="21:32" x14ac:dyDescent="0.3">
      <c r="U385" s="86">
        <f>MSY!A426</f>
        <v>3.82</v>
      </c>
      <c r="V385" s="86">
        <f>MSY!B426</f>
        <v>0.14428349542211596</v>
      </c>
      <c r="W385" s="86">
        <f>MSY!C426</f>
        <v>0.77663818459404221</v>
      </c>
      <c r="X385" s="86">
        <f>MSY!D426</f>
        <v>1.2474356296617064</v>
      </c>
      <c r="Y385" s="86">
        <f>MSY!E426</f>
        <v>0.33108466671874842</v>
      </c>
      <c r="Z385" s="86">
        <f>MSY!F426</f>
        <v>0.4130068096996381</v>
      </c>
      <c r="AA385" s="86">
        <f>MSY!G426</f>
        <v>0.25713299450737226</v>
      </c>
      <c r="AB385">
        <f t="shared" si="17"/>
        <v>-6.084210066475965E-3</v>
      </c>
      <c r="AC385">
        <f t="shared" si="18"/>
        <v>0.68777333701583476</v>
      </c>
      <c r="AF385">
        <f t="shared" si="16"/>
        <v>3.82</v>
      </c>
    </row>
    <row r="386" spans="21:32" x14ac:dyDescent="0.3">
      <c r="U386" s="86">
        <f>MSY!A427</f>
        <v>3.83</v>
      </c>
      <c r="V386" s="86">
        <f>MSY!B427</f>
        <v>0.14414749703284099</v>
      </c>
      <c r="W386" s="86">
        <f>MSY!C427</f>
        <v>0.77657738419866007</v>
      </c>
      <c r="X386" s="86">
        <f>MSY!D427</f>
        <v>1.2462598247932295</v>
      </c>
      <c r="Y386" s="86">
        <f>MSY!E427</f>
        <v>0.32673537233344457</v>
      </c>
      <c r="Z386" s="86">
        <f>MSY!F427</f>
        <v>0.40719716787802929</v>
      </c>
      <c r="AA386" s="86">
        <f>MSY!G427</f>
        <v>0.25373530077188161</v>
      </c>
      <c r="AB386">
        <f t="shared" si="17"/>
        <v>-6.0758572417274285E-3</v>
      </c>
      <c r="AC386">
        <f t="shared" si="18"/>
        <v>0.68776498419108623</v>
      </c>
      <c r="AF386">
        <f t="shared" ref="AF386:AF449" si="19">U386</f>
        <v>3.83</v>
      </c>
    </row>
    <row r="387" spans="21:32" x14ac:dyDescent="0.3">
      <c r="U387" s="86">
        <f>MSY!A428</f>
        <v>3.84</v>
      </c>
      <c r="V387" s="86">
        <f>MSY!B428</f>
        <v>0.14401203918659311</v>
      </c>
      <c r="W387" s="86">
        <f>MSY!C428</f>
        <v>0.77651666744920766</v>
      </c>
      <c r="X387" s="86">
        <f>MSY!D428</f>
        <v>1.2450886933118879</v>
      </c>
      <c r="Y387" s="86">
        <f>MSY!E428</f>
        <v>0.32239519913608594</v>
      </c>
      <c r="Z387" s="86">
        <f>MSY!F428</f>
        <v>0.40141061722237509</v>
      </c>
      <c r="AA387" s="86">
        <f>MSY!G428</f>
        <v>0.25034524563477711</v>
      </c>
      <c r="AB387">
        <f t="shared" si="17"/>
        <v>-6.0674812974281737E-3</v>
      </c>
      <c r="AC387">
        <f t="shared" si="18"/>
        <v>0.68775660824678697</v>
      </c>
      <c r="AF387">
        <f t="shared" si="19"/>
        <v>3.84</v>
      </c>
    </row>
    <row r="388" spans="21:32" x14ac:dyDescent="0.3">
      <c r="U388" s="86">
        <f>MSY!A429</f>
        <v>3.85</v>
      </c>
      <c r="V388" s="86">
        <f>MSY!B429</f>
        <v>0.14387711828865415</v>
      </c>
      <c r="W388" s="86">
        <f>MSY!C429</f>
        <v>0.77645603457271151</v>
      </c>
      <c r="X388" s="86">
        <f>MSY!D429</f>
        <v>1.2439222041387319</v>
      </c>
      <c r="Y388" s="86">
        <f>MSY!E429</f>
        <v>0.31806410630461501</v>
      </c>
      <c r="Z388" s="86">
        <f>MSY!F429</f>
        <v>0.39564700417185267</v>
      </c>
      <c r="AA388" s="86">
        <f>MSY!G429</f>
        <v>0.24696279472119476</v>
      </c>
      <c r="AB388">
        <f t="shared" si="17"/>
        <v>-6.0590830601059357E-3</v>
      </c>
      <c r="AC388">
        <f t="shared" si="18"/>
        <v>0.68774821000946473</v>
      </c>
      <c r="AF388">
        <f t="shared" si="19"/>
        <v>3.85</v>
      </c>
    </row>
    <row r="389" spans="21:32" x14ac:dyDescent="0.3">
      <c r="U389" s="86">
        <f>MSY!A430</f>
        <v>3.86</v>
      </c>
      <c r="V389" s="86">
        <f>MSY!B430</f>
        <v>0.14374273077800132</v>
      </c>
      <c r="W389" s="86">
        <f>MSY!C430</f>
        <v>0.77639548578800555</v>
      </c>
      <c r="X389" s="86">
        <f>MSY!D430</f>
        <v>1.2427603264861324</v>
      </c>
      <c r="Y389" s="86">
        <f>MSY!E430</f>
        <v>0.31374205331087146</v>
      </c>
      <c r="Z389" s="86">
        <f>MSY!F430</f>
        <v>0.38990617660504823</v>
      </c>
      <c r="AA389" s="86">
        <f>MSY!G430</f>
        <v>0.24358791389242038</v>
      </c>
      <c r="AB389">
        <f t="shared" si="17"/>
        <v>-6.0506633418833059E-3</v>
      </c>
      <c r="AC389">
        <f t="shared" si="18"/>
        <v>0.6877397902912421</v>
      </c>
      <c r="AF389">
        <f t="shared" si="19"/>
        <v>3.86</v>
      </c>
    </row>
    <row r="390" spans="21:32" x14ac:dyDescent="0.3">
      <c r="U390" s="86">
        <f>MSY!A431</f>
        <v>3.87</v>
      </c>
      <c r="V390" s="86">
        <f>MSY!B431</f>
        <v>0.14360887312689763</v>
      </c>
      <c r="W390" s="86">
        <f>MSY!C431</f>
        <v>0.77633502130587384</v>
      </c>
      <c r="X390" s="86">
        <f>MSY!D431</f>
        <v>1.2416030298542409</v>
      </c>
      <c r="Y390" s="86">
        <f>MSY!E431</f>
        <v>0.30942899991760758</v>
      </c>
      <c r="Z390" s="86">
        <f>MSY!F431</f>
        <v>0.38418798382246921</v>
      </c>
      <c r="AA390" s="86">
        <f>MSY!G431</f>
        <v>0.24022056924369112</v>
      </c>
      <c r="AB390">
        <f t="shared" ref="AB390:AB453" si="20">(W391-W389)/(U391-U389)</f>
        <v>-6.0422229406664699E-3</v>
      </c>
      <c r="AC390">
        <f t="shared" ref="AC390:AC453" si="21">ABS(AB390-$AC$3)</f>
        <v>0.68773134989002527</v>
      </c>
      <c r="AF390">
        <f t="shared" si="19"/>
        <v>3.87</v>
      </c>
    </row>
    <row r="391" spans="21:32" x14ac:dyDescent="0.3">
      <c r="U391" s="86">
        <f>MSY!A432</f>
        <v>3.88</v>
      </c>
      <c r="V391" s="86">
        <f>MSY!B432</f>
        <v>0.14347554184048825</v>
      </c>
      <c r="W391" s="86">
        <f>MSY!C432</f>
        <v>0.77627464132919222</v>
      </c>
      <c r="X391" s="86">
        <f>MSY!D432</f>
        <v>1.240450284027498</v>
      </c>
      <c r="Y391" s="86">
        <f>MSY!E432</f>
        <v>0.30512490617552823</v>
      </c>
      <c r="Z391" s="86">
        <f>MSY!F432</f>
        <v>0.37849227652929768</v>
      </c>
      <c r="AA391" s="86">
        <f>MSY!G432</f>
        <v>0.23686072710201161</v>
      </c>
      <c r="AB391">
        <f t="shared" si="20"/>
        <v>-6.0337626404338655E-3</v>
      </c>
      <c r="AC391">
        <f t="shared" si="21"/>
        <v>0.68772288958979266</v>
      </c>
      <c r="AF391">
        <f t="shared" si="19"/>
        <v>3.88</v>
      </c>
    </row>
    <row r="392" spans="21:32" x14ac:dyDescent="0.3">
      <c r="U392" s="86">
        <f>MSY!A433</f>
        <v>3.89</v>
      </c>
      <c r="V392" s="86">
        <f>MSY!B433</f>
        <v>0.14334273345640247</v>
      </c>
      <c r="W392" s="86">
        <f>MSY!C433</f>
        <v>0.77621434605306516</v>
      </c>
      <c r="X392" s="86">
        <f>MSY!D433</f>
        <v>1.2393020590711945</v>
      </c>
      <c r="Y392" s="86">
        <f>MSY!E433</f>
        <v>0.30082973242035987</v>
      </c>
      <c r="Z392" s="86">
        <f>MSY!F433</f>
        <v>0.37281890681838847</v>
      </c>
      <c r="AA392" s="86">
        <f>MSY!G433</f>
        <v>0.23350835402398823</v>
      </c>
      <c r="AB392">
        <f t="shared" si="20"/>
        <v>-6.025283211552596E-3</v>
      </c>
      <c r="AC392">
        <f t="shared" si="21"/>
        <v>0.68771441016091139</v>
      </c>
      <c r="AF392">
        <f t="shared" si="19"/>
        <v>3.89</v>
      </c>
    </row>
    <row r="393" spans="21:32" x14ac:dyDescent="0.3">
      <c r="U393" s="86">
        <f>MSY!A434</f>
        <v>3.9</v>
      </c>
      <c r="V393" s="86">
        <f>MSY!B434</f>
        <v>0.14321044454436194</v>
      </c>
      <c r="W393" s="86">
        <f>MSY!C434</f>
        <v>0.77615413566496116</v>
      </c>
      <c r="X393" s="86">
        <f>MSY!D434</f>
        <v>1.2381583253280817</v>
      </c>
      <c r="Y393" s="86">
        <f>MSY!E434</f>
        <v>0.29654343926996485</v>
      </c>
      <c r="Z393" s="86">
        <f>MSY!F434</f>
        <v>0.36716772815352938</v>
      </c>
      <c r="AA393" s="86">
        <f>MSY!G434</f>
        <v>0.23016341679369448</v>
      </c>
      <c r="AB393">
        <f t="shared" si="20"/>
        <v>-6.0167854109505151E-3</v>
      </c>
      <c r="AC393">
        <f t="shared" si="21"/>
        <v>0.68770591236030931</v>
      </c>
      <c r="AF393">
        <f t="shared" si="19"/>
        <v>3.9</v>
      </c>
    </row>
    <row r="394" spans="21:32" x14ac:dyDescent="0.3">
      <c r="U394" s="86">
        <f>MSY!A435</f>
        <v>3.91</v>
      </c>
      <c r="V394" s="86">
        <f>MSY!B435</f>
        <v>0.14307867170579422</v>
      </c>
      <c r="W394" s="86">
        <f>MSY!C435</f>
        <v>0.77609401034484615</v>
      </c>
      <c r="X394" s="86">
        <f>MSY!D435</f>
        <v>1.237019053415032</v>
      </c>
      <c r="Y394" s="86">
        <f>MSY!E435</f>
        <v>0.29226598762148442</v>
      </c>
      <c r="Z394" s="86">
        <f>MSY!F435</f>
        <v>0.36153859535293814</v>
      </c>
      <c r="AA394" s="86">
        <f>MSY!G435</f>
        <v>0.22682588242055501</v>
      </c>
      <c r="AB394">
        <f t="shared" si="20"/>
        <v>-6.0082699823271694E-3</v>
      </c>
      <c r="AC394">
        <f t="shared" si="21"/>
        <v>0.68769739693168597</v>
      </c>
      <c r="AF394">
        <f t="shared" si="19"/>
        <v>3.91</v>
      </c>
    </row>
    <row r="395" spans="21:32" x14ac:dyDescent="0.3">
      <c r="U395" s="86">
        <f>MSY!A436</f>
        <v>3.92</v>
      </c>
      <c r="V395" s="86">
        <f>MSY!B436</f>
        <v>0.14294741157345228</v>
      </c>
      <c r="W395" s="86">
        <f>MSY!C436</f>
        <v>0.77603397026531462</v>
      </c>
      <c r="X395" s="86">
        <f>MSY!D436</f>
        <v>1.2358842142197493</v>
      </c>
      <c r="Y395" s="86">
        <f>MSY!E436</f>
        <v>0.28799733864852106</v>
      </c>
      <c r="Z395" s="86">
        <f>MSY!F436</f>
        <v>0.35593136457300645</v>
      </c>
      <c r="AA395" s="86">
        <f>MSY!G436</f>
        <v>0.22349571813725613</v>
      </c>
      <c r="AB395">
        <f t="shared" si="20"/>
        <v>-5.9997376564979669E-3</v>
      </c>
      <c r="AC395">
        <f t="shared" si="21"/>
        <v>0.68768886460585676</v>
      </c>
      <c r="AF395">
        <f t="shared" si="19"/>
        <v>3.92</v>
      </c>
    </row>
    <row r="396" spans="21:32" x14ac:dyDescent="0.3">
      <c r="U396" s="86">
        <f>MSY!A437</f>
        <v>3.93</v>
      </c>
      <c r="V396" s="86">
        <f>MSY!B437</f>
        <v>0.14281666081103925</v>
      </c>
      <c r="W396" s="86">
        <f>MSY!C437</f>
        <v>0.77597401559171619</v>
      </c>
      <c r="X396" s="86">
        <f>MSY!D437</f>
        <v>1.2347537788975227</v>
      </c>
      <c r="Y396" s="86">
        <f>MSY!E437</f>
        <v>0.28373745379834436</v>
      </c>
      <c r="Z396" s="86">
        <f>MSY!F437</f>
        <v>0.35034589329226695</v>
      </c>
      <c r="AA396" s="86">
        <f>MSY!G437</f>
        <v>0.22017289139767032</v>
      </c>
      <c r="AB396">
        <f t="shared" si="20"/>
        <v>-5.9911891515329555E-3</v>
      </c>
      <c r="AC396">
        <f t="shared" si="21"/>
        <v>0.68768031610089175</v>
      </c>
      <c r="AF396">
        <f t="shared" si="19"/>
        <v>3.93</v>
      </c>
    </row>
    <row r="397" spans="21:32" x14ac:dyDescent="0.3">
      <c r="U397" s="86">
        <f>MSY!A438</f>
        <v>3.94</v>
      </c>
      <c r="V397" s="86">
        <f>MSY!B438</f>
        <v>0.14268641611283892</v>
      </c>
      <c r="W397" s="86">
        <f>MSY!C438</f>
        <v>0.77591414648228396</v>
      </c>
      <c r="X397" s="86">
        <f>MSY!D438</f>
        <v>1.2336277188680349</v>
      </c>
      <c r="Y397" s="86">
        <f>MSY!E438</f>
        <v>0.27948629478914544</v>
      </c>
      <c r="Z397" s="86">
        <f>MSY!F438</f>
        <v>0.3447820402956126</v>
      </c>
      <c r="AA397" s="86">
        <f>MSY!G438</f>
        <v>0.2168573698748158</v>
      </c>
      <c r="AB397">
        <f t="shared" si="20"/>
        <v>-5.982625172956663E-3</v>
      </c>
      <c r="AC397">
        <f t="shared" si="21"/>
        <v>0.68767175212231546</v>
      </c>
      <c r="AF397">
        <f t="shared" si="19"/>
        <v>3.94</v>
      </c>
    </row>
    <row r="398" spans="21:32" x14ac:dyDescent="0.3">
      <c r="U398" s="86">
        <f>MSY!A439</f>
        <v>3.95</v>
      </c>
      <c r="V398" s="86">
        <f>MSY!B439</f>
        <v>0.14255667420335119</v>
      </c>
      <c r="W398" s="86">
        <f>MSY!C439</f>
        <v>0.77585436308825706</v>
      </c>
      <c r="X398" s="86">
        <f>MSY!D439</f>
        <v>1.2325060058122079</v>
      </c>
      <c r="Y398" s="86">
        <f>MSY!E439</f>
        <v>0.27524382360730842</v>
      </c>
      <c r="Z398" s="86">
        <f>MSY!F439</f>
        <v>0.33923966565872365</v>
      </c>
      <c r="AA398" s="86">
        <f>MSY!G439</f>
        <v>0.21354912145882485</v>
      </c>
      <c r="AB398">
        <f t="shared" si="20"/>
        <v>-5.974046414097817E-3</v>
      </c>
      <c r="AC398">
        <f t="shared" si="21"/>
        <v>0.68766317336345661</v>
      </c>
      <c r="AF398">
        <f t="shared" si="19"/>
        <v>3.95</v>
      </c>
    </row>
    <row r="399" spans="21:32" x14ac:dyDescent="0.3">
      <c r="U399" s="86">
        <f>MSY!A440</f>
        <v>3.96</v>
      </c>
      <c r="V399" s="86">
        <f>MSY!B440</f>
        <v>0.1424274318369331</v>
      </c>
      <c r="W399" s="86">
        <f>MSY!C440</f>
        <v>0.77579466555400201</v>
      </c>
      <c r="X399" s="86">
        <f>MSY!D440</f>
        <v>1.2313886116691006</v>
      </c>
      <c r="Y399" s="86">
        <f>MSY!E440</f>
        <v>0.27101000250471996</v>
      </c>
      <c r="Z399" s="86">
        <f>MSY!F440</f>
        <v>0.33371863073272656</v>
      </c>
      <c r="AA399" s="86">
        <f>MSY!G440</f>
        <v>0.21024811425493847</v>
      </c>
      <c r="AB399">
        <f t="shared" si="20"/>
        <v>-5.9654535562225722E-3</v>
      </c>
      <c r="AC399">
        <f t="shared" si="21"/>
        <v>0.68765458050558137</v>
      </c>
      <c r="AF399">
        <f t="shared" si="19"/>
        <v>3.96</v>
      </c>
    </row>
    <row r="400" spans="21:32" x14ac:dyDescent="0.3">
      <c r="U400" s="86">
        <f>MSY!A441</f>
        <v>3.97</v>
      </c>
      <c r="V400" s="86">
        <f>MSY!B441</f>
        <v>0.14229868579744484</v>
      </c>
      <c r="W400" s="86">
        <f>MSY!C441</f>
        <v>0.77573505401713261</v>
      </c>
      <c r="X400" s="86">
        <f>MSY!D441</f>
        <v>1.2302755086328481</v>
      </c>
      <c r="Y400" s="86">
        <f>MSY!E441</f>
        <v>0.2667847939961166</v>
      </c>
      <c r="Z400" s="86">
        <f>MSY!F441</f>
        <v>0.32821879812908195</v>
      </c>
      <c r="AA400" s="86">
        <f>MSY!G441</f>
        <v>0.2069543165815271</v>
      </c>
      <c r="AB400">
        <f t="shared" si="20"/>
        <v>-5.9568472686788391E-3</v>
      </c>
      <c r="AC400">
        <f t="shared" si="21"/>
        <v>0.68764597421803764</v>
      </c>
      <c r="AF400">
        <f t="shared" si="19"/>
        <v>3.97</v>
      </c>
    </row>
    <row r="401" spans="21:32" x14ac:dyDescent="0.3">
      <c r="U401" s="86">
        <f>MSY!A442</f>
        <v>3.98</v>
      </c>
      <c r="V401" s="86">
        <f>MSY!B442</f>
        <v>0.1421704328979011</v>
      </c>
      <c r="W401" s="86">
        <f>MSY!C442</f>
        <v>0.77567552860862843</v>
      </c>
      <c r="X401" s="86">
        <f>MSY!D442</f>
        <v>1.2291666691496472</v>
      </c>
      <c r="Y401" s="86">
        <f>MSY!E442</f>
        <v>0.26256816085646001</v>
      </c>
      <c r="Z401" s="86">
        <f>MSY!F442</f>
        <v>0.32274003170468374</v>
      </c>
      <c r="AA401" s="86">
        <f>MSY!G442</f>
        <v>0.20366769696813</v>
      </c>
      <c r="AB401">
        <f t="shared" si="20"/>
        <v>-5.9482282092682085E-3</v>
      </c>
      <c r="AC401">
        <f t="shared" si="21"/>
        <v>0.68763735515862701</v>
      </c>
      <c r="AF401">
        <f t="shared" si="19"/>
        <v>3.98</v>
      </c>
    </row>
    <row r="402" spans="21:32" x14ac:dyDescent="0.3">
      <c r="U402" s="86">
        <f>MSY!A443</f>
        <v>3.99</v>
      </c>
      <c r="V402" s="86">
        <f>MSY!B443</f>
        <v>0.14204266998012685</v>
      </c>
      <c r="W402" s="86">
        <f>MSY!C443</f>
        <v>0.77561608945294724</v>
      </c>
      <c r="X402" s="86">
        <f>MSY!D443</f>
        <v>1.2280620659147805</v>
      </c>
      <c r="Y402" s="86">
        <f>MSY!E443</f>
        <v>0.25836006611832912</v>
      </c>
      <c r="Z402" s="86">
        <f>MSY!F443</f>
        <v>0.3172821965471545</v>
      </c>
      <c r="AA402" s="86">
        <f>MSY!G443</f>
        <v>0.20038822415350332</v>
      </c>
      <c r="AB402">
        <f t="shared" si="20"/>
        <v>-5.939597024340321E-3</v>
      </c>
      <c r="AC402">
        <f t="shared" si="21"/>
        <v>0.68762872397369912</v>
      </c>
      <c r="AF402">
        <f t="shared" si="19"/>
        <v>3.99</v>
      </c>
    </row>
    <row r="403" spans="21:32" x14ac:dyDescent="0.3">
      <c r="U403" s="86">
        <f>MSY!A444</f>
        <v>4</v>
      </c>
      <c r="V403" s="86">
        <f>MSY!B444</f>
        <v>0.1419153939144189</v>
      </c>
      <c r="W403" s="86">
        <f>MSY!C444</f>
        <v>0.77555673666814162</v>
      </c>
      <c r="X403" s="86">
        <f>MSY!D444</f>
        <v>1.2269616718696907</v>
      </c>
      <c r="Y403" s="86">
        <f>MSY!E444</f>
        <v>0.25416047306937767</v>
      </c>
      <c r="Z403" s="86">
        <f>MSY!F444</f>
        <v>0.31184515896039511</v>
      </c>
      <c r="AA403" s="86">
        <f>MSY!G444</f>
        <v>0.19711586708371764</v>
      </c>
      <c r="AB403">
        <f t="shared" si="20"/>
        <v>-5.9309543489484296E-3</v>
      </c>
      <c r="AC403">
        <f t="shared" si="21"/>
        <v>0.68762008129830721</v>
      </c>
      <c r="AF403">
        <f t="shared" si="19"/>
        <v>4</v>
      </c>
    </row>
    <row r="404" spans="21:32" x14ac:dyDescent="0.3">
      <c r="U404" s="86">
        <f>MSY!A445</f>
        <v>4.01</v>
      </c>
      <c r="V404" s="86">
        <f>MSY!B445</f>
        <v>0.14178860159921122</v>
      </c>
      <c r="W404" s="86">
        <f>MSY!C445</f>
        <v>0.77549747036596828</v>
      </c>
      <c r="X404" s="86">
        <f>MSY!D445</f>
        <v>1.2258654601990859</v>
      </c>
      <c r="Y404" s="86">
        <f>MSY!E445</f>
        <v>0.24996934524977241</v>
      </c>
      <c r="Z404" s="86">
        <f>MSY!F445</f>
        <v>0.30642878645027644</v>
      </c>
      <c r="AA404" s="86">
        <f>MSY!G445</f>
        <v>0.19385059491023587</v>
      </c>
      <c r="AB404">
        <f t="shared" si="20"/>
        <v>-5.9223008072207973E-3</v>
      </c>
      <c r="AC404">
        <f t="shared" si="21"/>
        <v>0.68761142775657957</v>
      </c>
      <c r="AF404">
        <f t="shared" si="19"/>
        <v>4.01</v>
      </c>
    </row>
    <row r="405" spans="21:32" x14ac:dyDescent="0.3">
      <c r="U405" s="86">
        <f>MSY!A446</f>
        <v>4.0199999999999996</v>
      </c>
      <c r="V405" s="86">
        <f>MSY!B446</f>
        <v>0.1416622899607459</v>
      </c>
      <c r="W405" s="86">
        <f>MSY!C446</f>
        <v>0.77543829065199721</v>
      </c>
      <c r="X405" s="86">
        <f>MSY!D446</f>
        <v>1.2247734043280964</v>
      </c>
      <c r="Y405" s="86">
        <f>MSY!E446</f>
        <v>0.2457866464497073</v>
      </c>
      <c r="Z405" s="86">
        <f>MSY!F446</f>
        <v>0.30103294771059425</v>
      </c>
      <c r="AA405" s="86">
        <f>MSY!G446</f>
        <v>0.19059237698804782</v>
      </c>
      <c r="AB405">
        <f t="shared" si="20"/>
        <v>-5.9136370123723274E-3</v>
      </c>
      <c r="AC405">
        <f t="shared" si="21"/>
        <v>0.68760276396173114</v>
      </c>
      <c r="AF405">
        <f t="shared" si="19"/>
        <v>4.0199999999999996</v>
      </c>
    </row>
    <row r="406" spans="21:32" x14ac:dyDescent="0.3">
      <c r="U406" s="86">
        <f>MSY!A447</f>
        <v>4.03</v>
      </c>
      <c r="V406" s="86">
        <f>MSY!B447</f>
        <v>0.14153645595274833</v>
      </c>
      <c r="W406" s="86">
        <f>MSY!C447</f>
        <v>0.77537919762572083</v>
      </c>
      <c r="X406" s="86">
        <f>MSY!D447</f>
        <v>1.2236854779194657</v>
      </c>
      <c r="Y406" s="86">
        <f>MSY!E447</f>
        <v>0.24161234070692031</v>
      </c>
      <c r="Z406" s="86">
        <f>MSY!F447</f>
        <v>0.29565751260918854</v>
      </c>
      <c r="AA406" s="86">
        <f>MSY!G447</f>
        <v>0.18734118287380416</v>
      </c>
      <c r="AB406">
        <f t="shared" si="20"/>
        <v>-5.9049635669548876E-3</v>
      </c>
      <c r="AC406">
        <f t="shared" si="21"/>
        <v>0.68759409051631371</v>
      </c>
      <c r="AF406">
        <f t="shared" si="19"/>
        <v>4.03</v>
      </c>
    </row>
    <row r="407" spans="21:32" x14ac:dyDescent="0.3">
      <c r="U407" s="86">
        <f>MSY!A448</f>
        <v>4.04</v>
      </c>
      <c r="V407" s="86">
        <f>MSY!B448</f>
        <v>0.14141109655610734</v>
      </c>
      <c r="W407" s="86">
        <f>MSY!C448</f>
        <v>0.77532019138065811</v>
      </c>
      <c r="X407" s="86">
        <f>MSY!D448</f>
        <v>1.2226016548707839</v>
      </c>
      <c r="Y407" s="86">
        <f>MSY!E448</f>
        <v>0.23744639230425116</v>
      </c>
      <c r="Z407" s="86">
        <f>MSY!F448</f>
        <v>0.2903023521742748</v>
      </c>
      <c r="AA407" s="86">
        <f>MSY!G448</f>
        <v>0.18409698232397884</v>
      </c>
      <c r="AB407">
        <f t="shared" si="20"/>
        <v>-5.8962810631225807E-3</v>
      </c>
      <c r="AC407">
        <f t="shared" si="21"/>
        <v>0.68758540801248136</v>
      </c>
      <c r="AF407">
        <f t="shared" si="19"/>
        <v>4.04</v>
      </c>
    </row>
    <row r="408" spans="21:32" x14ac:dyDescent="0.3">
      <c r="U408" s="86">
        <f>MSY!A449</f>
        <v>4.05</v>
      </c>
      <c r="V408" s="86">
        <f>MSY!B449</f>
        <v>0.14128620877855907</v>
      </c>
      <c r="W408" s="86">
        <f>MSY!C449</f>
        <v>0.77526127200445838</v>
      </c>
      <c r="X408" s="86">
        <f>MSY!D449</f>
        <v>1.2215219093117564</v>
      </c>
      <c r="Y408" s="86">
        <f>MSY!E449</f>
        <v>0.23328876576721277</v>
      </c>
      <c r="Z408" s="86">
        <f>MSY!F449</f>
        <v>0.28496733858094886</v>
      </c>
      <c r="AA408" s="86">
        <f>MSY!G449</f>
        <v>0.18085974529303953</v>
      </c>
      <c r="AB408">
        <f t="shared" si="20"/>
        <v>-5.8875900827094632E-3</v>
      </c>
      <c r="AC408">
        <f t="shared" si="21"/>
        <v>0.68757671703206824</v>
      </c>
      <c r="AF408">
        <f t="shared" si="19"/>
        <v>4.05</v>
      </c>
    </row>
    <row r="409" spans="21:32" x14ac:dyDescent="0.3">
      <c r="U409" s="86">
        <f>MSY!A450</f>
        <v>4.0599999999999996</v>
      </c>
      <c r="V409" s="86">
        <f>MSY!B450</f>
        <v>0.14116178965437634</v>
      </c>
      <c r="W409" s="86">
        <f>MSY!C450</f>
        <v>0.77520243957900392</v>
      </c>
      <c r="X409" s="86">
        <f>MSY!D450</f>
        <v>1.2204462156015177</v>
      </c>
      <c r="Y409" s="86">
        <f>MSY!E450</f>
        <v>0.22913942586161504</v>
      </c>
      <c r="Z409" s="86">
        <f>MSY!F450</f>
        <v>0.27965234513791259</v>
      </c>
      <c r="AA409" s="86">
        <f>MSY!G450</f>
        <v>0.17762944193165628</v>
      </c>
      <c r="AB409">
        <f t="shared" si="20"/>
        <v>-5.8788911974137796E-3</v>
      </c>
      <c r="AC409">
        <f t="shared" si="21"/>
        <v>0.6875680181467726</v>
      </c>
      <c r="AF409">
        <f t="shared" si="19"/>
        <v>4.0599999999999996</v>
      </c>
    </row>
    <row r="410" spans="21:32" x14ac:dyDescent="0.3">
      <c r="U410" s="86">
        <f>MSY!A451</f>
        <v>4.07</v>
      </c>
      <c r="V410" s="86">
        <f>MSY!B451</f>
        <v>0.14103783624406152</v>
      </c>
      <c r="W410" s="86">
        <f>MSY!C451</f>
        <v>0.7751436941805101</v>
      </c>
      <c r="X410" s="86">
        <f>MSY!D451</f>
        <v>1.219374548325975</v>
      </c>
      <c r="Y410" s="86">
        <f>MSY!E451</f>
        <v>0.22499833759118848</v>
      </c>
      <c r="Z410" s="86">
        <f>MSY!F451</f>
        <v>0.27435724627435071</v>
      </c>
      <c r="AA410" s="86">
        <f>MSY!G451</f>
        <v>0.17440604258490738</v>
      </c>
      <c r="AB410">
        <f t="shared" si="20"/>
        <v>-5.8701849690255582E-3</v>
      </c>
      <c r="AC410">
        <f t="shared" si="21"/>
        <v>0.68755931191838437</v>
      </c>
      <c r="AF410">
        <f t="shared" si="19"/>
        <v>4.07</v>
      </c>
    </row>
    <row r="411" spans="21:32" x14ac:dyDescent="0.3">
      <c r="U411" s="86">
        <f>MSY!A452</f>
        <v>4.08</v>
      </c>
      <c r="V411" s="86">
        <f>MSY!B452</f>
        <v>0.14091434563404434</v>
      </c>
      <c r="W411" s="86">
        <f>MSY!C452</f>
        <v>0.77508503587962341</v>
      </c>
      <c r="X411" s="86">
        <f>MSY!D452</f>
        <v>1.218306882295197</v>
      </c>
      <c r="Y411" s="86">
        <f>MSY!E452</f>
        <v>0.22086546619526348</v>
      </c>
      <c r="Z411" s="86">
        <f>MSY!F452</f>
        <v>0.2690819175270267</v>
      </c>
      <c r="AA411" s="86">
        <f>MSY!G452</f>
        <v>0.17118951779052555</v>
      </c>
      <c r="AB411">
        <f t="shared" si="20"/>
        <v>-5.8614719495865414E-3</v>
      </c>
      <c r="AC411">
        <f t="shared" si="21"/>
        <v>0.68755059889894532</v>
      </c>
      <c r="AF411">
        <f t="shared" si="19"/>
        <v>4.08</v>
      </c>
    </row>
    <row r="412" spans="21:32" x14ac:dyDescent="0.3">
      <c r="U412" s="86">
        <f>MSY!A453</f>
        <v>4.09</v>
      </c>
      <c r="V412" s="86">
        <f>MSY!B453</f>
        <v>0.14079131493638294</v>
      </c>
      <c r="W412" s="86">
        <f>MSY!C453</f>
        <v>0.77502646474151837</v>
      </c>
      <c r="X412" s="86">
        <f>MSY!D453</f>
        <v>1.2172431925408287</v>
      </c>
      <c r="Y412" s="86">
        <f>MSY!E453</f>
        <v>0.21674077714643883</v>
      </c>
      <c r="Z412" s="86">
        <f>MSY!F453</f>
        <v>0.26382623552751144</v>
      </c>
      <c r="AA412" s="86">
        <f>MSY!G453</f>
        <v>0.16797983827713375</v>
      </c>
      <c r="AB412">
        <f t="shared" si="20"/>
        <v>-5.852752681584486E-3</v>
      </c>
      <c r="AC412">
        <f t="shared" si="21"/>
        <v>0.68754187963094326</v>
      </c>
      <c r="AF412">
        <f t="shared" si="19"/>
        <v>4.09</v>
      </c>
    </row>
    <row r="413" spans="21:32" x14ac:dyDescent="0.3">
      <c r="U413" s="86">
        <f>MSY!A454</f>
        <v>4.0999999999999996</v>
      </c>
      <c r="V413" s="86">
        <f>MSY!B454</f>
        <v>0.14066874128847084</v>
      </c>
      <c r="W413" s="86">
        <f>MSY!C454</f>
        <v>0.77496798082599172</v>
      </c>
      <c r="X413" s="86">
        <f>MSY!D454</f>
        <v>1.2161834543135572</v>
      </c>
      <c r="Y413" s="86">
        <f>MSY!E454</f>
        <v>0.21262423614833431</v>
      </c>
      <c r="Z413" s="86">
        <f>MSY!F454</f>
        <v>0.25859007798966271</v>
      </c>
      <c r="AA413" s="86">
        <f>MSY!G454</f>
        <v>0.16477697496254348</v>
      </c>
      <c r="AB413">
        <f t="shared" si="20"/>
        <v>-5.8440276979819551E-3</v>
      </c>
      <c r="AC413">
        <f t="shared" si="21"/>
        <v>0.68753315464734077</v>
      </c>
      <c r="AF413">
        <f t="shared" si="19"/>
        <v>4.0999999999999996</v>
      </c>
    </row>
    <row r="414" spans="21:32" x14ac:dyDescent="0.3">
      <c r="U414" s="86">
        <f>MSY!A455</f>
        <v>4.1100000000000003</v>
      </c>
      <c r="V414" s="86">
        <f>MSY!B455</f>
        <v>0.14054662185274586</v>
      </c>
      <c r="W414" s="86">
        <f>MSY!C455</f>
        <v>0.77490958418755873</v>
      </c>
      <c r="X414" s="86">
        <f>MSY!D455</f>
        <v>1.2151276430805964</v>
      </c>
      <c r="Y414" s="86">
        <f>MSY!E455</f>
        <v>0.20851580913330189</v>
      </c>
      <c r="Z414" s="86">
        <f>MSY!F455</f>
        <v>0.25337332369719262</v>
      </c>
      <c r="AA414" s="86">
        <f>MSY!G455</f>
        <v>0.16158089895201933</v>
      </c>
      <c r="AB414">
        <f t="shared" si="20"/>
        <v>-5.8352975225549374E-3</v>
      </c>
      <c r="AC414">
        <f t="shared" si="21"/>
        <v>0.68752442447191375</v>
      </c>
      <c r="AF414">
        <f t="shared" si="19"/>
        <v>4.1100000000000003</v>
      </c>
    </row>
    <row r="415" spans="21:32" x14ac:dyDescent="0.3">
      <c r="U415" s="86">
        <f>MSY!A456</f>
        <v>4.12</v>
      </c>
      <c r="V415" s="86">
        <f>MSY!B456</f>
        <v>0.14042495381640471</v>
      </c>
      <c r="W415" s="86">
        <f>MSY!C456</f>
        <v>0.77485127487554062</v>
      </c>
      <c r="X415" s="86">
        <f>MSY!D456</f>
        <v>1.2140757345232185</v>
      </c>
      <c r="Y415" s="86">
        <f>MSY!E456</f>
        <v>0.20441546226021615</v>
      </c>
      <c r="Z415" s="86">
        <f>MSY!F456</f>
        <v>0.24817585249147517</v>
      </c>
      <c r="AA415" s="86">
        <f>MSY!G456</f>
        <v>0.15839158153660143</v>
      </c>
      <c r="AB415">
        <f t="shared" si="20"/>
        <v>-5.8265626699584147E-3</v>
      </c>
      <c r="AC415">
        <f t="shared" si="21"/>
        <v>0.68751568961931719</v>
      </c>
      <c r="AF415">
        <f t="shared" si="19"/>
        <v>4.12</v>
      </c>
    </row>
    <row r="416" spans="21:32" x14ac:dyDescent="0.3">
      <c r="U416" s="86">
        <f>MSY!A457</f>
        <v>4.13</v>
      </c>
      <c r="V416" s="86">
        <f>MSY!B457</f>
        <v>0.14030373439112087</v>
      </c>
      <c r="W416" s="86">
        <f>MSY!C457</f>
        <v>0.77479305293415957</v>
      </c>
      <c r="X416" s="86">
        <f>MSY!D457</f>
        <v>1.2130277045343152</v>
      </c>
      <c r="Y416" s="86">
        <f>MSY!E457</f>
        <v>0.20032316191226646</v>
      </c>
      <c r="Z416" s="86">
        <f>MSY!F457</f>
        <v>0.24299754525949252</v>
      </c>
      <c r="AA416" s="86">
        <f>MSY!G457</f>
        <v>0.15520899419142889</v>
      </c>
      <c r="AB416">
        <f t="shared" si="20"/>
        <v>-5.8178236458373963E-3</v>
      </c>
      <c r="AC416">
        <f t="shared" si="21"/>
        <v>0.68750695059519618</v>
      </c>
      <c r="AF416">
        <f t="shared" si="19"/>
        <v>4.13</v>
      </c>
    </row>
    <row r="417" spans="21:32" x14ac:dyDescent="0.3">
      <c r="U417" s="86">
        <f>MSY!A458</f>
        <v>4.1399999999999997</v>
      </c>
      <c r="V417" s="86">
        <f>MSY!B458</f>
        <v>0.14018296081276616</v>
      </c>
      <c r="W417" s="86">
        <f>MSY!C458</f>
        <v>0.77473491840262387</v>
      </c>
      <c r="X417" s="86">
        <f>MSY!D458</f>
        <v>1.2119835292159902</v>
      </c>
      <c r="Y417" s="86">
        <f>MSY!E458</f>
        <v>0.19623887469477233</v>
      </c>
      <c r="Z417" s="86">
        <f>MSY!F458</f>
        <v>0.23783828392194462</v>
      </c>
      <c r="AA417" s="86">
        <f>MSY!G458</f>
        <v>0.15203310857407717</v>
      </c>
      <c r="AB417">
        <f t="shared" si="20"/>
        <v>-5.8090809471554638E-3</v>
      </c>
      <c r="AC417">
        <f t="shared" si="21"/>
        <v>0.68749820789651428</v>
      </c>
      <c r="AF417">
        <f t="shared" si="19"/>
        <v>4.1399999999999997</v>
      </c>
    </row>
    <row r="418" spans="21:32" x14ac:dyDescent="0.3">
      <c r="U418" s="86">
        <f>MSY!A459</f>
        <v>4.1500000000000004</v>
      </c>
      <c r="V418" s="86">
        <f>MSY!B459</f>
        <v>0.14006263034113675</v>
      </c>
      <c r="W418" s="86">
        <f>MSY!C459</f>
        <v>0.77467687131521645</v>
      </c>
      <c r="X418" s="86">
        <f>MSY!D459</f>
        <v>1.2109431848771914</v>
      </c>
      <c r="Y418" s="86">
        <f>MSY!E459</f>
        <v>0.19216256743304139</v>
      </c>
      <c r="Z418" s="86">
        <f>MSY!F459</f>
        <v>0.2326979514215452</v>
      </c>
      <c r="AA418" s="86">
        <f>MSY!G459</f>
        <v>0.14886389652292781</v>
      </c>
      <c r="AB418">
        <f t="shared" si="20"/>
        <v>-5.8003350621614654E-3</v>
      </c>
      <c r="AC418">
        <f t="shared" si="21"/>
        <v>0.68748946201152028</v>
      </c>
      <c r="AF418">
        <f t="shared" si="19"/>
        <v>4.1500000000000004</v>
      </c>
    </row>
    <row r="419" spans="21:32" x14ac:dyDescent="0.3">
      <c r="U419" s="86">
        <f>MSY!A460</f>
        <v>4.16</v>
      </c>
      <c r="V419" s="86">
        <f>MSY!B460</f>
        <v>0.13994274025968237</v>
      </c>
      <c r="W419" s="86">
        <f>MSY!C460</f>
        <v>0.77461891170138064</v>
      </c>
      <c r="X419" s="86">
        <f>MSY!D460</f>
        <v>1.2099066480313678</v>
      </c>
      <c r="Y419" s="86">
        <f>MSY!E460</f>
        <v>0.18809420717022546</v>
      </c>
      <c r="Z419" s="86">
        <f>MSY!F460</f>
        <v>0.22757643171144515</v>
      </c>
      <c r="AA419" s="86">
        <f>MSY!G460</f>
        <v>0.14570133005553407</v>
      </c>
      <c r="AB419">
        <f t="shared" si="20"/>
        <v>-5.7915864705827668E-3</v>
      </c>
      <c r="AC419">
        <f t="shared" si="21"/>
        <v>0.68748071341994155</v>
      </c>
      <c r="AF419">
        <f t="shared" si="19"/>
        <v>4.16</v>
      </c>
    </row>
    <row r="420" spans="21:32" x14ac:dyDescent="0.3">
      <c r="U420" s="86">
        <f>MSY!A461</f>
        <v>4.17</v>
      </c>
      <c r="V420" s="86">
        <f>MSY!B461</f>
        <v>0.13982328787523968</v>
      </c>
      <c r="W420" s="86">
        <f>MSY!C461</f>
        <v>0.7745610395858048</v>
      </c>
      <c r="X420" s="86">
        <f>MSY!D461</f>
        <v>1.208873895394166</v>
      </c>
      <c r="Y420" s="86">
        <f>MSY!E461</f>
        <v>0.18403376116523232</v>
      </c>
      <c r="Z420" s="86">
        <f>MSY!F461</f>
        <v>0.222473609743854</v>
      </c>
      <c r="AA420" s="86">
        <f>MSY!G461</f>
        <v>0.14254538136702805</v>
      </c>
      <c r="AB420">
        <f t="shared" si="20"/>
        <v>-5.7828356437806937E-3</v>
      </c>
      <c r="AC420">
        <f t="shared" si="21"/>
        <v>0.68747196259313947</v>
      </c>
      <c r="AF420">
        <f t="shared" si="19"/>
        <v>4.17</v>
      </c>
    </row>
    <row r="421" spans="21:32" x14ac:dyDescent="0.3">
      <c r="U421" s="86">
        <f>MSY!A462</f>
        <v>4.18</v>
      </c>
      <c r="V421" s="86">
        <f>MSY!B462</f>
        <v>0.13970427051776882</v>
      </c>
      <c r="W421" s="86">
        <f>MSY!C462</f>
        <v>0.77450325498850503</v>
      </c>
      <c r="X421" s="86">
        <f>MSY!D462</f>
        <v>1.2078449038811523</v>
      </c>
      <c r="Y421" s="86">
        <f>MSY!E462</f>
        <v>0.17998119689063222</v>
      </c>
      <c r="Z421" s="86">
        <f>MSY!F462</f>
        <v>0.2173893714587804</v>
      </c>
      <c r="AA421" s="86">
        <f>MSY!G462</f>
        <v>0.13939602282852165</v>
      </c>
      <c r="AB421">
        <f t="shared" si="20"/>
        <v>-5.7740830450069055E-3</v>
      </c>
      <c r="AC421">
        <f t="shared" si="21"/>
        <v>0.68746320999436572</v>
      </c>
      <c r="AF421">
        <f t="shared" si="19"/>
        <v>4.18</v>
      </c>
    </row>
    <row r="422" spans="21:32" x14ac:dyDescent="0.3">
      <c r="U422" s="86">
        <f>MSY!A463</f>
        <v>4.1900000000000004</v>
      </c>
      <c r="V422" s="86">
        <f>MSY!B463</f>
        <v>0.13958568554009398</v>
      </c>
      <c r="W422" s="86">
        <f>MSY!C463</f>
        <v>0.77444555792490466</v>
      </c>
      <c r="X422" s="86">
        <f>MSY!D463</f>
        <v>1.2068196506055684</v>
      </c>
      <c r="Y422" s="86">
        <f>MSY!E463</f>
        <v>0.17593648203060588</v>
      </c>
      <c r="Z422" s="86">
        <f>MSY!F463</f>
        <v>0.21232360377294865</v>
      </c>
      <c r="AA422" s="86">
        <f>MSY!G463</f>
        <v>0.13625322698553755</v>
      </c>
      <c r="AB422">
        <f t="shared" si="20"/>
        <v>-5.7653291293756409E-3</v>
      </c>
      <c r="AC422">
        <f t="shared" si="21"/>
        <v>0.68745445607873445</v>
      </c>
      <c r="AF422">
        <f t="shared" si="19"/>
        <v>4.1900000000000004</v>
      </c>
    </row>
    <row r="423" spans="21:32" x14ac:dyDescent="0.3">
      <c r="U423" s="86">
        <f>MSY!A464</f>
        <v>4.2</v>
      </c>
      <c r="V423" s="86">
        <f>MSY!B464</f>
        <v>0.13946753031764741</v>
      </c>
      <c r="W423" s="86">
        <f>MSY!C464</f>
        <v>0.77438794840591751</v>
      </c>
      <c r="X423" s="86">
        <f>MSY!D464</f>
        <v>1.2057981128761195</v>
      </c>
      <c r="Y423" s="86">
        <f>MSY!E464</f>
        <v>0.17189958447891365</v>
      </c>
      <c r="Z423" s="86">
        <f>MSY!F464</f>
        <v>0.20727619456886315</v>
      </c>
      <c r="AA423" s="86">
        <f>MSY!G464</f>
        <v>0.13311696655645563</v>
      </c>
      <c r="AB423">
        <f t="shared" si="20"/>
        <v>-5.756574344001464E-3</v>
      </c>
      <c r="AC423">
        <f t="shared" si="21"/>
        <v>0.68744570129336025</v>
      </c>
      <c r="AF423">
        <f t="shared" si="19"/>
        <v>4.2</v>
      </c>
    </row>
    <row r="424" spans="21:32" x14ac:dyDescent="0.3">
      <c r="U424" s="86">
        <f>MSY!A465</f>
        <v>4.21</v>
      </c>
      <c r="V424" s="86">
        <f>MSY!B465</f>
        <v>0.13934980224821653</v>
      </c>
      <c r="W424" s="86">
        <f>MSY!C465</f>
        <v>0.77433042643802463</v>
      </c>
      <c r="X424" s="86">
        <f>MSY!D465</f>
        <v>1.2047802681947875</v>
      </c>
      <c r="Y424" s="86">
        <f>MSY!E465</f>
        <v>0.16787047233687807</v>
      </c>
      <c r="Z424" s="86">
        <f>MSY!F465</f>
        <v>0.20224703268400962</v>
      </c>
      <c r="AA424" s="86">
        <f>MSY!G465</f>
        <v>0.12998721443096742</v>
      </c>
      <c r="AB424">
        <f t="shared" si="20"/>
        <v>-5.7478191282768322E-3</v>
      </c>
      <c r="AC424">
        <f t="shared" si="21"/>
        <v>0.68743694607763561</v>
      </c>
      <c r="AF424">
        <f t="shared" si="19"/>
        <v>4.21</v>
      </c>
    </row>
    <row r="425" spans="21:32" x14ac:dyDescent="0.3">
      <c r="U425" s="86">
        <f>MSY!A466</f>
        <v>4.22</v>
      </c>
      <c r="V425" s="86">
        <f>MSY!B466</f>
        <v>0.13923249875169505</v>
      </c>
      <c r="W425" s="86">
        <f>MSY!C466</f>
        <v>0.77427299202335198</v>
      </c>
      <c r="X425" s="86">
        <f>MSY!D466</f>
        <v>1.2037660942546795</v>
      </c>
      <c r="Y425" s="86">
        <f>MSY!E466</f>
        <v>0.16384911391140397</v>
      </c>
      <c r="Z425" s="86">
        <f>MSY!F466</f>
        <v>0.19723600790022083</v>
      </c>
      <c r="AA425" s="86">
        <f>MSY!G466</f>
        <v>0.12686394366855777</v>
      </c>
      <c r="AB425">
        <f t="shared" si="20"/>
        <v>-5.7390639138953153E-3</v>
      </c>
      <c r="AC425">
        <f t="shared" si="21"/>
        <v>0.68742819086325413</v>
      </c>
      <c r="AF425">
        <f t="shared" si="19"/>
        <v>4.22</v>
      </c>
    </row>
    <row r="426" spans="21:32" x14ac:dyDescent="0.3">
      <c r="U426" s="86">
        <f>MSY!A467</f>
        <v>4.2300000000000004</v>
      </c>
      <c r="V426" s="86">
        <f>MSY!B467</f>
        <v>0.13911561726983693</v>
      </c>
      <c r="W426" s="86">
        <f>MSY!C467</f>
        <v>0.77421564515974672</v>
      </c>
      <c r="X426" s="86">
        <f>MSY!D467</f>
        <v>1.2027555689379001</v>
      </c>
      <c r="Y426" s="86">
        <f>MSY!E467</f>
        <v>0.15983547771300266</v>
      </c>
      <c r="Z426" s="86">
        <f>MSY!F467</f>
        <v>0.19224301093316359</v>
      </c>
      <c r="AA426" s="86">
        <f>MSY!G467</f>
        <v>0.12374712749698867</v>
      </c>
      <c r="AB426">
        <f t="shared" si="20"/>
        <v>-5.7303091250070276E-3</v>
      </c>
      <c r="AC426">
        <f t="shared" si="21"/>
        <v>0.68741943607436584</v>
      </c>
      <c r="AF426">
        <f t="shared" si="19"/>
        <v>4.2300000000000004</v>
      </c>
    </row>
    <row r="427" spans="21:32" x14ac:dyDescent="0.3">
      <c r="U427" s="86">
        <f>MSY!A468</f>
        <v>4.24</v>
      </c>
      <c r="V427" s="86">
        <f>MSY!B468</f>
        <v>0.13899915526601425</v>
      </c>
      <c r="W427" s="86">
        <f>MSY!C468</f>
        <v>0.77415838584085184</v>
      </c>
      <c r="X427" s="86">
        <f>MSY!D468</f>
        <v>1.2017486703134581</v>
      </c>
      <c r="Y427" s="86">
        <f>MSY!E468</f>
        <v>0.15582953245386238</v>
      </c>
      <c r="Z427" s="86">
        <f>MSY!F468</f>
        <v>0.18726793342199699</v>
      </c>
      <c r="AA427" s="86">
        <f>MSY!G468</f>
        <v>0.12063673931081674</v>
      </c>
      <c r="AB427">
        <f t="shared" si="20"/>
        <v>-5.7215551783230791E-3</v>
      </c>
      <c r="AC427">
        <f t="shared" si="21"/>
        <v>0.68741068212768186</v>
      </c>
      <c r="AF427">
        <f t="shared" si="19"/>
        <v>4.24</v>
      </c>
    </row>
    <row r="428" spans="21:32" x14ac:dyDescent="0.3">
      <c r="U428" s="86">
        <f>MSY!A469</f>
        <v>4.25</v>
      </c>
      <c r="V428" s="86">
        <f>MSY!B469</f>
        <v>0.13888311022497757</v>
      </c>
      <c r="W428" s="86">
        <f>MSY!C469</f>
        <v>0.77410121405618026</v>
      </c>
      <c r="X428" s="86">
        <f>MSY!D469</f>
        <v>1.2007453766351952</v>
      </c>
      <c r="Y428" s="86">
        <f>MSY!E469</f>
        <v>0.15183124704591519</v>
      </c>
      <c r="Z428" s="86">
        <f>MSY!F469</f>
        <v>0.1823106679191388</v>
      </c>
      <c r="AA428" s="86">
        <f>MSY!G469</f>
        <v>0.11753275266990679</v>
      </c>
      <c r="AB428">
        <f t="shared" si="20"/>
        <v>-5.7128024832987616E-3</v>
      </c>
      <c r="AC428">
        <f t="shared" si="21"/>
        <v>0.68740192943265754</v>
      </c>
      <c r="AF428">
        <f t="shared" si="19"/>
        <v>4.25</v>
      </c>
    </row>
    <row r="429" spans="21:32" x14ac:dyDescent="0.3">
      <c r="U429" s="86">
        <f>MSY!A470</f>
        <v>4.26</v>
      </c>
      <c r="V429" s="86">
        <f>MSY!B470</f>
        <v>0.13876747965262023</v>
      </c>
      <c r="W429" s="86">
        <f>MSY!C470</f>
        <v>0.77404412979118586</v>
      </c>
      <c r="X429" s="86">
        <f>MSY!D470</f>
        <v>1.1997456663397472</v>
      </c>
      <c r="Y429" s="86">
        <f>MSY!E470</f>
        <v>0.14784059059894403</v>
      </c>
      <c r="Z429" s="86">
        <f>MSY!F470</f>
        <v>0.17737110788019186</v>
      </c>
      <c r="AA429" s="86">
        <f>MSY!G470</f>
        <v>0.11443514129797461</v>
      </c>
      <c r="AB429">
        <f t="shared" si="20"/>
        <v>-5.7040514421903381E-3</v>
      </c>
      <c r="AC429">
        <f t="shared" si="21"/>
        <v>0.68739317839154912</v>
      </c>
      <c r="AF429">
        <f t="shared" si="19"/>
        <v>4.26</v>
      </c>
    </row>
    <row r="430" spans="21:32" x14ac:dyDescent="0.3">
      <c r="U430" s="86">
        <f>MSY!A471</f>
        <v>4.2699999999999996</v>
      </c>
      <c r="V430" s="86">
        <f>MSY!B471</f>
        <v>0.13865226107574552</v>
      </c>
      <c r="W430" s="86">
        <f>MSY!C471</f>
        <v>0.77398713302733646</v>
      </c>
      <c r="X430" s="86">
        <f>MSY!D471</f>
        <v>1.1987495180445318</v>
      </c>
      <c r="Y430" s="86">
        <f>MSY!E471</f>
        <v>0.14385753241870433</v>
      </c>
      <c r="Z430" s="86">
        <f>MSY!F471</f>
        <v>0.17244914765399741</v>
      </c>
      <c r="AA430" s="86">
        <f>MSY!G471</f>
        <v>0.11134387908114007</v>
      </c>
      <c r="AB430">
        <f t="shared" si="20"/>
        <v>-5.6953024502036445E-3</v>
      </c>
      <c r="AC430">
        <f t="shared" si="21"/>
        <v>0.68738442939956246</v>
      </c>
      <c r="AF430">
        <f t="shared" si="19"/>
        <v>4.2699999999999996</v>
      </c>
    </row>
    <row r="431" spans="21:32" x14ac:dyDescent="0.3">
      <c r="U431" s="86">
        <f>MSY!A472</f>
        <v>4.28</v>
      </c>
      <c r="V431" s="86">
        <f>MSY!B472</f>
        <v>0.13853745204183648</v>
      </c>
      <c r="W431" s="86">
        <f>MSY!C472</f>
        <v>0.77393022374218179</v>
      </c>
      <c r="X431" s="86">
        <f>MSY!D472</f>
        <v>1.1977569105457588</v>
      </c>
      <c r="Y431" s="86">
        <f>MSY!E472</f>
        <v>0.1398820420050586</v>
      </c>
      <c r="Z431" s="86">
        <f>MSY!F472</f>
        <v>0.16754468247281104</v>
      </c>
      <c r="AA431" s="86">
        <f>MSY!G472</f>
        <v>0.10825894006648827</v>
      </c>
      <c r="AB431">
        <f t="shared" si="20"/>
        <v>-5.6865558956230378E-3</v>
      </c>
      <c r="AC431">
        <f t="shared" si="21"/>
        <v>0.68737568284498185</v>
      </c>
      <c r="AF431">
        <f t="shared" si="19"/>
        <v>4.28</v>
      </c>
    </row>
    <row r="432" spans="21:32" x14ac:dyDescent="0.3">
      <c r="U432" s="86">
        <f>MSY!A473</f>
        <v>4.29</v>
      </c>
      <c r="V432" s="86">
        <f>MSY!B473</f>
        <v>0.13842305011882985</v>
      </c>
      <c r="W432" s="86">
        <f>MSY!C473</f>
        <v>0.773873401909424</v>
      </c>
      <c r="X432" s="86">
        <f>MSY!D473</f>
        <v>1.1967678228164744</v>
      </c>
      <c r="Y432" s="86">
        <f>MSY!E473</f>
        <v>0.13591408905014973</v>
      </c>
      <c r="Z432" s="86">
        <f>MSY!F473</f>
        <v>0.16265760844263211</v>
      </c>
      <c r="AA432" s="86">
        <f>MSY!G473</f>
        <v>0.10518029846065977</v>
      </c>
      <c r="AB432">
        <f t="shared" si="20"/>
        <v>-5.6778121599044933E-3</v>
      </c>
      <c r="AC432">
        <f t="shared" si="21"/>
        <v>0.68736693910926328</v>
      </c>
      <c r="AF432">
        <f t="shared" si="19"/>
        <v>4.29</v>
      </c>
    </row>
    <row r="433" spans="21:32" x14ac:dyDescent="0.3">
      <c r="U433" s="86">
        <f>MSY!A474</f>
        <v>4.3</v>
      </c>
      <c r="V433" s="86">
        <f>MSY!B474</f>
        <v>0.13830905289489223</v>
      </c>
      <c r="W433" s="86">
        <f>MSY!C474</f>
        <v>0.7738166674989837</v>
      </c>
      <c r="X433" s="86">
        <f>MSY!D474</f>
        <v>1.1957822340046267</v>
      </c>
      <c r="Y433" s="86">
        <f>MSY!E474</f>
        <v>0.13195364343658603</v>
      </c>
      <c r="Z433" s="86">
        <f>MSY!F474</f>
        <v>0.15778782253365078</v>
      </c>
      <c r="AA433" s="86">
        <f>MSY!G474</f>
        <v>0.10210792862844814</v>
      </c>
      <c r="AB433">
        <f t="shared" si="20"/>
        <v>-5.669071617803288E-3</v>
      </c>
      <c r="AC433">
        <f t="shared" si="21"/>
        <v>0.68735819856716207</v>
      </c>
      <c r="AF433">
        <f t="shared" si="19"/>
        <v>4.3</v>
      </c>
    </row>
    <row r="434" spans="21:32" x14ac:dyDescent="0.3">
      <c r="U434" s="86">
        <f>MSY!A475</f>
        <v>4.3099999999999996</v>
      </c>
      <c r="V434" s="86">
        <f>MSY!B475</f>
        <v>0.13819545797819907</v>
      </c>
      <c r="W434" s="86">
        <f>MSY!C475</f>
        <v>0.77376002047706793</v>
      </c>
      <c r="X434" s="86">
        <f>MSY!D475</f>
        <v>1.1948001234311552</v>
      </c>
      <c r="Y434" s="86">
        <f>MSY!E475</f>
        <v>0.12800067523563238</v>
      </c>
      <c r="Z434" s="86">
        <f>MSY!F475</f>
        <v>0.15293522257080477</v>
      </c>
      <c r="AA434" s="86">
        <f>MSY!G475</f>
        <v>9.9041805091401439E-2</v>
      </c>
      <c r="AB434">
        <f t="shared" si="20"/>
        <v>-5.6603346374638286E-3</v>
      </c>
      <c r="AC434">
        <f t="shared" si="21"/>
        <v>0.68734946158682264</v>
      </c>
      <c r="AF434">
        <f t="shared" si="19"/>
        <v>4.3099999999999996</v>
      </c>
    </row>
    <row r="435" spans="21:32" x14ac:dyDescent="0.3">
      <c r="U435" s="86">
        <f>MSY!A476</f>
        <v>4.32</v>
      </c>
      <c r="V435" s="86">
        <f>MSY!B476</f>
        <v>0.13808226299671733</v>
      </c>
      <c r="W435" s="86">
        <f>MSY!C476</f>
        <v>0.77370346080623442</v>
      </c>
      <c r="X435" s="86">
        <f>MSY!D476</f>
        <v>1.1938214705881109</v>
      </c>
      <c r="Y435" s="86">
        <f>MSY!E476</f>
        <v>0.12405515470544831</v>
      </c>
      <c r="Z435" s="86">
        <f>MSY!F476</f>
        <v>0.14809970722449392</v>
      </c>
      <c r="AA435" s="86">
        <f>MSY!G476</f>
        <v>9.5981902526458177E-2</v>
      </c>
      <c r="AB435">
        <f t="shared" si="20"/>
        <v>-5.6516015805417683E-3</v>
      </c>
      <c r="AC435">
        <f t="shared" si="21"/>
        <v>0.68734072852990058</v>
      </c>
      <c r="AF435">
        <f t="shared" si="19"/>
        <v>4.32</v>
      </c>
    </row>
    <row r="436" spans="21:32" x14ac:dyDescent="0.3">
      <c r="U436" s="86">
        <f>MSY!A477</f>
        <v>4.33</v>
      </c>
      <c r="V436" s="86">
        <f>MSY!B477</f>
        <v>0.13796946559799061</v>
      </c>
      <c r="W436" s="86">
        <f>MSY!C477</f>
        <v>0.7736469884454571</v>
      </c>
      <c r="X436" s="86">
        <f>MSY!D477</f>
        <v>1.1928462551367995</v>
      </c>
      <c r="Y436" s="86">
        <f>MSY!E477</f>
        <v>0.12011705228933342</v>
      </c>
      <c r="Z436" s="86">
        <f>MSY!F477</f>
        <v>0.1432811760014025</v>
      </c>
      <c r="AA436" s="86">
        <f>MSY!G477</f>
        <v>9.2928195764588301E-2</v>
      </c>
      <c r="AB436">
        <f t="shared" si="20"/>
        <v>-5.6428728023251258E-3</v>
      </c>
      <c r="AC436">
        <f t="shared" si="21"/>
        <v>0.68733199975168391</v>
      </c>
      <c r="AF436">
        <f t="shared" si="19"/>
        <v>4.33</v>
      </c>
    </row>
    <row r="437" spans="21:32" x14ac:dyDescent="0.3">
      <c r="U437" s="86">
        <f>MSY!A478</f>
        <v>4.34</v>
      </c>
      <c r="V437" s="86">
        <f>MSY!B478</f>
        <v>0.13785706344892662</v>
      </c>
      <c r="W437" s="86">
        <f>MSY!C478</f>
        <v>0.77359060335018792</v>
      </c>
      <c r="X437" s="86">
        <f>MSY!D478</f>
        <v>1.1918744569059432</v>
      </c>
      <c r="Y437" s="86">
        <f>MSY!E478</f>
        <v>0.11618633861397364</v>
      </c>
      <c r="Z437" s="86">
        <f>MSY!F478</f>
        <v>0.13847952923541984</v>
      </c>
      <c r="AA437" s="86">
        <f>MSY!G478</f>
        <v>8.9880659789433104E-2</v>
      </c>
      <c r="AB437">
        <f t="shared" si="20"/>
        <v>-5.6341486518730697E-3</v>
      </c>
      <c r="AC437">
        <f t="shared" si="21"/>
        <v>0.68732327560123185</v>
      </c>
      <c r="AF437">
        <f t="shared" si="19"/>
        <v>4.34</v>
      </c>
    </row>
    <row r="438" spans="21:32" x14ac:dyDescent="0.3">
      <c r="U438" s="86">
        <f>MSY!A479</f>
        <v>4.3499999999999996</v>
      </c>
      <c r="V438" s="86">
        <f>MSY!B479</f>
        <v>0.13774505423558836</v>
      </c>
      <c r="W438" s="86">
        <f>MSY!C479</f>
        <v>0.77353430547241964</v>
      </c>
      <c r="X438" s="86">
        <f>MSY!D479</f>
        <v>1.1909060558898759</v>
      </c>
      <c r="Y438" s="86">
        <f>MSY!E479</f>
        <v>0.11226298448773915</v>
      </c>
      <c r="Z438" s="86">
        <f>MSY!F479</f>
        <v>0.13369466807871974</v>
      </c>
      <c r="AA438" s="86">
        <f>MSY!G479</f>
        <v>8.6839269735984326E-2</v>
      </c>
      <c r="AB438">
        <f t="shared" si="20"/>
        <v>-5.6254294719725127E-3</v>
      </c>
      <c r="AC438">
        <f t="shared" si="21"/>
        <v>0.68731455642133132</v>
      </c>
      <c r="AF438">
        <f t="shared" si="19"/>
        <v>4.3499999999999996</v>
      </c>
    </row>
    <row r="439" spans="21:32" x14ac:dyDescent="0.3">
      <c r="U439" s="86">
        <f>MSY!A480</f>
        <v>4.3600000000000003</v>
      </c>
      <c r="V439" s="86">
        <f>MSY!B480</f>
        <v>0.1376334356629878</v>
      </c>
      <c r="W439" s="86">
        <f>MSY!C480</f>
        <v>0.77347809476074847</v>
      </c>
      <c r="X439" s="86">
        <f>MSY!D480</f>
        <v>1.1899410322467587</v>
      </c>
      <c r="Y439" s="86">
        <f>MSY!E480</f>
        <v>0.1083469608989925</v>
      </c>
      <c r="Z439" s="86">
        <f>MSY!F480</f>
        <v>0.12892649449294633</v>
      </c>
      <c r="AA439" s="86">
        <f>MSY!G480</f>
        <v>8.3804000889270022E-2</v>
      </c>
      <c r="AB439">
        <f t="shared" si="20"/>
        <v>-5.6167155993879034E-3</v>
      </c>
      <c r="AC439">
        <f t="shared" si="21"/>
        <v>0.68730584254874671</v>
      </c>
      <c r="AF439">
        <f t="shared" si="19"/>
        <v>4.3600000000000003</v>
      </c>
    </row>
    <row r="440" spans="21:32" x14ac:dyDescent="0.3">
      <c r="U440" s="86">
        <f>MSY!A481</f>
        <v>4.37</v>
      </c>
      <c r="V440" s="86">
        <f>MSY!B481</f>
        <v>0.13752220545488134</v>
      </c>
      <c r="W440" s="86">
        <f>MSY!C481</f>
        <v>0.77342197116043188</v>
      </c>
      <c r="X440" s="86">
        <f>MSY!D481</f>
        <v>1.1889793662968124</v>
      </c>
      <c r="Y440" s="86">
        <f>MSY!E481</f>
        <v>0.10443823901438461</v>
      </c>
      <c r="Z440" s="86">
        <f>MSY!F481</f>
        <v>0.12417491124047804</v>
      </c>
      <c r="AA440" s="86">
        <f>MSY!G481</f>
        <v>8.0774828683029667E-2</v>
      </c>
      <c r="AB440">
        <f t="shared" si="20"/>
        <v>-5.6080073649823568E-3</v>
      </c>
      <c r="AC440">
        <f t="shared" si="21"/>
        <v>0.68729713431434114</v>
      </c>
      <c r="AF440">
        <f t="shared" si="19"/>
        <v>4.37</v>
      </c>
    </row>
    <row r="441" spans="21:32" x14ac:dyDescent="0.3">
      <c r="U441" s="86">
        <f>MSY!A482</f>
        <v>4.38</v>
      </c>
      <c r="V441" s="86">
        <f>MSY!B482</f>
        <v>0.13741136135356954</v>
      </c>
      <c r="W441" s="86">
        <f>MSY!C482</f>
        <v>0.77336593461344882</v>
      </c>
      <c r="X441" s="86">
        <f>MSY!D482</f>
        <v>1.1880210385205852</v>
      </c>
      <c r="Y441" s="86">
        <f>MSY!E482</f>
        <v>0.10053679017722168</v>
      </c>
      <c r="Z441" s="86">
        <f>MSY!F482</f>
        <v>0.11943982187586906</v>
      </c>
      <c r="AA441" s="86">
        <f>MSY!G482</f>
        <v>7.7751728698443254E-2</v>
      </c>
      <c r="AB441">
        <f t="shared" si="20"/>
        <v>-5.5993050936399367E-3</v>
      </c>
      <c r="AC441">
        <f t="shared" si="21"/>
        <v>0.68728843204299872</v>
      </c>
      <c r="AF441">
        <f t="shared" si="19"/>
        <v>4.38</v>
      </c>
    </row>
    <row r="442" spans="21:32" x14ac:dyDescent="0.3">
      <c r="U442" s="86">
        <f>MSY!A483</f>
        <v>4.3899999999999997</v>
      </c>
      <c r="V442" s="86">
        <f>MSY!B483</f>
        <v>0.13730090111969806</v>
      </c>
      <c r="W442" s="86">
        <f>MSY!C483</f>
        <v>0.77330998505855908</v>
      </c>
      <c r="X442" s="86">
        <f>MSY!D483</f>
        <v>1.1870660295572319</v>
      </c>
      <c r="Y442" s="86">
        <f>MSY!E483</f>
        <v>9.6642585905807724E-2</v>
      </c>
      <c r="Z442" s="86">
        <f>MSY!F483</f>
        <v>0.11472113073735088</v>
      </c>
      <c r="AA442" s="86">
        <f>MSY!G483</f>
        <v>7.4734676662840685E-2</v>
      </c>
      <c r="AB442">
        <f t="shared" si="20"/>
        <v>-5.5906091044942525E-3</v>
      </c>
      <c r="AC442">
        <f t="shared" si="21"/>
        <v>0.68727973605385306</v>
      </c>
      <c r="AF442">
        <f t="shared" si="19"/>
        <v>4.3899999999999997</v>
      </c>
    </row>
    <row r="443" spans="21:32" x14ac:dyDescent="0.3">
      <c r="U443" s="86">
        <f>MSY!A484</f>
        <v>4.4000000000000004</v>
      </c>
      <c r="V443" s="86">
        <f>MSY!B484</f>
        <v>0.13719082253206188</v>
      </c>
      <c r="W443" s="86">
        <f>MSY!C484</f>
        <v>0.77325412243135894</v>
      </c>
      <c r="X443" s="86">
        <f>MSY!D484</f>
        <v>1.1861143202028219</v>
      </c>
      <c r="Y443" s="86">
        <f>MSY!E484</f>
        <v>9.2755597891821723E-2</v>
      </c>
      <c r="Z443" s="86">
        <f>MSY!F484</f>
        <v>0.11001874293846443</v>
      </c>
      <c r="AA443" s="86">
        <f>MSY!G484</f>
        <v>7.1723648448436608E-2</v>
      </c>
      <c r="AB443">
        <f t="shared" si="20"/>
        <v>-5.581919711011722E-3</v>
      </c>
      <c r="AC443">
        <f t="shared" si="21"/>
        <v>0.68727104666037053</v>
      </c>
      <c r="AF443">
        <f t="shared" si="19"/>
        <v>4.4000000000000004</v>
      </c>
    </row>
    <row r="444" spans="21:32" x14ac:dyDescent="0.3">
      <c r="U444" s="86">
        <f>MSY!A485</f>
        <v>4.41</v>
      </c>
      <c r="V444" s="86">
        <f>MSY!B485</f>
        <v>0.1370811233874121</v>
      </c>
      <c r="W444" s="86">
        <f>MSY!C485</f>
        <v>0.77319834666433884</v>
      </c>
      <c r="X444" s="86">
        <f>MSY!D485</f>
        <v>1.1851658914086678</v>
      </c>
      <c r="Y444" s="86">
        <f>MSY!E485</f>
        <v>8.8875797998718281E-2</v>
      </c>
      <c r="Z444" s="86">
        <f>MSY!F485</f>
        <v>0.10533256435980765</v>
      </c>
      <c r="AA444" s="86">
        <f>MSY!G485</f>
        <v>6.8718620071082731E-2</v>
      </c>
      <c r="AB444">
        <f t="shared" si="20"/>
        <v>-5.5732372211071491E-3</v>
      </c>
      <c r="AC444">
        <f t="shared" si="21"/>
        <v>0.68726236417046593</v>
      </c>
      <c r="AF444">
        <f t="shared" si="19"/>
        <v>4.41</v>
      </c>
    </row>
    <row r="445" spans="21:32" x14ac:dyDescent="0.3">
      <c r="U445" s="86">
        <f>MSY!A486</f>
        <v>4.42</v>
      </c>
      <c r="V445" s="86">
        <f>MSY!B486</f>
        <v>0.13697180150026467</v>
      </c>
      <c r="W445" s="86">
        <f>MSY!C486</f>
        <v>0.7731426576869368</v>
      </c>
      <c r="X445" s="86">
        <f>MSY!D486</f>
        <v>1.1842207242796723</v>
      </c>
      <c r="Y445" s="86">
        <f>MSY!E486</f>
        <v>8.5003158260127096E-2</v>
      </c>
      <c r="Z445" s="86">
        <f>MSY!F486</f>
        <v>0.10066250164086732</v>
      </c>
      <c r="AA445" s="86">
        <f>MSY!G486</f>
        <v>6.571956768901796E-2</v>
      </c>
      <c r="AB445">
        <f t="shared" si="20"/>
        <v>-5.5645619371437272E-3</v>
      </c>
      <c r="AC445">
        <f t="shared" si="21"/>
        <v>0.68725368888650251</v>
      </c>
      <c r="AF445">
        <f t="shared" si="19"/>
        <v>4.42</v>
      </c>
    </row>
    <row r="446" spans="21:32" x14ac:dyDescent="0.3">
      <c r="U446" s="86">
        <f>MSY!A487</f>
        <v>4.43</v>
      </c>
      <c r="V446" s="86">
        <f>MSY!B487</f>
        <v>0.13686285470271253</v>
      </c>
      <c r="W446" s="86">
        <f>MSY!C487</f>
        <v>0.77308705542559597</v>
      </c>
      <c r="X446" s="86">
        <f>MSY!D487</f>
        <v>1.1832788000727039</v>
      </c>
      <c r="Y446" s="86">
        <f>MSY!E487</f>
        <v>8.1137650878297038E-2</v>
      </c>
      <c r="Z446" s="86">
        <f>MSY!F487</f>
        <v>9.6008462171989287E-2</v>
      </c>
      <c r="AA446" s="86">
        <f>MSY!G487</f>
        <v>6.272646760165268E-2</v>
      </c>
      <c r="AB446">
        <f t="shared" si="20"/>
        <v>-5.5558941560450541E-3</v>
      </c>
      <c r="AC446">
        <f t="shared" si="21"/>
        <v>0.68724502110540386</v>
      </c>
      <c r="AF446">
        <f t="shared" si="19"/>
        <v>4.43</v>
      </c>
    </row>
    <row r="447" spans="21:32" x14ac:dyDescent="0.3">
      <c r="U447" s="86">
        <f>MSY!A488</f>
        <v>4.4400000000000004</v>
      </c>
      <c r="V447" s="86">
        <f>MSY!B488</f>
        <v>0.1367542808442391</v>
      </c>
      <c r="W447" s="86">
        <f>MSY!C488</f>
        <v>0.77303153980381589</v>
      </c>
      <c r="X447" s="86">
        <f>MSY!D488</f>
        <v>1.1823401001949849</v>
      </c>
      <c r="Y447" s="86">
        <f>MSY!E488</f>
        <v>7.7279248222530086E-2</v>
      </c>
      <c r="Z447" s="86">
        <f>MSY!F488</f>
        <v>9.1370354086419331E-2</v>
      </c>
      <c r="AA447" s="86">
        <f>MSY!G488</f>
        <v>5.9739296248343732E-2</v>
      </c>
      <c r="AB447">
        <f t="shared" si="20"/>
        <v>-5.5472341694894171E-3</v>
      </c>
      <c r="AC447">
        <f t="shared" si="21"/>
        <v>0.68723636111884823</v>
      </c>
      <c r="AF447">
        <f t="shared" si="19"/>
        <v>4.4400000000000004</v>
      </c>
    </row>
    <row r="448" spans="21:32" x14ac:dyDescent="0.3">
      <c r="U448" s="86">
        <f>MSY!A489</f>
        <v>4.45</v>
      </c>
      <c r="V448" s="86">
        <f>MSY!B489</f>
        <v>0.13664607779153518</v>
      </c>
      <c r="W448" s="86">
        <f>MSY!C489</f>
        <v>0.77297611074220618</v>
      </c>
      <c r="X448" s="86">
        <f>MSY!D489</f>
        <v>1.1814046062025076</v>
      </c>
      <c r="Y448" s="86">
        <f>MSY!E489</f>
        <v>7.3427922827652273E-2</v>
      </c>
      <c r="Z448" s="86">
        <f>MSY!F489</f>
        <v>8.6748086252470658E-2</v>
      </c>
      <c r="AA448" s="86">
        <f>MSY!G489</f>
        <v>5.675803020719751E-2</v>
      </c>
      <c r="AB448">
        <f t="shared" si="20"/>
        <v>-5.538582263869947E-3</v>
      </c>
      <c r="AC448">
        <f t="shared" si="21"/>
        <v>0.68722770921322873</v>
      </c>
      <c r="AF448">
        <f t="shared" si="19"/>
        <v>4.45</v>
      </c>
    </row>
    <row r="449" spans="21:32" x14ac:dyDescent="0.3">
      <c r="U449" s="86">
        <f>MSY!A490</f>
        <v>4.46</v>
      </c>
      <c r="V449" s="86">
        <f>MSY!B490</f>
        <v>0.13653824342831736</v>
      </c>
      <c r="W449" s="86">
        <f>MSY!C490</f>
        <v>0.7729207681585385</v>
      </c>
      <c r="X449" s="86">
        <f>MSY!D490</f>
        <v>1.1804722997984642</v>
      </c>
      <c r="Y449" s="86">
        <f>MSY!E490</f>
        <v>6.9583647392486472E-2</v>
      </c>
      <c r="Z449" s="86">
        <f>MSY!F490</f>
        <v>8.2141568265773915E-2</v>
      </c>
      <c r="AA449" s="86">
        <f>MSY!G490</f>
        <v>5.3782646193873532E-2</v>
      </c>
      <c r="AB449">
        <f t="shared" si="20"/>
        <v>-5.5299387204278475E-3</v>
      </c>
      <c r="AC449">
        <f t="shared" si="21"/>
        <v>0.68721906566978663</v>
      </c>
      <c r="AF449">
        <f t="shared" si="19"/>
        <v>4.46</v>
      </c>
    </row>
    <row r="450" spans="21:32" x14ac:dyDescent="0.3">
      <c r="U450" s="86">
        <f>MSY!A491</f>
        <v>4.47</v>
      </c>
      <c r="V450" s="86">
        <f>MSY!B491</f>
        <v>0.13643077565514936</v>
      </c>
      <c r="W450" s="86">
        <f>MSY!C491</f>
        <v>0.77286551196779762</v>
      </c>
      <c r="X450" s="86">
        <f>MSY!D491</f>
        <v>1.1795431628317035</v>
      </c>
      <c r="Y450" s="86">
        <f>MSY!E491</f>
        <v>6.5746394778355977E-2</v>
      </c>
      <c r="Z450" s="86">
        <f>MSY!F491</f>
        <v>7.75507104416438E-2</v>
      </c>
      <c r="AA450" s="86">
        <f>MSY!G491</f>
        <v>5.0813121060411026E-2</v>
      </c>
      <c r="AB450">
        <f t="shared" si="20"/>
        <v>-5.5213038153699547E-3</v>
      </c>
      <c r="AC450">
        <f t="shared" si="21"/>
        <v>0.68721043076472876</v>
      </c>
      <c r="AF450">
        <f t="shared" ref="AF450:AF506" si="22">U450</f>
        <v>4.47</v>
      </c>
    </row>
    <row r="451" spans="21:32" x14ac:dyDescent="0.3">
      <c r="U451" s="86">
        <f>MSY!A492</f>
        <v>4.4800000000000004</v>
      </c>
      <c r="V451" s="86">
        <f>MSY!B492</f>
        <v>0.1363236723892654</v>
      </c>
      <c r="W451" s="86">
        <f>MSY!C492</f>
        <v>0.77281034208223109</v>
      </c>
      <c r="X451" s="86">
        <f>MSY!D492</f>
        <v>1.1786171772952019</v>
      </c>
      <c r="Y451" s="86">
        <f>MSY!E492</f>
        <v>6.1916138007596246E-2</v>
      </c>
      <c r="Z451" s="86">
        <f>MSY!F492</f>
        <v>7.297542380753326E-2</v>
      </c>
      <c r="AA451" s="86">
        <f>MSY!G492</f>
        <v>4.7849431794061086E-2</v>
      </c>
      <c r="AB451">
        <f t="shared" si="20"/>
        <v>-5.5126778198465289E-3</v>
      </c>
      <c r="AC451">
        <f t="shared" si="21"/>
        <v>0.68720180476920534</v>
      </c>
      <c r="AF451">
        <f t="shared" si="22"/>
        <v>4.4800000000000004</v>
      </c>
    </row>
    <row r="452" spans="21:32" x14ac:dyDescent="0.3">
      <c r="U452" s="86">
        <f>MSY!A493</f>
        <v>4.49</v>
      </c>
      <c r="V452" s="86">
        <f>MSY!B493</f>
        <v>0.13621693156439582</v>
      </c>
      <c r="W452" s="86">
        <f>MSY!C493</f>
        <v>0.77275525841140069</v>
      </c>
      <c r="X452" s="86">
        <f>MSY!D493</f>
        <v>1.1776943253245571</v>
      </c>
      <c r="Y452" s="86">
        <f>MSY!E493</f>
        <v>5.8092850262080081E-2</v>
      </c>
      <c r="Z452" s="86">
        <f>MSY!F493</f>
        <v>6.8415620095580928E-2</v>
      </c>
      <c r="AA452" s="86">
        <f>MSY!G493</f>
        <v>4.4891555516128501E-2</v>
      </c>
      <c r="AB452">
        <f t="shared" si="20"/>
        <v>-5.5040610001445616E-3</v>
      </c>
      <c r="AC452">
        <f t="shared" si="21"/>
        <v>0.68719318794950335</v>
      </c>
      <c r="AF452">
        <f t="shared" si="22"/>
        <v>4.49</v>
      </c>
    </row>
    <row r="453" spans="21:32" x14ac:dyDescent="0.3">
      <c r="U453" s="86">
        <f>MSY!A494</f>
        <v>4.5</v>
      </c>
      <c r="V453" s="86">
        <f>MSY!B494</f>
        <v>0.136110551130595</v>
      </c>
      <c r="W453" s="86">
        <f>MSY!C494</f>
        <v>0.77270026086222821</v>
      </c>
      <c r="X453" s="86">
        <f>MSY!D494</f>
        <v>1.1767745891965005</v>
      </c>
      <c r="Y453" s="86">
        <f>MSY!E494</f>
        <v>5.4276504881771E-2</v>
      </c>
      <c r="Z453" s="86">
        <f>MSY!F494</f>
        <v>6.3871211735267927E-2</v>
      </c>
      <c r="AA453" s="86">
        <f>MSY!G494</f>
        <v>4.1939469480834456E-2</v>
      </c>
      <c r="AB453">
        <f t="shared" si="20"/>
        <v>-5.4954536177432905E-3</v>
      </c>
      <c r="AC453">
        <f t="shared" si="21"/>
        <v>0.68718458056710208</v>
      </c>
      <c r="AF453">
        <f t="shared" si="22"/>
        <v>4.5</v>
      </c>
    </row>
    <row r="454" spans="21:32" x14ac:dyDescent="0.3">
      <c r="U454" s="86">
        <f>MSY!A495</f>
        <v>4.51</v>
      </c>
      <c r="V454" s="86">
        <f>MSY!B495</f>
        <v>0.13600452905407134</v>
      </c>
      <c r="W454" s="86">
        <f>MSY!C495</f>
        <v>0.77264534933904583</v>
      </c>
      <c r="X454" s="86">
        <f>MSY!D495</f>
        <v>1.1758579513274261</v>
      </c>
      <c r="Y454" s="86">
        <f>MSY!E495</f>
        <v>5.0467075363275174E-2</v>
      </c>
      <c r="Z454" s="86">
        <f>MSY!F495</f>
        <v>5.9342111846147558E-2</v>
      </c>
      <c r="AA454" s="86">
        <f>MSY!G495</f>
        <v>3.8993151074177702E-2</v>
      </c>
      <c r="AB454">
        <f t="shared" ref="AB454:AB506" si="23">(W455-W453)/(U455-U453)</f>
        <v>-5.4868559293154212E-3</v>
      </c>
      <c r="AC454">
        <f t="shared" ref="AC454:AC506" si="24">ABS(AB454-$AC$3)</f>
        <v>0.68717598287867421</v>
      </c>
      <c r="AF454">
        <f t="shared" si="22"/>
        <v>4.51</v>
      </c>
    </row>
    <row r="455" spans="21:32" x14ac:dyDescent="0.3">
      <c r="U455" s="86">
        <f>MSY!A496</f>
        <v>4.5199999999999996</v>
      </c>
      <c r="V455" s="86">
        <f>MSY!B496</f>
        <v>0.13589886331701956</v>
      </c>
      <c r="W455" s="86">
        <f>MSY!C496</f>
        <v>0.7725905237436419</v>
      </c>
      <c r="X455" s="86">
        <f>MSY!D496</f>
        <v>1.1749443942719415</v>
      </c>
      <c r="Y455" s="86">
        <f>MSY!E496</f>
        <v>4.6664535358424145E-2</v>
      </c>
      <c r="Z455" s="86">
        <f>MSY!F496</f>
        <v>5.4828234230685252E-2</v>
      </c>
      <c r="AA455" s="86">
        <f>MSY!G496</f>
        <v>3.6052577812818606E-2</v>
      </c>
      <c r="AB455">
        <f t="shared" si="23"/>
        <v>-5.4782681869035409E-3</v>
      </c>
      <c r="AC455">
        <f t="shared" si="24"/>
        <v>0.68716739513626235</v>
      </c>
      <c r="AF455">
        <f t="shared" si="22"/>
        <v>4.5199999999999996</v>
      </c>
    </row>
    <row r="456" spans="21:32" x14ac:dyDescent="0.3">
      <c r="U456" s="86">
        <f>MSY!A497</f>
        <v>4.53</v>
      </c>
      <c r="V456" s="86">
        <f>MSY!B497</f>
        <v>0.13579355191745499</v>
      </c>
      <c r="W456" s="86">
        <f>MSY!C497</f>
        <v>0.77253578397530775</v>
      </c>
      <c r="X456" s="86">
        <f>MSY!D497</f>
        <v>1.1740339007214349</v>
      </c>
      <c r="Y456" s="86">
        <f>MSY!E497</f>
        <v>4.2868858672862546E-2</v>
      </c>
      <c r="Z456" s="86">
        <f>MSY!F497</f>
        <v>5.0329493367176723E-2</v>
      </c>
      <c r="AA456" s="86">
        <f>MSY!G497</f>
        <v>3.3117727342966537E-2</v>
      </c>
      <c r="AB456">
        <f t="shared" si="23"/>
        <v>-5.4696906379157872E-3</v>
      </c>
      <c r="AC456">
        <f t="shared" si="24"/>
        <v>0.6871588175872746</v>
      </c>
      <c r="AF456">
        <f t="shared" si="22"/>
        <v>4.53</v>
      </c>
    </row>
    <row r="457" spans="21:32" x14ac:dyDescent="0.3">
      <c r="U457" s="86">
        <f>MSY!A498</f>
        <v>4.54</v>
      </c>
      <c r="V457" s="86">
        <f>MSY!B498</f>
        <v>0.13568859286905016</v>
      </c>
      <c r="W457" s="86">
        <f>MSY!C498</f>
        <v>0.77248112993088358</v>
      </c>
      <c r="X457" s="86">
        <f>MSY!D498</f>
        <v>1.1731264535026624</v>
      </c>
      <c r="Y457" s="86">
        <f>MSY!E498</f>
        <v>3.9080019264664645E-2</v>
      </c>
      <c r="Z457" s="86">
        <f>MSY!F498</f>
        <v>4.5845804402771757E-2</v>
      </c>
      <c r="AA457" s="86">
        <f>MSY!G498</f>
        <v>3.0188577439288843E-2</v>
      </c>
      <c r="AB457">
        <f t="shared" si="23"/>
        <v>-5.4611235252412012E-3</v>
      </c>
      <c r="AC457">
        <f t="shared" si="24"/>
        <v>0.68715025047459999</v>
      </c>
      <c r="AF457">
        <f t="shared" si="22"/>
        <v>4.54</v>
      </c>
    </row>
    <row r="458" spans="21:32" x14ac:dyDescent="0.3">
      <c r="U458" s="86">
        <f>MSY!A499</f>
        <v>4.55</v>
      </c>
      <c r="V458" s="86">
        <f>MSY!B499</f>
        <v>0.1355839842009732</v>
      </c>
      <c r="W458" s="86">
        <f>MSY!C499</f>
        <v>0.77242656150480293</v>
      </c>
      <c r="X458" s="86">
        <f>MSY!D499</f>
        <v>1.1722220355763509</v>
      </c>
      <c r="Y458" s="86">
        <f>MSY!E499</f>
        <v>3.529799124294955E-2</v>
      </c>
      <c r="Z458" s="86">
        <f>MSY!F499</f>
        <v>4.1377083146566532E-2</v>
      </c>
      <c r="AA458" s="86">
        <f>MSY!G499</f>
        <v>2.7265106003818165E-2</v>
      </c>
      <c r="AB458">
        <f t="shared" si="23"/>
        <v>-5.4525670873107942E-3</v>
      </c>
      <c r="AC458">
        <f t="shared" si="24"/>
        <v>0.68714169403666958</v>
      </c>
      <c r="AF458">
        <f t="shared" si="22"/>
        <v>4.55</v>
      </c>
    </row>
    <row r="459" spans="21:32" x14ac:dyDescent="0.3">
      <c r="U459" s="86">
        <f>MSY!A500</f>
        <v>4.5599999999999996</v>
      </c>
      <c r="V459" s="86">
        <f>MSY!B500</f>
        <v>0.13547972395772831</v>
      </c>
      <c r="W459" s="86">
        <f>MSY!C500</f>
        <v>0.77237207858913737</v>
      </c>
      <c r="X459" s="86">
        <f>MSY!D500</f>
        <v>1.1713206300358185</v>
      </c>
      <c r="Y459" s="86">
        <f>MSY!E500</f>
        <v>3.1522748866517493E-2</v>
      </c>
      <c r="Z459" s="86">
        <f>MSY!F500</f>
        <v>3.6923246062790155E-2</v>
      </c>
      <c r="AA459" s="86">
        <f>MSY!G500</f>
        <v>2.434729106487549E-2</v>
      </c>
      <c r="AB459">
        <f t="shared" si="23"/>
        <v>-5.4440215581817849E-3</v>
      </c>
      <c r="AC459">
        <f t="shared" si="24"/>
        <v>0.68713314850754059</v>
      </c>
      <c r="AF459">
        <f t="shared" si="22"/>
        <v>4.5599999999999996</v>
      </c>
    </row>
    <row r="460" spans="21:32" x14ac:dyDescent="0.3">
      <c r="U460" s="86">
        <f>MSY!A501</f>
        <v>4.57</v>
      </c>
      <c r="V460" s="86">
        <f>MSY!B501</f>
        <v>0.13537581019899839</v>
      </c>
      <c r="W460" s="86">
        <f>MSY!C501</f>
        <v>0.77231768107363929</v>
      </c>
      <c r="X460" s="86">
        <f>MSY!D501</f>
        <v>1.1704222201056145</v>
      </c>
      <c r="Y460" s="86">
        <f>MSY!E501</f>
        <v>2.7754266542505915E-2</v>
      </c>
      <c r="Z460" s="86">
        <f>MSY!F501</f>
        <v>3.2484210264082748E-2</v>
      </c>
      <c r="AA460" s="86">
        <f>MSY!G501</f>
        <v>2.1435110776007862E-2</v>
      </c>
      <c r="AB460">
        <f t="shared" si="23"/>
        <v>-5.4354871675542501E-3</v>
      </c>
      <c r="AC460">
        <f t="shared" si="24"/>
        <v>0.68712461411691306</v>
      </c>
      <c r="AF460">
        <f t="shared" si="22"/>
        <v>4.57</v>
      </c>
    </row>
    <row r="461" spans="21:32" x14ac:dyDescent="0.3">
      <c r="U461" s="86">
        <f>MSY!A502</f>
        <v>4.58</v>
      </c>
      <c r="V461" s="86">
        <f>MSY!B502</f>
        <v>0.1352722409994897</v>
      </c>
      <c r="W461" s="86">
        <f>MSY!C502</f>
        <v>0.77226336884578628</v>
      </c>
      <c r="X461" s="86">
        <f>MSY!D502</f>
        <v>1.1695267891401759</v>
      </c>
      <c r="Y461" s="86">
        <f>MSY!E502</f>
        <v>2.3992518825064067E-2</v>
      </c>
      <c r="Z461" s="86">
        <f>MSY!F502</f>
        <v>2.8059893504862404E-2</v>
      </c>
      <c r="AA461" s="86">
        <f>MSY!G502</f>
        <v>1.8528543414939921E-2</v>
      </c>
      <c r="AB461">
        <f t="shared" si="23"/>
        <v>-5.4269641408978319E-3</v>
      </c>
      <c r="AC461">
        <f t="shared" si="24"/>
        <v>0.68711609109025662</v>
      </c>
      <c r="AF461">
        <f t="shared" si="22"/>
        <v>4.58</v>
      </c>
    </row>
    <row r="462" spans="21:32" x14ac:dyDescent="0.3">
      <c r="U462" s="86">
        <f>MSY!A503</f>
        <v>4.59</v>
      </c>
      <c r="V462" s="86">
        <f>MSY!B503</f>
        <v>0.13516901444877799</v>
      </c>
      <c r="W462" s="86">
        <f>MSY!C503</f>
        <v>0.77220914179082134</v>
      </c>
      <c r="X462" s="86">
        <f>MSY!D503</f>
        <v>1.1686343206224972</v>
      </c>
      <c r="Y462" s="86">
        <f>MSY!E503</f>
        <v>2.0237480414014207E-2</v>
      </c>
      <c r="Z462" s="86">
        <f>MSY!F503</f>
        <v>2.3650214174742584E-2</v>
      </c>
      <c r="AA462" s="86">
        <f>MSY!G503</f>
        <v>1.5627567382514466E-2</v>
      </c>
      <c r="AB462">
        <f t="shared" si="23"/>
        <v>-5.4184526995738657E-3</v>
      </c>
      <c r="AC462">
        <f t="shared" si="24"/>
        <v>0.68710757964893265</v>
      </c>
      <c r="AF462">
        <f t="shared" si="22"/>
        <v>4.59</v>
      </c>
    </row>
    <row r="463" spans="21:32" x14ac:dyDescent="0.3">
      <c r="U463" s="86">
        <f>MSY!A504</f>
        <v>4.5999999999999996</v>
      </c>
      <c r="V463" s="86">
        <f>MSY!B504</f>
        <v>0.13506612865115705</v>
      </c>
      <c r="W463" s="86">
        <f>MSY!C504</f>
        <v>0.7721549997917948</v>
      </c>
      <c r="X463" s="86">
        <f>MSY!D504</f>
        <v>1.1677447981628213</v>
      </c>
      <c r="Y463" s="86">
        <f>MSY!E504</f>
        <v>1.6489126153564487E-2</v>
      </c>
      <c r="Z463" s="86">
        <f>MSY!F504</f>
        <v>1.925509129207546E-2</v>
      </c>
      <c r="AA463" s="86">
        <f>MSY!G504</f>
        <v>1.2732161201672466E-2</v>
      </c>
      <c r="AB463">
        <f t="shared" si="23"/>
        <v>-5.4099530607086693E-3</v>
      </c>
      <c r="AC463">
        <f t="shared" si="24"/>
        <v>0.68709908001006748</v>
      </c>
      <c r="AF463">
        <f t="shared" si="22"/>
        <v>4.5999999999999996</v>
      </c>
    </row>
    <row r="464" spans="21:32" x14ac:dyDescent="0.3">
      <c r="U464" s="86">
        <f>MSY!A505</f>
        <v>4.6100000000000003</v>
      </c>
      <c r="V464" s="86">
        <f>MSY!B505</f>
        <v>0.13496358172548903</v>
      </c>
      <c r="W464" s="86">
        <f>MSY!C505</f>
        <v>0.77210094272960716</v>
      </c>
      <c r="X464" s="86">
        <f>MSY!D505</f>
        <v>1.1668582054973449</v>
      </c>
      <c r="Y464" s="86">
        <f>MSY!E505</f>
        <v>1.2747431031011659E-2</v>
      </c>
      <c r="Z464" s="86">
        <f>MSY!F505</f>
        <v>1.4874444497547433E-2</v>
      </c>
      <c r="AA464" s="86">
        <f>MSY!G505</f>
        <v>9.8423035164247503E-3</v>
      </c>
      <c r="AB464">
        <f t="shared" si="23"/>
        <v>-5.4014654374377885E-3</v>
      </c>
      <c r="AC464">
        <f t="shared" si="24"/>
        <v>0.68709059238679659</v>
      </c>
      <c r="AF464">
        <f t="shared" si="22"/>
        <v>4.6100000000000003</v>
      </c>
    </row>
    <row r="465" spans="21:32" x14ac:dyDescent="0.3">
      <c r="U465" s="86">
        <f>MSY!A506</f>
        <v>4.62</v>
      </c>
      <c r="V465" s="86">
        <f>MSY!B506</f>
        <v>0.13486137180505661</v>
      </c>
      <c r="W465" s="86">
        <f>MSY!C506</f>
        <v>0.77204697048304605</v>
      </c>
      <c r="X465" s="86">
        <f>MSY!D506</f>
        <v>1.1659745264869406</v>
      </c>
      <c r="Y465" s="86">
        <f>MSY!E506</f>
        <v>9.0123701754686401E-3</v>
      </c>
      <c r="Z465" s="86">
        <f>MSY!F506</f>
        <v>1.0508194047867072E-2</v>
      </c>
      <c r="AA465" s="86">
        <f>MSY!G506</f>
        <v>6.9579730908423216E-3</v>
      </c>
      <c r="AB465">
        <f t="shared" si="23"/>
        <v>-5.3929900389272411E-3</v>
      </c>
      <c r="AC465">
        <f t="shared" si="24"/>
        <v>0.68708211698828603</v>
      </c>
      <c r="AF465">
        <f t="shared" si="22"/>
        <v>4.62</v>
      </c>
    </row>
    <row r="466" spans="21:32" x14ac:dyDescent="0.3">
      <c r="U466" s="86">
        <f>MSY!A507</f>
        <v>4.63</v>
      </c>
      <c r="V466" s="86">
        <f>MSY!B507</f>
        <v>0.1347594970374168</v>
      </c>
      <c r="W466" s="86">
        <f>MSY!C507</f>
        <v>0.77199308292882862</v>
      </c>
      <c r="X466" s="86">
        <f>MSY!D507</f>
        <v>1.1650937451158929</v>
      </c>
      <c r="Y466" s="86">
        <f>MSY!E507</f>
        <v>5.2839188565978763E-3</v>
      </c>
      <c r="Z466" s="86">
        <f>MSY!F507</f>
        <v>6.1562608095221067E-3</v>
      </c>
      <c r="AA466" s="86">
        <f>MSY!G507</f>
        <v>4.0791488080507655E-3</v>
      </c>
      <c r="AB466">
        <f t="shared" si="23"/>
        <v>-5.3845270703457605E-3</v>
      </c>
      <c r="AC466">
        <f t="shared" si="24"/>
        <v>0.68707365401970455</v>
      </c>
      <c r="AF466">
        <f t="shared" si="22"/>
        <v>4.63</v>
      </c>
    </row>
    <row r="467" spans="21:32" x14ac:dyDescent="0.3">
      <c r="U467" s="86">
        <f>MSY!A508</f>
        <v>4.6399999999999997</v>
      </c>
      <c r="V467" s="86">
        <f>MSY!B508</f>
        <v>0.13465795558425672</v>
      </c>
      <c r="W467" s="86">
        <f>MSY!C508</f>
        <v>0.77193927994163913</v>
      </c>
      <c r="X467" s="86">
        <f>MSY!D508</f>
        <v>1.1642158454906522</v>
      </c>
      <c r="Y467" s="86">
        <f>MSY!E508</f>
        <v>1.5620524833618902E-3</v>
      </c>
      <c r="Z467" s="86">
        <f>MSY!F508</f>
        <v>1.8185662526179359E-3</v>
      </c>
      <c r="AA467" s="86">
        <f>MSY!G508</f>
        <v>1.2058096692374267E-3</v>
      </c>
      <c r="AB467">
        <f t="shared" si="23"/>
        <v>-5.3760767330545004E-3</v>
      </c>
      <c r="AC467">
        <f t="shared" si="24"/>
        <v>0.68706520368241331</v>
      </c>
      <c r="AF467">
        <f t="shared" si="22"/>
        <v>4.6399999999999997</v>
      </c>
    </row>
    <row r="468" spans="21:32" x14ac:dyDescent="0.3">
      <c r="U468" s="86">
        <f>MSY!A509</f>
        <v>4.6500000000000004</v>
      </c>
      <c r="V468" s="86">
        <f>MSY!B509</f>
        <v>0.13455674562125122</v>
      </c>
      <c r="W468" s="86">
        <f>MSY!C509</f>
        <v>0.77188556139416753</v>
      </c>
      <c r="X468" s="86">
        <f>MSY!D509</f>
        <v>1.1633408118386019</v>
      </c>
      <c r="Y468" s="86">
        <f>MSY!E509</f>
        <v>-2.1532533972133698E-3</v>
      </c>
      <c r="Z468" s="86">
        <f>MSY!F509</f>
        <v>-2.5049675552084294E-3</v>
      </c>
      <c r="AA468" s="86">
        <f>MSY!G509</f>
        <v>0</v>
      </c>
      <c r="AB468">
        <f t="shared" si="23"/>
        <v>-5.3676392246236751E-3</v>
      </c>
      <c r="AC468">
        <f t="shared" si="24"/>
        <v>0.68705676617398248</v>
      </c>
      <c r="AF468">
        <f t="shared" si="22"/>
        <v>4.6500000000000004</v>
      </c>
    </row>
    <row r="469" spans="21:32" x14ac:dyDescent="0.3">
      <c r="U469" s="86">
        <f>MSY!A510</f>
        <v>4.66</v>
      </c>
      <c r="V469" s="86">
        <f>MSY!B510</f>
        <v>0.13445586533792225</v>
      </c>
      <c r="W469" s="86">
        <f>MSY!C510</f>
        <v>0.77183192715714666</v>
      </c>
      <c r="X469" s="86">
        <f>MSY!D510</f>
        <v>1.1624686285068442</v>
      </c>
      <c r="Y469" s="86">
        <f>MSY!E510</f>
        <v>-5.8620231012560349E-3</v>
      </c>
      <c r="Z469" s="86">
        <f>MSY!F510</f>
        <v>-6.8144179547925407E-3</v>
      </c>
      <c r="AA469" s="86">
        <f>MSY!G510</f>
        <v>0</v>
      </c>
      <c r="AB469">
        <f t="shared" si="23"/>
        <v>-5.3592147388593671E-3</v>
      </c>
      <c r="AC469">
        <f t="shared" si="24"/>
        <v>0.68704834168821816</v>
      </c>
      <c r="AF469">
        <f t="shared" si="22"/>
        <v>4.66</v>
      </c>
    </row>
    <row r="470" spans="21:32" x14ac:dyDescent="0.3">
      <c r="U470" s="86">
        <f>MSY!A511</f>
        <v>4.67</v>
      </c>
      <c r="V470" s="86">
        <f>MSY!B511</f>
        <v>0.13435531293749978</v>
      </c>
      <c r="W470" s="86">
        <f>MSY!C511</f>
        <v>0.77177837709939034</v>
      </c>
      <c r="X470" s="86">
        <f>MSY!D511</f>
        <v>1.1615992799609967</v>
      </c>
      <c r="Y470" s="86">
        <f>MSY!E511</f>
        <v>-9.5642808092626323E-3</v>
      </c>
      <c r="Z470" s="86">
        <f>MSY!F511</f>
        <v>-1.1109861701384251E-2</v>
      </c>
      <c r="AA470" s="86">
        <f>MSY!G511</f>
        <v>0</v>
      </c>
      <c r="AB470">
        <f t="shared" si="23"/>
        <v>-5.3508034658368321E-3</v>
      </c>
      <c r="AC470">
        <f t="shared" si="24"/>
        <v>0.68703993041519562</v>
      </c>
      <c r="AF470">
        <f t="shared" si="22"/>
        <v>4.67</v>
      </c>
    </row>
    <row r="471" spans="21:32" x14ac:dyDescent="0.3">
      <c r="U471" s="86">
        <f>MSY!A512</f>
        <v>4.68</v>
      </c>
      <c r="V471" s="86">
        <f>MSY!B512</f>
        <v>0.13425508663678473</v>
      </c>
      <c r="W471" s="86">
        <f>MSY!C512</f>
        <v>0.77172491108782992</v>
      </c>
      <c r="X471" s="86">
        <f>MSY!D512</f>
        <v>1.1607327507840082</v>
      </c>
      <c r="Y471" s="86">
        <f>MSY!E512</f>
        <v>-1.3260050567286859E-2</v>
      </c>
      <c r="Z471" s="86">
        <f>MSY!F512</f>
        <v>-1.5391374970501925E-2</v>
      </c>
      <c r="AA471" s="86">
        <f>MSY!G512</f>
        <v>0</v>
      </c>
      <c r="AB471">
        <f t="shared" si="23"/>
        <v>-5.3424055920568859E-3</v>
      </c>
      <c r="AC471">
        <f t="shared" si="24"/>
        <v>0.68703153254141569</v>
      </c>
      <c r="AF471">
        <f t="shared" si="22"/>
        <v>4.68</v>
      </c>
    </row>
    <row r="472" spans="21:32" x14ac:dyDescent="0.3">
      <c r="U472" s="86">
        <f>MSY!A513</f>
        <v>4.6900000000000004</v>
      </c>
      <c r="V472" s="86">
        <f>MSY!B513</f>
        <v>0.13415518466601295</v>
      </c>
      <c r="W472" s="86">
        <f>MSY!C513</f>
        <v>0.7716715289875492</v>
      </c>
      <c r="X472" s="86">
        <f>MSY!D513</f>
        <v>1.159869025674982</v>
      </c>
      <c r="Y472" s="86">
        <f>MSY!E513</f>
        <v>-1.6949356288143046E-2</v>
      </c>
      <c r="Z472" s="86">
        <f>MSY!F513</f>
        <v>-1.9659033363746602E-2</v>
      </c>
      <c r="AA472" s="86">
        <f>MSY!G513</f>
        <v>0</v>
      </c>
      <c r="AB472">
        <f t="shared" si="23"/>
        <v>-5.3340213004514515E-3</v>
      </c>
      <c r="AC472">
        <f t="shared" si="24"/>
        <v>0.68702314824981026</v>
      </c>
      <c r="AF472">
        <f t="shared" si="22"/>
        <v>4.6900000000000004</v>
      </c>
    </row>
    <row r="473" spans="21:32" x14ac:dyDescent="0.3">
      <c r="U473" s="86">
        <f>MSY!A514</f>
        <v>4.7</v>
      </c>
      <c r="V473" s="86">
        <f>MSY!B514</f>
        <v>0.13405560526872184</v>
      </c>
      <c r="W473" s="86">
        <f>MSY!C514</f>
        <v>0.77161823066182089</v>
      </c>
      <c r="X473" s="86">
        <f>MSY!D514</f>
        <v>1.1590080894480232</v>
      </c>
      <c r="Y473" s="86">
        <f>MSY!E514</f>
        <v>-2.0632221752552159E-2</v>
      </c>
      <c r="Z473" s="86">
        <f>MSY!F514</f>
        <v>-2.3912911914493424E-2</v>
      </c>
      <c r="AA473" s="86">
        <f>MSY!G514</f>
        <v>0</v>
      </c>
      <c r="AB473">
        <f t="shared" si="23"/>
        <v>-5.325650770393711E-3</v>
      </c>
      <c r="AC473">
        <f t="shared" si="24"/>
        <v>0.6870147777197525</v>
      </c>
      <c r="AF473">
        <f t="shared" si="22"/>
        <v>4.7</v>
      </c>
    </row>
    <row r="474" spans="21:32" x14ac:dyDescent="0.3">
      <c r="U474" s="86">
        <f>MSY!A515</f>
        <v>4.71</v>
      </c>
      <c r="V474" s="86">
        <f>MSY!B515</f>
        <v>0.13395634670161788</v>
      </c>
      <c r="W474" s="86">
        <f>MSY!C515</f>
        <v>0.77156501597214133</v>
      </c>
      <c r="X474" s="86">
        <f>MSY!D515</f>
        <v>1.1581499270310924</v>
      </c>
      <c r="Y474" s="86">
        <f>MSY!E515</f>
        <v>-2.4308670610317797E-2</v>
      </c>
      <c r="Z474" s="86">
        <f>MSY!F515</f>
        <v>-2.815308509356242E-2</v>
      </c>
      <c r="AA474" s="86">
        <f>MSY!G515</f>
        <v>0</v>
      </c>
      <c r="AB474">
        <f t="shared" si="23"/>
        <v>-5.3172941778313358E-3</v>
      </c>
      <c r="AC474">
        <f t="shared" si="24"/>
        <v>0.68700642112719013</v>
      </c>
      <c r="AF474">
        <f t="shared" si="22"/>
        <v>4.71</v>
      </c>
    </row>
    <row r="475" spans="21:32" x14ac:dyDescent="0.3">
      <c r="U475" s="86">
        <f>MSY!A516</f>
        <v>4.72</v>
      </c>
      <c r="V475" s="86">
        <f>MSY!B516</f>
        <v>0.13385740723444584</v>
      </c>
      <c r="W475" s="86">
        <f>MSY!C516</f>
        <v>0.77151188477826427</v>
      </c>
      <c r="X475" s="86">
        <f>MSY!D516</f>
        <v>1.1572945234648766</v>
      </c>
      <c r="Y475" s="86">
        <f>MSY!E516</f>
        <v>-2.797872638146455E-2</v>
      </c>
      <c r="Z475" s="86">
        <f>MSY!F516</f>
        <v>-3.2379626814791188E-2</v>
      </c>
      <c r="AA475" s="86">
        <f>MSY!G516</f>
        <v>0</v>
      </c>
      <c r="AB475">
        <f t="shared" si="23"/>
        <v>-5.3089516952652292E-3</v>
      </c>
      <c r="AC475">
        <f t="shared" si="24"/>
        <v>0.68699807864462403</v>
      </c>
      <c r="AF475">
        <f t="shared" si="22"/>
        <v>4.72</v>
      </c>
    </row>
    <row r="476" spans="21:32" x14ac:dyDescent="0.3">
      <c r="U476" s="86">
        <f>MSY!A517</f>
        <v>4.7300000000000004</v>
      </c>
      <c r="V476" s="86">
        <f>MSY!B517</f>
        <v>0.13375878514985981</v>
      </c>
      <c r="W476" s="86">
        <f>MSY!C517</f>
        <v>0.77145883693823603</v>
      </c>
      <c r="X476" s="86">
        <f>MSY!D517</f>
        <v>1.1564418639016729</v>
      </c>
      <c r="Y476" s="86">
        <f>MSY!E517</f>
        <v>-3.1642412457375042E-2</v>
      </c>
      <c r="Z476" s="86">
        <f>MSY!F517</f>
        <v>-3.6592610440552308E-2</v>
      </c>
      <c r="AA476" s="86">
        <f>MSY!G517</f>
        <v>0</v>
      </c>
      <c r="AB476">
        <f t="shared" si="23"/>
        <v>-5.3006234918771987E-3</v>
      </c>
      <c r="AC476">
        <f t="shared" si="24"/>
        <v>0.686989750441236</v>
      </c>
      <c r="AF476">
        <f t="shared" si="22"/>
        <v>4.7300000000000004</v>
      </c>
    </row>
    <row r="477" spans="21:32" x14ac:dyDescent="0.3">
      <c r="U477" s="86">
        <f>MSY!A518</f>
        <v>4.74</v>
      </c>
      <c r="V477" s="86">
        <f>MSY!B518</f>
        <v>0.13366047874329554</v>
      </c>
      <c r="W477" s="86">
        <f>MSY!C518</f>
        <v>0.77140587230842672</v>
      </c>
      <c r="X477" s="86">
        <f>MSY!D518</f>
        <v>1.155591933604285</v>
      </c>
      <c r="Y477" s="86">
        <f>MSY!E518</f>
        <v>-3.5299752101918075E-2</v>
      </c>
      <c r="Z477" s="86">
        <f>MSY!F518</f>
        <v>-4.0792108787207432E-2</v>
      </c>
      <c r="AA477" s="86">
        <f>MSY!G518</f>
        <v>0</v>
      </c>
      <c r="AB477">
        <f t="shared" si="23"/>
        <v>-5.2923097335456654E-3</v>
      </c>
      <c r="AC477">
        <f t="shared" si="24"/>
        <v>0.68698143668290446</v>
      </c>
      <c r="AF477">
        <f t="shared" si="22"/>
        <v>4.74</v>
      </c>
    </row>
    <row r="478" spans="21:32" x14ac:dyDescent="0.3">
      <c r="U478" s="86">
        <f>MSY!A519</f>
        <v>4.75</v>
      </c>
      <c r="V478" s="86">
        <f>MSY!B519</f>
        <v>0.1335624863228449</v>
      </c>
      <c r="W478" s="86">
        <f>MSY!C519</f>
        <v>0.77135299074356511</v>
      </c>
      <c r="X478" s="86">
        <f>MSY!D519</f>
        <v>1.1547447179449382</v>
      </c>
      <c r="Y478" s="86">
        <f>MSY!E519</f>
        <v>-3.8950768452539697E-2</v>
      </c>
      <c r="Z478" s="86">
        <f>MSY!F519</f>
        <v>-4.4978194130466553E-2</v>
      </c>
      <c r="AA478" s="86">
        <f>MSY!G519</f>
        <v>0</v>
      </c>
      <c r="AB478">
        <f t="shared" si="23"/>
        <v>-5.2840105828068102E-3</v>
      </c>
      <c r="AC478">
        <f t="shared" si="24"/>
        <v>0.6869731375321656</v>
      </c>
      <c r="AF478">
        <f t="shared" si="22"/>
        <v>4.75</v>
      </c>
    </row>
    <row r="479" spans="21:32" x14ac:dyDescent="0.3">
      <c r="U479" s="86">
        <f>MSY!A520</f>
        <v>4.76</v>
      </c>
      <c r="V479" s="86">
        <f>MSY!B520</f>
        <v>0.13346480620913079</v>
      </c>
      <c r="W479" s="86">
        <f>MSY!C520</f>
        <v>0.77130019209677059</v>
      </c>
      <c r="X479" s="86">
        <f>MSY!D520</f>
        <v>1.1539002024041973</v>
      </c>
      <c r="Y479" s="86">
        <f>MSY!E520</f>
        <v>-4.2595484521388172E-2</v>
      </c>
      <c r="Z479" s="86">
        <f>MSY!F520</f>
        <v>-4.9150938210734664E-2</v>
      </c>
      <c r="AA479" s="86">
        <f>MSY!G520</f>
        <v>0</v>
      </c>
      <c r="AB479">
        <f t="shared" si="23"/>
        <v>-5.275726199122201E-3</v>
      </c>
      <c r="AC479">
        <f t="shared" si="24"/>
        <v>0.68696485314848099</v>
      </c>
      <c r="AF479">
        <f t="shared" si="22"/>
        <v>4.76</v>
      </c>
    </row>
    <row r="480" spans="21:32" x14ac:dyDescent="0.3">
      <c r="U480" s="86">
        <f>MSY!A521</f>
        <v>4.7699999999999996</v>
      </c>
      <c r="V480" s="86">
        <f>MSY!B521</f>
        <v>0.13336743673518478</v>
      </c>
      <c r="W480" s="86">
        <f>MSY!C521</f>
        <v>0.77124747621958267</v>
      </c>
      <c r="X480" s="86">
        <f>MSY!D521</f>
        <v>1.1530583725699095</v>
      </c>
      <c r="Y480" s="86">
        <f>MSY!E521</f>
        <v>-4.6233923196376307E-2</v>
      </c>
      <c r="Z480" s="86">
        <f>MSY!F521</f>
        <v>-5.3310412238335859E-2</v>
      </c>
      <c r="AA480" s="86">
        <f>MSY!G521</f>
        <v>0</v>
      </c>
      <c r="AB480">
        <f t="shared" si="23"/>
        <v>-5.2674567387388412E-3</v>
      </c>
      <c r="AC480">
        <f t="shared" si="24"/>
        <v>0.68695658368809764</v>
      </c>
      <c r="AF480">
        <f t="shared" si="22"/>
        <v>4.7699999999999996</v>
      </c>
    </row>
    <row r="481" spans="21:32" x14ac:dyDescent="0.3">
      <c r="U481" s="86">
        <f>MSY!A522</f>
        <v>4.78</v>
      </c>
      <c r="V481" s="86">
        <f>MSY!B522</f>
        <v>0.13327037624632532</v>
      </c>
      <c r="W481" s="86">
        <f>MSY!C522</f>
        <v>0.77119484296199581</v>
      </c>
      <c r="X481" s="86">
        <f>MSY!D522</f>
        <v>1.1522192141361507</v>
      </c>
      <c r="Y481" s="86">
        <f>MSY!E522</f>
        <v>-4.9866107242271938E-2</v>
      </c>
      <c r="Z481" s="86">
        <f>MSY!F522</f>
        <v>-5.7456686898719592E-2</v>
      </c>
      <c r="AA481" s="86">
        <f>MSY!G522</f>
        <v>0</v>
      </c>
      <c r="AB481">
        <f t="shared" si="23"/>
        <v>-5.2592023547736073E-3</v>
      </c>
      <c r="AC481">
        <f t="shared" si="24"/>
        <v>0.68694832930413241</v>
      </c>
      <c r="AF481">
        <f t="shared" si="22"/>
        <v>4.78</v>
      </c>
    </row>
    <row r="482" spans="21:32" x14ac:dyDescent="0.3">
      <c r="U482" s="86">
        <f>MSY!A523</f>
        <v>4.79</v>
      </c>
      <c r="V482" s="86">
        <f>MSY!B523</f>
        <v>0.13317362310003766</v>
      </c>
      <c r="W482" s="86">
        <f>MSY!C523</f>
        <v>0.7711422921724872</v>
      </c>
      <c r="X482" s="86">
        <f>MSY!D523</f>
        <v>1.1513827129021879</v>
      </c>
      <c r="Y482" s="86">
        <f>MSY!E523</f>
        <v>-5.3492059301760909E-2</v>
      </c>
      <c r="Z482" s="86">
        <f>MSY!F523</f>
        <v>-6.1589832357586194E-2</v>
      </c>
      <c r="AA482" s="86">
        <f>MSY!G523</f>
        <v>0</v>
      </c>
      <c r="AB482">
        <f t="shared" si="23"/>
        <v>-5.2509631973231006E-3</v>
      </c>
      <c r="AC482">
        <f t="shared" si="24"/>
        <v>0.68694009014668189</v>
      </c>
      <c r="AF482">
        <f t="shared" si="22"/>
        <v>4.79</v>
      </c>
    </row>
    <row r="483" spans="21:32" x14ac:dyDescent="0.3">
      <c r="U483" s="86">
        <f>MSY!A524</f>
        <v>4.8</v>
      </c>
      <c r="V483" s="86">
        <f>MSY!B524</f>
        <v>0.13307717566585572</v>
      </c>
      <c r="W483" s="86">
        <f>MSY!C524</f>
        <v>0.77108982369804935</v>
      </c>
      <c r="X483" s="86">
        <f>MSY!D524</f>
        <v>1.1505488547714569</v>
      </c>
      <c r="Y483" s="86">
        <f>MSY!E524</f>
        <v>-5.7111801896488394E-2</v>
      </c>
      <c r="Z483" s="86">
        <f>MSY!F524</f>
        <v>-6.5709918265939041E-2</v>
      </c>
      <c r="AA483" s="86">
        <f>MSY!G524</f>
        <v>0</v>
      </c>
      <c r="AB483">
        <f t="shared" si="23"/>
        <v>-5.2427394134192404E-3</v>
      </c>
      <c r="AC483">
        <f t="shared" si="24"/>
        <v>0.68693186636277803</v>
      </c>
      <c r="AF483">
        <f t="shared" si="22"/>
        <v>4.8</v>
      </c>
    </row>
    <row r="484" spans="21:32" x14ac:dyDescent="0.3">
      <c r="U484" s="86">
        <f>MSY!A525</f>
        <v>4.8099999999999996</v>
      </c>
      <c r="V484" s="86">
        <f>MSY!B525</f>
        <v>0.13298103232524433</v>
      </c>
      <c r="W484" s="86">
        <f>MSY!C525</f>
        <v>0.77103743738421882</v>
      </c>
      <c r="X484" s="86">
        <f>MSY!D525</f>
        <v>1.1497176257505457</v>
      </c>
      <c r="Y484" s="86">
        <f>MSY!E525</f>
        <v>-6.0725357428115495E-2</v>
      </c>
      <c r="Z484" s="86">
        <f>MSY!F525</f>
        <v>-6.9817013765106212E-2</v>
      </c>
      <c r="AA484" s="86">
        <f>MSY!G525</f>
        <v>0</v>
      </c>
      <c r="AB484">
        <f t="shared" si="23"/>
        <v>-5.2345311471689764E-3</v>
      </c>
      <c r="AC484">
        <f t="shared" si="24"/>
        <v>0.68692365809652778</v>
      </c>
      <c r="AF484">
        <f t="shared" si="22"/>
        <v>4.8099999999999996</v>
      </c>
    </row>
    <row r="485" spans="21:32" x14ac:dyDescent="0.3">
      <c r="U485" s="86">
        <f>MSY!A526</f>
        <v>4.82</v>
      </c>
      <c r="V485" s="86">
        <f>MSY!B526</f>
        <v>0.13288519147148412</v>
      </c>
      <c r="W485" s="86">
        <f>MSY!C526</f>
        <v>0.77098513307510597</v>
      </c>
      <c r="X485" s="86">
        <f>MSY!D526</f>
        <v>1.1488890119481985</v>
      </c>
      <c r="Y485" s="86">
        <f>MSY!E526</f>
        <v>-6.4332748179333113E-2</v>
      </c>
      <c r="Z485" s="86">
        <f>MSY!F526</f>
        <v>-7.391118749166628E-2</v>
      </c>
      <c r="AA485" s="86">
        <f>MSY!G526</f>
        <v>0</v>
      </c>
      <c r="AB485">
        <f t="shared" si="23"/>
        <v>-5.2263385397487332E-3</v>
      </c>
      <c r="AC485">
        <f t="shared" si="24"/>
        <v>0.68691546548910754</v>
      </c>
      <c r="AF485">
        <f t="shared" si="22"/>
        <v>4.82</v>
      </c>
    </row>
    <row r="486" spans="21:32" x14ac:dyDescent="0.3">
      <c r="U486" s="86">
        <f>MSY!A527</f>
        <v>4.83</v>
      </c>
      <c r="V486" s="86">
        <f>MSY!B527</f>
        <v>0.1327896515095566</v>
      </c>
      <c r="W486" s="86">
        <f>MSY!C527</f>
        <v>0.77093291061342384</v>
      </c>
      <c r="X486" s="86">
        <f>MSY!D527</f>
        <v>1.1480629995743215</v>
      </c>
      <c r="Y486" s="86">
        <f>MSY!E527</f>
        <v>-6.7933996314899353E-2</v>
      </c>
      <c r="Z486" s="86">
        <f>MSY!F527</f>
        <v>-7.7992507582354251E-2</v>
      </c>
      <c r="AA486" s="86">
        <f>MSY!G527</f>
        <v>0</v>
      </c>
      <c r="AB486">
        <f t="shared" si="23"/>
        <v>-5.2181617294922988E-3</v>
      </c>
      <c r="AC486">
        <f t="shared" si="24"/>
        <v>0.68690728867885109</v>
      </c>
      <c r="AF486">
        <f t="shared" si="22"/>
        <v>4.83</v>
      </c>
    </row>
    <row r="487" spans="21:32" x14ac:dyDescent="0.3">
      <c r="U487" s="86">
        <f>MSY!A528</f>
        <v>4.84</v>
      </c>
      <c r="V487" s="86">
        <f>MSY!B528</f>
        <v>0.13269441085603145</v>
      </c>
      <c r="W487" s="86">
        <f>MSY!C528</f>
        <v>0.77088076984051612</v>
      </c>
      <c r="X487" s="86">
        <f>MSY!D528</f>
        <v>1.1472395749390092</v>
      </c>
      <c r="Y487" s="86">
        <f>MSY!E528</f>
        <v>-7.1529123882635576E-2</v>
      </c>
      <c r="Z487" s="86">
        <f>MSY!F528</f>
        <v>-8.2061041678874569E-2</v>
      </c>
      <c r="AA487" s="86">
        <f>MSY!G528</f>
        <v>0</v>
      </c>
      <c r="AB487">
        <f t="shared" si="23"/>
        <v>-5.2100008518519703E-3</v>
      </c>
      <c r="AC487">
        <f t="shared" si="24"/>
        <v>0.68689912780121076</v>
      </c>
      <c r="AF487">
        <f t="shared" si="22"/>
        <v>4.84</v>
      </c>
    </row>
    <row r="488" spans="21:32" x14ac:dyDescent="0.3">
      <c r="U488" s="86">
        <f>MSY!A529</f>
        <v>4.8499999999999996</v>
      </c>
      <c r="V488" s="86">
        <f>MSY!B529</f>
        <v>0.13259946793895483</v>
      </c>
      <c r="W488" s="86">
        <f>MSY!C529</f>
        <v>0.7708287105963868</v>
      </c>
      <c r="X488" s="86">
        <f>MSY!D529</f>
        <v>1.1464187244515787</v>
      </c>
      <c r="Y488" s="86">
        <f>MSY!E529</f>
        <v>-7.5118152814430614E-2</v>
      </c>
      <c r="Z488" s="86">
        <f>MSY!F529</f>
        <v>-8.6116856932678301E-2</v>
      </c>
      <c r="AA488" s="86">
        <f>MSY!G529</f>
        <v>0</v>
      </c>
      <c r="AB488">
        <f t="shared" si="23"/>
        <v>-5.2018560394494397E-3</v>
      </c>
      <c r="AC488">
        <f t="shared" si="24"/>
        <v>0.68689098298880824</v>
      </c>
      <c r="AF488">
        <f t="shared" si="22"/>
        <v>4.8499999999999996</v>
      </c>
    </row>
    <row r="489" spans="21:32" x14ac:dyDescent="0.3">
      <c r="U489" s="86">
        <f>MSY!A530</f>
        <v>4.8600000000000003</v>
      </c>
      <c r="V489" s="86">
        <f>MSY!B530</f>
        <v>0.1325048211977389</v>
      </c>
      <c r="W489" s="86">
        <f>MSY!C530</f>
        <v>0.77077673271972713</v>
      </c>
      <c r="X489" s="86">
        <f>MSY!D530</f>
        <v>1.1456004346196149</v>
      </c>
      <c r="Y489" s="86">
        <f>MSY!E530</f>
        <v>-7.870110492722332E-2</v>
      </c>
      <c r="Z489" s="86">
        <f>MSY!F530</f>
        <v>-9.0160020009670952E-2</v>
      </c>
      <c r="AA489" s="86">
        <f>MSY!G530</f>
        <v>0</v>
      </c>
      <c r="AB489">
        <f t="shared" si="23"/>
        <v>-5.1937274222312226E-3</v>
      </c>
      <c r="AC489">
        <f t="shared" si="24"/>
        <v>0.68688285437159002</v>
      </c>
      <c r="AF489">
        <f t="shared" si="22"/>
        <v>4.8600000000000003</v>
      </c>
    </row>
    <row r="490" spans="21:32" x14ac:dyDescent="0.3">
      <c r="U490" s="86">
        <f>MSY!A531</f>
        <v>4.87</v>
      </c>
      <c r="V490" s="86">
        <f>MSY!B531</f>
        <v>0.13241046908305287</v>
      </c>
      <c r="W490" s="86">
        <f>MSY!C531</f>
        <v>0.77072483604794217</v>
      </c>
      <c r="X490" s="86">
        <f>MSY!D531</f>
        <v>1.1447846920480274</v>
      </c>
      <c r="Y490" s="86">
        <f>MSY!E531</f>
        <v>-8.227800192399029E-2</v>
      </c>
      <c r="Z490" s="86">
        <f>MSY!F531</f>
        <v>-9.4190597094882228E-2</v>
      </c>
      <c r="AA490" s="86">
        <f>MSY!G531</f>
        <v>0</v>
      </c>
      <c r="AB490">
        <f t="shared" si="23"/>
        <v>-5.1856151274399789E-3</v>
      </c>
      <c r="AC490">
        <f t="shared" si="24"/>
        <v>0.68687474207679877</v>
      </c>
      <c r="AF490">
        <f t="shared" si="22"/>
        <v>4.87</v>
      </c>
    </row>
    <row r="491" spans="21:32" x14ac:dyDescent="0.3">
      <c r="U491" s="86">
        <f>MSY!A532</f>
        <v>4.88</v>
      </c>
      <c r="V491" s="86">
        <f>MSY!B532</f>
        <v>0.13231641005671546</v>
      </c>
      <c r="W491" s="86">
        <f>MSY!C532</f>
        <v>0.77067302041717833</v>
      </c>
      <c r="X491" s="86">
        <f>MSY!D532</f>
        <v>1.1439714834381214</v>
      </c>
      <c r="Y491" s="86">
        <f>MSY!E532</f>
        <v>-8.5848865394693871E-2</v>
      </c>
      <c r="Z491" s="86">
        <f>MSY!F532</f>
        <v>-9.8208653897047554E-2</v>
      </c>
      <c r="AA491" s="86">
        <f>MSY!G532</f>
        <v>0</v>
      </c>
      <c r="AB491">
        <f t="shared" si="23"/>
        <v>-5.1775192796034144E-3</v>
      </c>
      <c r="AC491">
        <f t="shared" si="24"/>
        <v>0.68686664622896221</v>
      </c>
      <c r="AF491">
        <f t="shared" si="22"/>
        <v>4.88</v>
      </c>
    </row>
    <row r="492" spans="21:32" x14ac:dyDescent="0.3">
      <c r="U492" s="86">
        <f>MSY!A533</f>
        <v>4.8899999999999997</v>
      </c>
      <c r="V492" s="86">
        <f>MSY!B533</f>
        <v>0.13222264259158775</v>
      </c>
      <c r="W492" s="86">
        <f>MSY!C533</f>
        <v>0.77062128566235011</v>
      </c>
      <c r="X492" s="86">
        <f>MSY!D533</f>
        <v>1.1431607955866721</v>
      </c>
      <c r="Y492" s="86">
        <f>MSY!E533</f>
        <v>-8.9413716817267355E-2</v>
      </c>
      <c r="Z492" s="86">
        <f>MSY!F533</f>
        <v>-0.10221425565318876</v>
      </c>
      <c r="AA492" s="86">
        <f>MSY!G533</f>
        <v>0</v>
      </c>
      <c r="AB492">
        <f t="shared" si="23"/>
        <v>-5.1694400006462218E-3</v>
      </c>
      <c r="AC492">
        <f t="shared" si="24"/>
        <v>0.68685856695000502</v>
      </c>
      <c r="AF492">
        <f t="shared" si="22"/>
        <v>4.8899999999999997</v>
      </c>
    </row>
    <row r="493" spans="21:32" x14ac:dyDescent="0.3">
      <c r="U493" s="86">
        <f>MSY!A534</f>
        <v>4.9000000000000004</v>
      </c>
      <c r="V493" s="86">
        <f>MSY!B534</f>
        <v>0.13212916517146889</v>
      </c>
      <c r="W493" s="86">
        <f>MSY!C534</f>
        <v>0.77056963161716541</v>
      </c>
      <c r="X493" s="86">
        <f>MSY!D534</f>
        <v>1.1423526153850212</v>
      </c>
      <c r="Y493" s="86">
        <f>MSY!E534</f>
        <v>-9.2972577558531069E-2</v>
      </c>
      <c r="Z493" s="86">
        <f>MSY!F534</f>
        <v>-0.10620746713307469</v>
      </c>
      <c r="AA493" s="86">
        <f>MSY!G534</f>
        <v>0</v>
      </c>
      <c r="AB493">
        <f t="shared" si="23"/>
        <v>-5.1613774099178366E-3</v>
      </c>
      <c r="AC493">
        <f t="shared" si="24"/>
        <v>0.68685050435927664</v>
      </c>
      <c r="AF493">
        <f t="shared" si="22"/>
        <v>4.9000000000000004</v>
      </c>
    </row>
    <row r="494" spans="21:32" x14ac:dyDescent="0.3">
      <c r="U494" s="86">
        <f>MSY!A535</f>
        <v>4.91</v>
      </c>
      <c r="V494" s="86">
        <f>MSY!B535</f>
        <v>0.13203597629099129</v>
      </c>
      <c r="W494" s="86">
        <f>MSY!C535</f>
        <v>0.77051805811415175</v>
      </c>
      <c r="X494" s="86">
        <f>MSY!D535</f>
        <v>1.1415469298181729</v>
      </c>
      <c r="Y494" s="86">
        <f>MSY!E535</f>
        <v>-9.6525468875151399E-2</v>
      </c>
      <c r="Z494" s="86">
        <f>MSY!F535</f>
        <v>-0.11018835264368869</v>
      </c>
      <c r="AA494" s="86">
        <f>MSY!G535</f>
        <v>0</v>
      </c>
      <c r="AB494">
        <f t="shared" si="23"/>
        <v>-5.1533316241915142E-3</v>
      </c>
      <c r="AC494">
        <f t="shared" si="24"/>
        <v>0.68684245857355031</v>
      </c>
      <c r="AF494">
        <f t="shared" si="22"/>
        <v>4.91</v>
      </c>
    </row>
    <row r="495" spans="21:32" x14ac:dyDescent="0.3">
      <c r="U495" s="86">
        <f>MSY!A536</f>
        <v>4.92</v>
      </c>
      <c r="V495" s="86">
        <f>MSY!B536</f>
        <v>0.13194307445551837</v>
      </c>
      <c r="W495" s="86">
        <f>MSY!C536</f>
        <v>0.77046656498468158</v>
      </c>
      <c r="X495" s="86">
        <f>MSY!D536</f>
        <v>1.1407437259639077</v>
      </c>
      <c r="Y495" s="86">
        <f>MSY!E536</f>
        <v>-0.10007241191455682</v>
      </c>
      <c r="Z495" s="86">
        <f>MSY!F536</f>
        <v>-0.1141569760336065</v>
      </c>
      <c r="AA495" s="86">
        <f>MSY!G536</f>
        <v>0</v>
      </c>
      <c r="AB495">
        <f t="shared" si="23"/>
        <v>-5.1453027577309501E-3</v>
      </c>
      <c r="AC495">
        <f t="shared" si="24"/>
        <v>0.68683442970708974</v>
      </c>
      <c r="AF495">
        <f t="shared" si="22"/>
        <v>4.92</v>
      </c>
    </row>
    <row r="496" spans="21:32" x14ac:dyDescent="0.3">
      <c r="U496" s="86">
        <f>MSY!A537</f>
        <v>4.93</v>
      </c>
      <c r="V496" s="86">
        <f>MSY!B537</f>
        <v>0.13185045818104257</v>
      </c>
      <c r="W496" s="86">
        <f>MSY!C537</f>
        <v>0.77041515205899713</v>
      </c>
      <c r="X496" s="86">
        <f>MSY!D537</f>
        <v>1.1399429909919025</v>
      </c>
      <c r="Y496" s="86">
        <f>MSY!E537</f>
        <v>-0.10361342771586445</v>
      </c>
      <c r="Z496" s="86">
        <f>MSY!F537</f>
        <v>-0.11811340069734581</v>
      </c>
      <c r="AA496" s="86">
        <f>MSY!G537</f>
        <v>0</v>
      </c>
      <c r="AB496">
        <f t="shared" si="23"/>
        <v>-5.1372909223689122E-3</v>
      </c>
      <c r="AC496">
        <f t="shared" si="24"/>
        <v>0.68682641787172771</v>
      </c>
      <c r="AF496">
        <f t="shared" si="22"/>
        <v>4.93</v>
      </c>
    </row>
    <row r="497" spans="21:32" x14ac:dyDescent="0.3">
      <c r="U497" s="86">
        <f>MSY!A538</f>
        <v>4.9400000000000004</v>
      </c>
      <c r="V497" s="86">
        <f>MSY!B538</f>
        <v>0.13175812599408529</v>
      </c>
      <c r="W497" s="86">
        <f>MSY!C538</f>
        <v>0.7703638191662342</v>
      </c>
      <c r="X497" s="86">
        <f>MSY!D538</f>
        <v>1.1391447121628644</v>
      </c>
      <c r="Y497" s="86">
        <f>MSY!E538</f>
        <v>-0.10714853721077813</v>
      </c>
      <c r="Z497" s="86">
        <f>MSY!F538</f>
        <v>-0.12205768957964383</v>
      </c>
      <c r="AA497" s="86">
        <f>MSY!G538</f>
        <v>0</v>
      </c>
      <c r="AB497">
        <f t="shared" si="23"/>
        <v>-5.1292962274683751E-3</v>
      </c>
      <c r="AC497">
        <f t="shared" si="24"/>
        <v>0.68681842317682718</v>
      </c>
      <c r="AF497">
        <f t="shared" si="22"/>
        <v>4.9400000000000004</v>
      </c>
    </row>
    <row r="498" spans="21:32" x14ac:dyDescent="0.3">
      <c r="U498" s="86">
        <f>MSY!A539</f>
        <v>4.95</v>
      </c>
      <c r="V498" s="86">
        <f>MSY!B539</f>
        <v>0.13166607643159758</v>
      </c>
      <c r="W498" s="86">
        <f>MSY!C539</f>
        <v>0.77031256613444776</v>
      </c>
      <c r="X498" s="86">
        <f>MSY!D539</f>
        <v>1.1383488768276724</v>
      </c>
      <c r="Y498" s="86">
        <f>MSY!E539</f>
        <v>-0.11067776122449013</v>
      </c>
      <c r="Z498" s="86">
        <f>MSY!F539</f>
        <v>-0.12598990517969966</v>
      </c>
      <c r="AA498" s="86">
        <f>MSY!G539</f>
        <v>0</v>
      </c>
      <c r="AB498">
        <f t="shared" si="23"/>
        <v>-5.1213187799771225E-3</v>
      </c>
      <c r="AC498">
        <f t="shared" si="24"/>
        <v>0.68681044572933592</v>
      </c>
      <c r="AF498">
        <f t="shared" si="22"/>
        <v>4.95</v>
      </c>
    </row>
    <row r="499" spans="21:32" x14ac:dyDescent="0.3">
      <c r="U499" s="86">
        <f>MSY!A540</f>
        <v>4.96</v>
      </c>
      <c r="V499" s="86">
        <f>MSY!B540</f>
        <v>0.1315743080408619</v>
      </c>
      <c r="W499" s="86">
        <f>MSY!C540</f>
        <v>0.77026139279063466</v>
      </c>
      <c r="X499" s="86">
        <f>MSY!D540</f>
        <v>1.1375554724265278</v>
      </c>
      <c r="Y499" s="86">
        <f>MSY!E540</f>
        <v>-0.11420112047657667</v>
      </c>
      <c r="Z499" s="86">
        <f>MSY!F540</f>
        <v>-0.129910109555371</v>
      </c>
      <c r="AA499" s="86">
        <f>MSY!G540</f>
        <v>0</v>
      </c>
      <c r="AB499">
        <f t="shared" si="23"/>
        <v>-5.1133586845221162E-3</v>
      </c>
      <c r="AC499">
        <f t="shared" si="24"/>
        <v>0.68680248563388091</v>
      </c>
      <c r="AF499">
        <f t="shared" si="22"/>
        <v>4.96</v>
      </c>
    </row>
    <row r="500" spans="21:32" x14ac:dyDescent="0.3">
      <c r="U500" s="86">
        <f>MSY!A541</f>
        <v>4.97</v>
      </c>
      <c r="V500" s="86">
        <f>MSY!B541</f>
        <v>0.13148281937939552</v>
      </c>
      <c r="W500" s="86">
        <f>MSY!C541</f>
        <v>0.77021029896075732</v>
      </c>
      <c r="X500" s="86">
        <f>MSY!D541</f>
        <v>1.1367644864881201</v>
      </c>
      <c r="Y500" s="86">
        <f>MSY!E541</f>
        <v>-0.11771863558186124</v>
      </c>
      <c r="Z500" s="86">
        <f>MSY!F541</f>
        <v>-0.13381836432729663</v>
      </c>
      <c r="AA500" s="86">
        <f>MSY!G541</f>
        <v>0</v>
      </c>
      <c r="AB500">
        <f t="shared" si="23"/>
        <v>-5.1054160433715509E-3</v>
      </c>
      <c r="AC500">
        <f t="shared" si="24"/>
        <v>0.68679454299273035</v>
      </c>
      <c r="AF500">
        <f t="shared" si="22"/>
        <v>4.97</v>
      </c>
    </row>
    <row r="501" spans="21:32" x14ac:dyDescent="0.3">
      <c r="U501" s="86">
        <f>MSY!A542</f>
        <v>4.9800000000000004</v>
      </c>
      <c r="V501" s="86">
        <f>MSY!B542</f>
        <v>0.1313916090148543</v>
      </c>
      <c r="W501" s="86">
        <f>MSY!C542</f>
        <v>0.77015928446976722</v>
      </c>
      <c r="X501" s="86">
        <f>MSY!D542</f>
        <v>1.1359759066287933</v>
      </c>
      <c r="Y501" s="86">
        <f>MSY!E542</f>
        <v>-0.12123032705130832</v>
      </c>
      <c r="Z501" s="86">
        <f>MSY!F542</f>
        <v>-0.1377147306830151</v>
      </c>
      <c r="AA501" s="86">
        <f>MSY!G542</f>
        <v>0</v>
      </c>
      <c r="AB501">
        <f t="shared" si="23"/>
        <v>-5.0974909565292201E-3</v>
      </c>
      <c r="AC501">
        <f t="shared" si="24"/>
        <v>0.68678661790588802</v>
      </c>
      <c r="AF501">
        <f t="shared" si="22"/>
        <v>4.9800000000000004</v>
      </c>
    </row>
    <row r="502" spans="21:32" x14ac:dyDescent="0.3">
      <c r="U502" s="86">
        <f>MSY!A543</f>
        <v>4.99</v>
      </c>
      <c r="V502" s="86">
        <f>MSY!B543</f>
        <v>0.13130067552493829</v>
      </c>
      <c r="W502" s="86">
        <f>MSY!C543</f>
        <v>0.77010834914162674</v>
      </c>
      <c r="X502" s="86">
        <f>MSY!D543</f>
        <v>1.1351897205517312</v>
      </c>
      <c r="Y502" s="86">
        <f>MSY!E543</f>
        <v>-0.1247362152928681</v>
      </c>
      <c r="Z502" s="86">
        <f>MSY!F543</f>
        <v>-0.14159926938099152</v>
      </c>
      <c r="AA502" s="86">
        <f>MSY!G543</f>
        <v>0</v>
      </c>
      <c r="AB502">
        <f t="shared" si="23"/>
        <v>-5.0895835217003001E-3</v>
      </c>
      <c r="AC502">
        <f t="shared" si="24"/>
        <v>0.6867787104710591</v>
      </c>
      <c r="AF502">
        <f t="shared" si="22"/>
        <v>4.99</v>
      </c>
    </row>
    <row r="503" spans="21:32" x14ac:dyDescent="0.3">
      <c r="U503" s="86">
        <f>MSY!A544</f>
        <v>5</v>
      </c>
      <c r="V503" s="86">
        <f>MSY!B544</f>
        <v>0.13121001749729819</v>
      </c>
      <c r="W503" s="86">
        <f>MSY!C544</f>
        <v>0.77005749279933322</v>
      </c>
      <c r="X503" s="86">
        <f>MSY!D544</f>
        <v>1.1344059160461482</v>
      </c>
      <c r="Y503" s="86">
        <f>MSY!E544</f>
        <v>-0.12823632061232496</v>
      </c>
      <c r="Z503" s="86">
        <f>MSY!F544</f>
        <v>-0.14547204075461204</v>
      </c>
      <c r="AA503" s="86">
        <f>MSY!G544</f>
        <v>0</v>
      </c>
      <c r="AB503">
        <f t="shared" si="23"/>
        <v>-3.8616023260116578E-3</v>
      </c>
      <c r="AC503">
        <f t="shared" si="24"/>
        <v>0.68555072927537042</v>
      </c>
      <c r="AF503">
        <f t="shared" si="22"/>
        <v>5</v>
      </c>
    </row>
    <row r="504" spans="21:32" x14ac:dyDescent="0.3">
      <c r="U504" s="86">
        <f>MSY!A545</f>
        <v>10</v>
      </c>
      <c r="V504" s="86">
        <f>MSY!B545</f>
        <v>0.10443490769012664</v>
      </c>
      <c r="W504" s="86">
        <f>MSY!C545</f>
        <v>0.75076172148830833</v>
      </c>
      <c r="X504" s="86">
        <f>MSY!D545</f>
        <v>0.90291564154278503</v>
      </c>
      <c r="Y504" s="86">
        <f>MSY!E545</f>
        <v>-1.4278892206243408</v>
      </c>
      <c r="Z504" s="86">
        <f>MSY!F545</f>
        <v>-1.2892635116920539</v>
      </c>
      <c r="AA504" s="86">
        <f>MSY!G545</f>
        <v>0</v>
      </c>
      <c r="AB504">
        <f t="shared" si="23"/>
        <v>-3.213437646559895E-3</v>
      </c>
      <c r="AC504">
        <f t="shared" si="24"/>
        <v>0.68490256459591869</v>
      </c>
      <c r="AF504">
        <f t="shared" si="22"/>
        <v>10</v>
      </c>
    </row>
    <row r="505" spans="21:32" x14ac:dyDescent="0.3">
      <c r="U505" s="86">
        <f>MSY!A546</f>
        <v>20</v>
      </c>
      <c r="V505" s="86">
        <f>MSY!B546</f>
        <v>8.1398173687757411E-2</v>
      </c>
      <c r="W505" s="86">
        <f>MSY!C546</f>
        <v>0.7218559281009348</v>
      </c>
      <c r="X505" s="86">
        <f>MSY!D546</f>
        <v>0.70374634153711102</v>
      </c>
      <c r="Y505" s="86">
        <f>MSY!E546</f>
        <v>-3.2303646772452601</v>
      </c>
      <c r="Z505" s="86">
        <f>MSY!F546</f>
        <v>-2.2733573234420623</v>
      </c>
      <c r="AA505" s="86">
        <f>MSY!G546</f>
        <v>0</v>
      </c>
      <c r="AB505">
        <f t="shared" si="23"/>
        <v>-2.3542799299632699E-3</v>
      </c>
      <c r="AC505">
        <f t="shared" si="24"/>
        <v>0.68404340687932208</v>
      </c>
      <c r="AF505">
        <f t="shared" si="22"/>
        <v>20</v>
      </c>
    </row>
    <row r="506" spans="21:32" x14ac:dyDescent="0.3">
      <c r="U506" s="86">
        <f>MSY!A547</f>
        <v>35</v>
      </c>
      <c r="V506" s="86">
        <f>MSY!B547</f>
        <v>6.3405413323626592E-2</v>
      </c>
      <c r="W506" s="86">
        <f>MSY!C547</f>
        <v>0.69190472323922658</v>
      </c>
      <c r="X506" s="86">
        <f>MSY!D547</f>
        <v>0.54818585772351081</v>
      </c>
      <c r="Y506" s="86">
        <f>MSY!E547</f>
        <v>-5.5491769874331318</v>
      </c>
      <c r="Z506" s="86">
        <f>MSY!F547</f>
        <v>-3.041980346515599</v>
      </c>
      <c r="AA506" s="86">
        <f>MSY!G547</f>
        <v>0</v>
      </c>
      <c r="AB506">
        <f t="shared" si="23"/>
        <v>3.6092796405046743E-2</v>
      </c>
      <c r="AC506">
        <f t="shared" si="24"/>
        <v>0.64559633054431209</v>
      </c>
      <c r="AF506">
        <f t="shared" si="22"/>
        <v>35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6"/>
  <sheetViews>
    <sheetView workbookViewId="0">
      <selection activeCell="J23" sqref="J23"/>
    </sheetView>
  </sheetViews>
  <sheetFormatPr defaultRowHeight="14.4" x14ac:dyDescent="0.3"/>
  <cols>
    <col min="2" max="2" width="18.6640625" customWidth="1"/>
    <col min="23" max="29" width="8.88671875" style="86"/>
    <col min="30" max="30" width="9.21875" style="24" customWidth="1"/>
    <col min="31" max="31" width="8.88671875" style="24"/>
  </cols>
  <sheetData>
    <row r="1" spans="6:35" x14ac:dyDescent="0.3">
      <c r="F1" s="58">
        <v>0</v>
      </c>
      <c r="W1" s="86" t="str">
        <f>MSY!A42</f>
        <v>F</v>
      </c>
      <c r="X1" s="86" t="str">
        <f>MSY!B42</f>
        <v>SPR</v>
      </c>
      <c r="Y1" s="86" t="str">
        <f>MSY!C42</f>
        <v>YPR</v>
      </c>
      <c r="Z1" s="86" t="str">
        <f>MSY!D42</f>
        <v>φF</v>
      </c>
      <c r="AA1" s="86" t="str">
        <f>MSY!E42</f>
        <v>Eq_recF</v>
      </c>
      <c r="AB1" s="86" t="str">
        <f>MSY!F42</f>
        <v>Eq_SSBF</v>
      </c>
      <c r="AC1" s="86" t="str">
        <f>MSY!G42</f>
        <v>Yield</v>
      </c>
      <c r="AD1" s="24" t="s">
        <v>186</v>
      </c>
      <c r="AE1" s="24" t="s">
        <v>186</v>
      </c>
      <c r="AH1" t="str">
        <f>W1</f>
        <v>F</v>
      </c>
      <c r="AI1" t="str">
        <f>AB1</f>
        <v>Eq_SSBF</v>
      </c>
    </row>
    <row r="2" spans="6:35" x14ac:dyDescent="0.3">
      <c r="F2" s="58">
        <v>40</v>
      </c>
      <c r="X2" s="86">
        <f>MSY!B43</f>
        <v>0.68533628984063166</v>
      </c>
      <c r="Y2" s="86">
        <f>MSY!C43</f>
        <v>0.41864035422401591</v>
      </c>
      <c r="Z2" s="86">
        <f>MSY!D43</f>
        <v>5.9252300739334878</v>
      </c>
      <c r="AA2" s="86">
        <f>MSY!E43</f>
        <v>3.9704701670849145</v>
      </c>
      <c r="AB2" s="86">
        <f>MSY!F43</f>
        <v>23.525949241667259</v>
      </c>
      <c r="AC2" s="86">
        <f>MSY!G43</f>
        <v>1.6621990371843163</v>
      </c>
    </row>
    <row r="3" spans="6:35" x14ac:dyDescent="0.3">
      <c r="W3" s="86">
        <f>MSY!A44</f>
        <v>9.9999999999999995E-7</v>
      </c>
      <c r="X3" s="86">
        <f>MSY!B44</f>
        <v>0.9999952134662361</v>
      </c>
      <c r="Y3" s="86">
        <f>MSY!C44</f>
        <v>6.8168912694935867E-6</v>
      </c>
      <c r="Z3" s="86">
        <f>MSY!D44</f>
        <v>8.6456850460925221</v>
      </c>
      <c r="AA3" s="86">
        <f>MSY!E44</f>
        <v>4.2758548163009662</v>
      </c>
      <c r="AB3" s="86">
        <f>MSY!F44</f>
        <v>36.967694044555962</v>
      </c>
      <c r="AC3" s="86">
        <f>MSY!G44</f>
        <v>2.914803736686416E-5</v>
      </c>
      <c r="AH3">
        <f t="shared" ref="AH3:AH65" si="0">W3</f>
        <v>9.9999999999999995E-7</v>
      </c>
      <c r="AI3">
        <f>AB3</f>
        <v>36.967694044555962</v>
      </c>
    </row>
    <row r="4" spans="6:35" x14ac:dyDescent="0.3">
      <c r="W4" s="86">
        <f>MSY!A45</f>
        <v>0.01</v>
      </c>
      <c r="X4" s="86">
        <f>MSY!B45</f>
        <v>0.95448419702497456</v>
      </c>
      <c r="Y4" s="86">
        <f>MSY!C45</f>
        <v>6.43343462730398E-2</v>
      </c>
      <c r="Z4" s="86">
        <f>MSY!D45</f>
        <v>8.2522092484286453</v>
      </c>
      <c r="AA4" s="86">
        <f>MSY!E45</f>
        <v>4.2441402576683238</v>
      </c>
      <c r="AB4" s="86">
        <f>MSY!F45</f>
        <v>35.023533485958886</v>
      </c>
      <c r="AC4" s="86">
        <f>MSY!G45</f>
        <v>0.27304398896818233</v>
      </c>
      <c r="AD4" s="24">
        <f t="shared" ref="AD4:AD67" si="1">ABS(X4-$C$28/100)</f>
        <v>0.55448419702497453</v>
      </c>
      <c r="AE4" s="24">
        <f t="shared" ref="AE4:AE67" si="2">ABS(X4-$C$29/100)</f>
        <v>0.60448419702497458</v>
      </c>
      <c r="AH4">
        <f t="shared" si="0"/>
        <v>0.01</v>
      </c>
      <c r="AI4">
        <f t="shared" ref="AI4:AI67" si="3">AB4</f>
        <v>35.023533485958886</v>
      </c>
    </row>
    <row r="5" spans="6:35" x14ac:dyDescent="0.3">
      <c r="W5" s="86">
        <f>MSY!A46</f>
        <v>0.02</v>
      </c>
      <c r="X5" s="86">
        <f>MSY!B46</f>
        <v>0.91323765685305125</v>
      </c>
      <c r="Y5" s="86">
        <f>MSY!C46</f>
        <v>0.12173192642859101</v>
      </c>
      <c r="Z5" s="86">
        <f>MSY!D46</f>
        <v>7.8956029459530868</v>
      </c>
      <c r="AA5" s="86">
        <f>MSY!E46</f>
        <v>4.2126668496566033</v>
      </c>
      <c r="AB5" s="86">
        <f>MSY!F46</f>
        <v>33.261544788467582</v>
      </c>
      <c r="AC5" s="86">
        <f>MSY!G46</f>
        <v>0.51281605101056194</v>
      </c>
      <c r="AD5" s="24">
        <f t="shared" si="1"/>
        <v>0.51323765685305123</v>
      </c>
      <c r="AE5" s="24">
        <f t="shared" si="2"/>
        <v>0.56323765685305127</v>
      </c>
      <c r="AH5">
        <f t="shared" si="0"/>
        <v>0.02</v>
      </c>
      <c r="AI5">
        <f t="shared" si="3"/>
        <v>33.261544788467582</v>
      </c>
    </row>
    <row r="6" spans="6:35" x14ac:dyDescent="0.3">
      <c r="W6" s="86">
        <f>MSY!A47</f>
        <v>0.03</v>
      </c>
      <c r="X6" s="86">
        <f>MSY!B47</f>
        <v>0.87569913806345145</v>
      </c>
      <c r="Y6" s="86">
        <f>MSY!C47</f>
        <v>0.17314724253319588</v>
      </c>
      <c r="Z6" s="86">
        <f>MSY!D47</f>
        <v>7.5710551819425493</v>
      </c>
      <c r="AA6" s="86">
        <f>MSY!E47</f>
        <v>4.1814458216434645</v>
      </c>
      <c r="AB6" s="86">
        <f>MSY!F47</f>
        <v>31.65795705596577</v>
      </c>
      <c r="AC6" s="86">
        <f>MSY!G47</f>
        <v>0.72400581381951945</v>
      </c>
      <c r="AD6" s="24">
        <f t="shared" si="1"/>
        <v>0.47569913806345143</v>
      </c>
      <c r="AE6" s="24">
        <f t="shared" si="2"/>
        <v>0.52569913806345148</v>
      </c>
      <c r="AH6">
        <f t="shared" si="0"/>
        <v>0.03</v>
      </c>
      <c r="AI6">
        <f t="shared" si="3"/>
        <v>31.65795705596577</v>
      </c>
    </row>
    <row r="7" spans="6:35" x14ac:dyDescent="0.3">
      <c r="W7" s="86">
        <f>MSY!A48</f>
        <v>0.04</v>
      </c>
      <c r="X7" s="86">
        <f>MSY!B48</f>
        <v>0.84140098817357856</v>
      </c>
      <c r="Y7" s="86">
        <f>MSY!C48</f>
        <v>0.21937345502736541</v>
      </c>
      <c r="Z7" s="86">
        <f>MSY!D48</f>
        <v>7.2745227609685905</v>
      </c>
      <c r="AA7" s="86">
        <f>MSY!E48</f>
        <v>4.1504843529176494</v>
      </c>
      <c r="AB7" s="86">
        <f>MSY!F48</f>
        <v>30.192792894343413</v>
      </c>
      <c r="AC7" s="86">
        <f>MSY!G48</f>
        <v>0.91050609253656378</v>
      </c>
      <c r="AD7" s="24">
        <f t="shared" si="1"/>
        <v>0.44140098817357853</v>
      </c>
      <c r="AE7" s="24">
        <f t="shared" si="2"/>
        <v>0.49140098817357858</v>
      </c>
      <c r="AH7">
        <f t="shared" si="0"/>
        <v>0.04</v>
      </c>
      <c r="AI7">
        <f t="shared" si="3"/>
        <v>30.192792894343413</v>
      </c>
    </row>
    <row r="8" spans="6:35" x14ac:dyDescent="0.3">
      <c r="W8" s="86">
        <f>MSY!A49</f>
        <v>0.05</v>
      </c>
      <c r="X8" s="86">
        <f>MSY!B49</f>
        <v>0.80995044719986264</v>
      </c>
      <c r="Y8" s="86">
        <f>MSY!C49</f>
        <v>0.26107472664256853</v>
      </c>
      <c r="Z8" s="86">
        <f>MSY!D49</f>
        <v>7.0026099876609447</v>
      </c>
      <c r="AA8" s="86">
        <f>MSY!E49</f>
        <v>4.1197888005453667</v>
      </c>
      <c r="AB8" s="86">
        <f>MSY!F49</f>
        <v>28.849274201752682</v>
      </c>
      <c r="AC8" s="86">
        <f>MSY!G49</f>
        <v>1.0755727349274968</v>
      </c>
      <c r="AD8" s="24">
        <f t="shared" si="1"/>
        <v>0.40995044719986262</v>
      </c>
      <c r="AE8" s="24">
        <f t="shared" si="2"/>
        <v>0.45995044719986267</v>
      </c>
      <c r="AH8">
        <f t="shared" si="0"/>
        <v>0.05</v>
      </c>
      <c r="AI8">
        <f t="shared" si="3"/>
        <v>28.849274201752682</v>
      </c>
    </row>
    <row r="9" spans="6:35" x14ac:dyDescent="0.3">
      <c r="W9" s="86">
        <f>MSY!A50</f>
        <v>0.06</v>
      </c>
      <c r="X9" s="86">
        <f>MSY!B50</f>
        <v>0.78101525965315455</v>
      </c>
      <c r="Y9" s="86">
        <f>MSY!C50</f>
        <v>0.29881110713728715</v>
      </c>
      <c r="Z9" s="86">
        <f>MSY!D50</f>
        <v>6.7524442719558433</v>
      </c>
      <c r="AA9" s="86">
        <f>MSY!E50</f>
        <v>4.0893647430581561</v>
      </c>
      <c r="AB9" s="86">
        <f>MSY!F50</f>
        <v>27.613207535201237</v>
      </c>
      <c r="AC9" s="86">
        <f>MSY!G50</f>
        <v>1.2219476063613954</v>
      </c>
      <c r="AD9" s="24">
        <f t="shared" si="1"/>
        <v>0.38101525965315453</v>
      </c>
      <c r="AE9" s="24">
        <f t="shared" si="2"/>
        <v>0.43101525965315457</v>
      </c>
      <c r="AH9">
        <f t="shared" si="0"/>
        <v>0.06</v>
      </c>
      <c r="AI9">
        <f t="shared" si="3"/>
        <v>27.613207535201237</v>
      </c>
    </row>
    <row r="10" spans="6:35" x14ac:dyDescent="0.3">
      <c r="W10" s="86">
        <f>MSY!A51</f>
        <v>7.0000000000000007E-2</v>
      </c>
      <c r="X10" s="86">
        <f>MSY!B51</f>
        <v>0.75431247955756053</v>
      </c>
      <c r="Y10" s="86">
        <f>MSY!C51</f>
        <v>0.33305789025881521</v>
      </c>
      <c r="Z10" s="86">
        <f>MSY!D51</f>
        <v>6.5215793403514786</v>
      </c>
      <c r="AA10" s="86">
        <f>MSY!E51</f>
        <v>4.0592170234587295</v>
      </c>
      <c r="AB10" s="86">
        <f>MSY!F51</f>
        <v>26.472505878191477</v>
      </c>
      <c r="AC10" s="86">
        <f>MSY!G51</f>
        <v>1.3519542579358321</v>
      </c>
      <c r="AD10" s="24">
        <f t="shared" si="1"/>
        <v>0.35431247955756051</v>
      </c>
      <c r="AE10" s="24">
        <f t="shared" si="2"/>
        <v>0.40431247955756056</v>
      </c>
      <c r="AH10">
        <f t="shared" si="0"/>
        <v>7.0000000000000007E-2</v>
      </c>
      <c r="AI10">
        <f t="shared" si="3"/>
        <v>26.472505878191477</v>
      </c>
    </row>
    <row r="11" spans="6:35" x14ac:dyDescent="0.3">
      <c r="W11" s="86">
        <f>MSY!A52</f>
        <v>0.08</v>
      </c>
      <c r="X11" s="86">
        <f>MSY!B52</f>
        <v>0.72959967133015535</v>
      </c>
      <c r="Y11" s="86">
        <f>MSY!C52</f>
        <v>0.36422082325420319</v>
      </c>
      <c r="Z11" s="86">
        <f>MSY!D52</f>
        <v>6.3079191611211876</v>
      </c>
      <c r="AA11" s="86">
        <f>MSY!E52</f>
        <v>4.0293497913708958</v>
      </c>
      <c r="AB11" s="86">
        <f>MSY!F52</f>
        <v>25.416812755848127</v>
      </c>
      <c r="AC11" s="86">
        <f>MSY!G52</f>
        <v>1.4675730981922595</v>
      </c>
      <c r="AD11" s="24">
        <f t="shared" si="1"/>
        <v>0.32959967133015533</v>
      </c>
      <c r="AE11" s="24">
        <f t="shared" si="2"/>
        <v>0.37959967133015537</v>
      </c>
      <c r="AH11">
        <f t="shared" si="0"/>
        <v>0.08</v>
      </c>
      <c r="AI11">
        <f t="shared" si="3"/>
        <v>25.416812755848127</v>
      </c>
    </row>
    <row r="12" spans="6:35" x14ac:dyDescent="0.3">
      <c r="W12" s="86">
        <f>MSY!A53</f>
        <v>0.09</v>
      </c>
      <c r="X12" s="86">
        <f>MSY!B53</f>
        <v>0.7066679289726443</v>
      </c>
      <c r="Y12" s="86">
        <f>MSY!C53</f>
        <v>0.39264816896870791</v>
      </c>
      <c r="Z12" s="86">
        <f>MSY!D53</f>
        <v>6.1096575901543044</v>
      </c>
      <c r="AA12" s="86">
        <f>MSY!E53</f>
        <v>3.9997665441862602</v>
      </c>
      <c r="AB12" s="86">
        <f>MSY!F53</f>
        <v>24.437204025532836</v>
      </c>
      <c r="AC12" s="86">
        <f>MSY!G53</f>
        <v>1.5705010098770316</v>
      </c>
      <c r="AD12" s="24">
        <f t="shared" si="1"/>
        <v>0.30666792897264428</v>
      </c>
      <c r="AE12" s="24">
        <f t="shared" si="2"/>
        <v>0.35666792897264432</v>
      </c>
      <c r="AH12">
        <f t="shared" si="0"/>
        <v>0.09</v>
      </c>
      <c r="AI12">
        <f t="shared" si="3"/>
        <v>24.437204025532836</v>
      </c>
    </row>
    <row r="13" spans="6:35" x14ac:dyDescent="0.3">
      <c r="W13" s="86">
        <f>MSY!A54</f>
        <v>0.1</v>
      </c>
      <c r="X13" s="86">
        <f>MSY!B54</f>
        <v>0.68533628984063166</v>
      </c>
      <c r="Y13" s="86">
        <f>MSY!C54</f>
        <v>0.41864035422401591</v>
      </c>
      <c r="Z13" s="86">
        <f>MSY!D54</f>
        <v>5.9252300739334878</v>
      </c>
      <c r="AA13" s="86">
        <f>MSY!E54</f>
        <v>3.9704701670849145</v>
      </c>
      <c r="AB13" s="86">
        <f>MSY!F54</f>
        <v>23.525949241667259</v>
      </c>
      <c r="AC13" s="86">
        <f>MSY!G54</f>
        <v>1.6621990371843163</v>
      </c>
      <c r="AD13" s="24">
        <f t="shared" si="1"/>
        <v>0.28533628984063164</v>
      </c>
      <c r="AE13" s="24">
        <f t="shared" si="2"/>
        <v>0.33533628984063168</v>
      </c>
      <c r="AH13">
        <f t="shared" si="0"/>
        <v>0.1</v>
      </c>
      <c r="AI13">
        <f t="shared" si="3"/>
        <v>23.525949241667259</v>
      </c>
    </row>
    <row r="14" spans="6:35" x14ac:dyDescent="0.3">
      <c r="W14" s="86">
        <f>MSY!A55</f>
        <v>0.11</v>
      </c>
      <c r="X14" s="86">
        <f>MSY!B55</f>
        <v>0.66544722847070559</v>
      </c>
      <c r="Y14" s="86">
        <f>MSY!C55</f>
        <v>0.44245774905277546</v>
      </c>
      <c r="Z14" s="86">
        <f>MSY!D55</f>
        <v>5.7532746903964522</v>
      </c>
      <c r="AA14" s="86">
        <f>MSY!E55</f>
        <v>3.941462971829834</v>
      </c>
      <c r="AB14" s="86">
        <f>MSY!F55</f>
        <v>22.676319158963373</v>
      </c>
      <c r="AC14" s="86">
        <f>MSY!G55</f>
        <v>1.7439308344906912</v>
      </c>
      <c r="AD14" s="24">
        <f t="shared" si="1"/>
        <v>0.26544722847070557</v>
      </c>
      <c r="AE14" s="24">
        <f t="shared" si="2"/>
        <v>0.31544722847070561</v>
      </c>
      <c r="AH14">
        <f t="shared" si="0"/>
        <v>0.11</v>
      </c>
      <c r="AI14">
        <f t="shared" si="3"/>
        <v>22.676319158963373</v>
      </c>
    </row>
    <row r="15" spans="6:35" x14ac:dyDescent="0.3">
      <c r="W15" s="86">
        <f>MSY!A56</f>
        <v>0.12</v>
      </c>
      <c r="X15" s="86">
        <f>MSY!B56</f>
        <v>0.64686299448063744</v>
      </c>
      <c r="Y15" s="86">
        <f>MSY!C56</f>
        <v>0.46432698537526651</v>
      </c>
      <c r="Z15" s="86">
        <f>MSY!D56</f>
        <v>5.5926004874229376</v>
      </c>
      <c r="AA15" s="86">
        <f>MSY!E56</f>
        <v>3.912746734255133</v>
      </c>
      <c r="AB15" s="86">
        <f>MSY!F56</f>
        <v>21.88242929315776</v>
      </c>
      <c r="AC15" s="86">
        <f>MSY!G56</f>
        <v>1.8167938956536049</v>
      </c>
      <c r="AD15" s="24">
        <f t="shared" si="1"/>
        <v>0.24686299448063742</v>
      </c>
      <c r="AE15" s="24">
        <f t="shared" si="2"/>
        <v>0.29686299448063747</v>
      </c>
      <c r="AH15">
        <f t="shared" si="0"/>
        <v>0.12</v>
      </c>
      <c r="AI15">
        <f t="shared" si="3"/>
        <v>21.88242929315776</v>
      </c>
    </row>
    <row r="16" spans="6:35" x14ac:dyDescent="0.3">
      <c r="W16" s="86">
        <f>MSY!A57</f>
        <v>0.13</v>
      </c>
      <c r="X16" s="86">
        <f>MSY!B57</f>
        <v>0.62946261569958595</v>
      </c>
      <c r="Y16" s="86">
        <f>MSY!C57</f>
        <v>0.48444612475875548</v>
      </c>
      <c r="Z16" s="86">
        <f>MSY!D57</f>
        <v>5.4421615727183106</v>
      </c>
      <c r="AA16" s="86">
        <f>MSY!E57</f>
        <v>3.8843227303868546</v>
      </c>
      <c r="AB16" s="86">
        <f>MSY!F57</f>
        <v>21.139111899347601</v>
      </c>
      <c r="AC16" s="86">
        <f>MSY!G57</f>
        <v>1.8817450940482598</v>
      </c>
      <c r="AD16" s="24">
        <f t="shared" si="1"/>
        <v>0.22946261569958593</v>
      </c>
      <c r="AE16" s="24">
        <f t="shared" si="2"/>
        <v>0.27946261569958597</v>
      </c>
      <c r="AH16">
        <f t="shared" si="0"/>
        <v>0.13</v>
      </c>
      <c r="AI16">
        <f t="shared" si="3"/>
        <v>21.139111899347601</v>
      </c>
    </row>
    <row r="17" spans="1:35" x14ac:dyDescent="0.3">
      <c r="W17" s="86">
        <f>MSY!A58</f>
        <v>0.14000000000000001</v>
      </c>
      <c r="X17" s="86">
        <f>MSY!B58</f>
        <v>0.6131394297182754</v>
      </c>
      <c r="Y17" s="86">
        <f>MSY!C58</f>
        <v>0.50298891211688024</v>
      </c>
      <c r="Z17" s="86">
        <f>MSY!D58</f>
        <v>5.3010357722716979</v>
      </c>
      <c r="AA17" s="86">
        <f>MSY!E58</f>
        <v>3.8561917711516003</v>
      </c>
      <c r="AB17" s="86">
        <f>MSY!F58</f>
        <v>20.441810523614382</v>
      </c>
      <c r="AC17" s="86">
        <f>MSY!G58</f>
        <v>1.9396217038856089</v>
      </c>
      <c r="AD17" s="24">
        <f t="shared" si="1"/>
        <v>0.21313942971827537</v>
      </c>
      <c r="AE17" s="24">
        <f t="shared" si="2"/>
        <v>0.26313942971827542</v>
      </c>
      <c r="AH17">
        <f t="shared" si="0"/>
        <v>0.14000000000000001</v>
      </c>
      <c r="AI17">
        <f t="shared" si="3"/>
        <v>20.441810523614382</v>
      </c>
    </row>
    <row r="18" spans="1:35" x14ac:dyDescent="0.3">
      <c r="W18" s="86">
        <f>MSY!A59</f>
        <v>0.15</v>
      </c>
      <c r="X18" s="86">
        <f>MSY!B59</f>
        <v>0.59779903828564174</v>
      </c>
      <c r="Y18" s="86">
        <f>MSY!C59</f>
        <v>0.52010829811866577</v>
      </c>
      <c r="Z18" s="86">
        <f>MSY!D59</f>
        <v>5.1684069446290097</v>
      </c>
      <c r="AA18" s="86">
        <f>MSY!E59</f>
        <v>3.8283542356431353</v>
      </c>
      <c r="AB18" s="86">
        <f>MSY!F59</f>
        <v>19.786492617997865</v>
      </c>
      <c r="AC18" s="86">
        <f>MSY!G59</f>
        <v>1.9911588060957366</v>
      </c>
      <c r="AD18" s="24">
        <f t="shared" si="1"/>
        <v>0.19779903828564172</v>
      </c>
      <c r="AE18" s="24">
        <f t="shared" si="2"/>
        <v>0.24779903828564176</v>
      </c>
      <c r="AH18">
        <f t="shared" si="0"/>
        <v>0.15</v>
      </c>
      <c r="AI18">
        <f t="shared" si="3"/>
        <v>19.786492617997865</v>
      </c>
    </row>
    <row r="19" spans="1:35" ht="15.6" x14ac:dyDescent="0.35">
      <c r="A19" t="s">
        <v>181</v>
      </c>
      <c r="D19" t="s">
        <v>169</v>
      </c>
      <c r="W19" s="86">
        <f>MSY!A60</f>
        <v>0.16</v>
      </c>
      <c r="X19" s="86">
        <f>MSY!B60</f>
        <v>0.58335760241424339</v>
      </c>
      <c r="Y19" s="86">
        <f>MSY!C60</f>
        <v>0.53593937249685797</v>
      </c>
      <c r="Z19" s="86">
        <f>MSY!D60</f>
        <v>5.0435502408407284</v>
      </c>
      <c r="AA19" s="86">
        <f>MSY!E60</f>
        <v>3.8008101029302708</v>
      </c>
      <c r="AB19" s="86">
        <f>MSY!F60</f>
        <v>19.169576710023843</v>
      </c>
      <c r="AC19" s="86">
        <f>MSY!G60</f>
        <v>2.0370037815441675</v>
      </c>
      <c r="AD19" s="24">
        <f t="shared" si="1"/>
        <v>0.18335760241424337</v>
      </c>
      <c r="AE19" s="24">
        <f t="shared" si="2"/>
        <v>0.23335760241424341</v>
      </c>
      <c r="AH19">
        <f t="shared" si="0"/>
        <v>0.16</v>
      </c>
      <c r="AI19">
        <f t="shared" si="3"/>
        <v>19.169576710023843</v>
      </c>
    </row>
    <row r="20" spans="1:35" ht="15.6" x14ac:dyDescent="0.35">
      <c r="B20" s="40" t="s">
        <v>57</v>
      </c>
      <c r="C20">
        <f>MSY!E19</f>
        <v>36.967898517909518</v>
      </c>
      <c r="D20" s="41">
        <f>C21/C20</f>
        <v>0.32859271832441667</v>
      </c>
      <c r="W20" s="86">
        <f>MSY!A61</f>
        <v>0.17</v>
      </c>
      <c r="X20" s="86">
        <f>MSY!B61</f>
        <v>0.56974041379787388</v>
      </c>
      <c r="Y20" s="86">
        <f>MSY!C61</f>
        <v>0.55060181972622135</v>
      </c>
      <c r="Z20" s="86">
        <f>MSY!D61</f>
        <v>4.9258197533294084</v>
      </c>
      <c r="AA20" s="86">
        <f>MSY!E61</f>
        <v>3.7735589824008846</v>
      </c>
      <c r="AB20" s="86">
        <f>MSY!F61</f>
        <v>18.587871375863898</v>
      </c>
      <c r="AC20" s="86">
        <f>MSY!G61</f>
        <v>2.0777284425541551</v>
      </c>
      <c r="AD20" s="24">
        <f t="shared" si="1"/>
        <v>0.16974041379787386</v>
      </c>
      <c r="AE20" s="24">
        <f t="shared" si="2"/>
        <v>0.2197404137978739</v>
      </c>
      <c r="AH20">
        <f t="shared" si="0"/>
        <v>0.17</v>
      </c>
      <c r="AI20">
        <f t="shared" si="3"/>
        <v>18.587871375863898</v>
      </c>
    </row>
    <row r="21" spans="1:35" ht="15.6" x14ac:dyDescent="0.35">
      <c r="B21" t="s">
        <v>67</v>
      </c>
      <c r="C21">
        <f>MSY!E28</f>
        <v>12.147382264741063</v>
      </c>
      <c r="W21" s="86">
        <f>MSY!A62</f>
        <v>0.18</v>
      </c>
      <c r="X21" s="86">
        <f>MSY!B62</f>
        <v>0.55688069168838961</v>
      </c>
      <c r="Y21" s="86">
        <f>MSY!C62</f>
        <v>0.56420198509193298</v>
      </c>
      <c r="Z21" s="86">
        <f>MSY!D62</f>
        <v>4.8146381140158638</v>
      </c>
      <c r="AA21" s="86">
        <f>MSY!E62</f>
        <v>3.7466001426470301</v>
      </c>
      <c r="AB21" s="86">
        <f>MSY!F62</f>
        <v>18.03852384476566</v>
      </c>
      <c r="AC21" s="86">
        <f>MSY!G62</f>
        <v>2.1138392378271735</v>
      </c>
      <c r="AD21" s="24">
        <f t="shared" si="1"/>
        <v>0.15688069168838958</v>
      </c>
      <c r="AE21" s="24">
        <f t="shared" si="2"/>
        <v>0.20688069168838963</v>
      </c>
      <c r="AH21">
        <f t="shared" si="0"/>
        <v>0.18</v>
      </c>
      <c r="AI21">
        <f t="shared" si="3"/>
        <v>18.03852384476566</v>
      </c>
    </row>
    <row r="22" spans="1:35" x14ac:dyDescent="0.3">
      <c r="W22" s="86">
        <f>MSY!A63</f>
        <v>0.19</v>
      </c>
      <c r="X22" s="86">
        <f>MSY!B63</f>
        <v>0.54471856479999958</v>
      </c>
      <c r="Y22" s="86">
        <f>MSY!C63</f>
        <v>0.57683462112432093</v>
      </c>
      <c r="Z22" s="86">
        <f>MSY!D63</f>
        <v>4.7094876921421855</v>
      </c>
      <c r="AA22" s="86">
        <f>MSY!E63</f>
        <v>3.719932538904807</v>
      </c>
      <c r="AB22" s="86">
        <f>MSY!F63</f>
        <v>17.51897650757142</v>
      </c>
      <c r="AC22" s="86">
        <f>MSY!G63</f>
        <v>2.1457858766871878</v>
      </c>
      <c r="AD22" s="24">
        <f t="shared" si="1"/>
        <v>0.14471856479999956</v>
      </c>
      <c r="AE22" s="24">
        <f t="shared" si="2"/>
        <v>0.1947185647999996</v>
      </c>
      <c r="AH22">
        <f t="shared" si="0"/>
        <v>0.19</v>
      </c>
      <c r="AI22">
        <f t="shared" si="3"/>
        <v>17.51897650757142</v>
      </c>
    </row>
    <row r="23" spans="1:35" x14ac:dyDescent="0.3">
      <c r="A23" t="s">
        <v>188</v>
      </c>
      <c r="E23" t="s">
        <v>183</v>
      </c>
      <c r="F23" t="s">
        <v>189</v>
      </c>
      <c r="W23" s="86">
        <f>MSY!A64</f>
        <v>0.2</v>
      </c>
      <c r="X23" s="86">
        <f>MSY!B64</f>
        <v>0.53320020588797934</v>
      </c>
      <c r="Y23" s="86">
        <f>MSY!C64</f>
        <v>0.5885843703885929</v>
      </c>
      <c r="Z23" s="86">
        <f>MSY!D64</f>
        <v>4.6099031120760507</v>
      </c>
      <c r="AA23" s="86">
        <f>MSY!E64</f>
        <v>3.6935548390701554</v>
      </c>
      <c r="AB23" s="86">
        <f>MSY!F64</f>
        <v>17.02692994725307</v>
      </c>
      <c r="AC23" s="86">
        <f>MSY!G64</f>
        <v>2.173968649449848</v>
      </c>
      <c r="AD23" s="24">
        <f t="shared" si="1"/>
        <v>0.13320020588797932</v>
      </c>
      <c r="AE23" s="24">
        <f t="shared" si="2"/>
        <v>0.18320020588797936</v>
      </c>
      <c r="AH23">
        <f t="shared" si="0"/>
        <v>0.2</v>
      </c>
      <c r="AI23">
        <f t="shared" si="3"/>
        <v>17.02692994725307</v>
      </c>
    </row>
    <row r="24" spans="1:35" ht="15.6" x14ac:dyDescent="0.35">
      <c r="A24">
        <v>1</v>
      </c>
      <c r="B24" s="17">
        <v>40</v>
      </c>
      <c r="C24" s="58" t="s">
        <v>182</v>
      </c>
      <c r="D24" s="58"/>
      <c r="E24" s="37">
        <f>B24/100*C21</f>
        <v>4.8589529058964258</v>
      </c>
      <c r="F24" t="str">
        <f>CONCATENATE(B24,C24)</f>
        <v>40%SSBMSY</v>
      </c>
      <c r="W24" s="86">
        <f>MSY!A65</f>
        <v>0.21</v>
      </c>
      <c r="X24" s="86">
        <f>MSY!B65</f>
        <v>0.52227709295577129</v>
      </c>
      <c r="Y24" s="86">
        <f>MSY!C65</f>
        <v>0.59952702969842908</v>
      </c>
      <c r="Z24" s="86">
        <f>MSY!D65</f>
        <v>4.5154648659094265</v>
      </c>
      <c r="AA24" s="86">
        <f>MSY!E65</f>
        <v>3.6674654483180258</v>
      </c>
      <c r="AB24" s="86">
        <f>MSY!F65</f>
        <v>16.560311378816806</v>
      </c>
      <c r="AC24" s="86">
        <f>MSY!G65</f>
        <v>2.1987446667517236</v>
      </c>
      <c r="AD24" s="24">
        <f t="shared" si="1"/>
        <v>0.12227709295577127</v>
      </c>
      <c r="AE24" s="24">
        <f t="shared" si="2"/>
        <v>0.17227709295577132</v>
      </c>
      <c r="AH24">
        <f t="shared" si="0"/>
        <v>0.21</v>
      </c>
      <c r="AI24">
        <f t="shared" si="3"/>
        <v>16.560311378816806</v>
      </c>
    </row>
    <row r="25" spans="1:35" ht="15.6" x14ac:dyDescent="0.35">
      <c r="A25">
        <v>2</v>
      </c>
      <c r="B25" s="17">
        <v>50</v>
      </c>
      <c r="C25" s="58" t="s">
        <v>182</v>
      </c>
      <c r="D25" s="58"/>
      <c r="E25" s="37">
        <f>B25/100*C21</f>
        <v>6.0736911323705316</v>
      </c>
      <c r="F25" t="str">
        <f>CONCATENATE(B25,C25)</f>
        <v>50%SSBMSY</v>
      </c>
      <c r="W25" s="86">
        <f>MSY!A66</f>
        <v>0.22</v>
      </c>
      <c r="X25" s="86">
        <f>MSY!B66</f>
        <v>0.51190537600119057</v>
      </c>
      <c r="Y25" s="86">
        <f>MSY!C66</f>
        <v>0.60973063224063184</v>
      </c>
      <c r="Z25" s="86">
        <f>MSY!D66</f>
        <v>4.4257938385195033</v>
      </c>
      <c r="AA25" s="86">
        <f>MSY!E66</f>
        <v>3.6416625323576834</v>
      </c>
      <c r="AB25" s="86">
        <f>MSY!F66</f>
        <v>16.11724759767597</v>
      </c>
      <c r="AC25" s="86">
        <f>MSY!G66</f>
        <v>2.2204331982614707</v>
      </c>
      <c r="AD25" s="24">
        <f t="shared" si="1"/>
        <v>0.11190537600119055</v>
      </c>
      <c r="AE25" s="24">
        <f t="shared" si="2"/>
        <v>0.16190537600119059</v>
      </c>
      <c r="AH25">
        <f t="shared" si="0"/>
        <v>0.22</v>
      </c>
      <c r="AI25">
        <f t="shared" si="3"/>
        <v>16.11724759767597</v>
      </c>
    </row>
    <row r="26" spans="1:35" ht="15.6" x14ac:dyDescent="0.35">
      <c r="A26">
        <v>3</v>
      </c>
      <c r="B26" s="17">
        <v>20</v>
      </c>
      <c r="C26" s="87" t="s">
        <v>184</v>
      </c>
      <c r="D26" s="87"/>
      <c r="E26" s="37">
        <f>B26/100*C20</f>
        <v>7.3935797035819038</v>
      </c>
      <c r="F26" t="str">
        <f>CONCATENATE(B26,C26)</f>
        <v>20%SSB0</v>
      </c>
      <c r="W26" s="86">
        <f>MSY!A67</f>
        <v>0.23</v>
      </c>
      <c r="X26" s="86">
        <f>MSY!B67</f>
        <v>0.50204533213265934</v>
      </c>
      <c r="Y26" s="86">
        <f>MSY!C67</f>
        <v>0.6192563773111408</v>
      </c>
      <c r="Z26" s="86">
        <f>MSY!D67</f>
        <v>4.3405465966527252</v>
      </c>
      <c r="AA26" s="86">
        <f>MSY!E67</f>
        <v>3.6161440393612114</v>
      </c>
      <c r="AB26" s="86">
        <f>MSY!F67</f>
        <v>15.696041703055343</v>
      </c>
      <c r="AC26" s="86">
        <f>MSY!G67</f>
        <v>2.2393202576500992</v>
      </c>
      <c r="AD26" s="24">
        <f t="shared" si="1"/>
        <v>0.10204533213265932</v>
      </c>
      <c r="AE26" s="24">
        <f t="shared" si="2"/>
        <v>0.15204533213265936</v>
      </c>
      <c r="AH26">
        <f t="shared" si="0"/>
        <v>0.23</v>
      </c>
      <c r="AI26">
        <f t="shared" si="3"/>
        <v>15.696041703055343</v>
      </c>
    </row>
    <row r="27" spans="1:35" ht="15.6" x14ac:dyDescent="0.35">
      <c r="A27">
        <v>4</v>
      </c>
      <c r="B27" s="17">
        <v>30</v>
      </c>
      <c r="C27" s="87" t="s">
        <v>184</v>
      </c>
      <c r="D27" s="87"/>
      <c r="E27" s="37">
        <f>B27/100*C20</f>
        <v>11.090369555372854</v>
      </c>
      <c r="F27" t="str">
        <f>CONCATENATE(B27,C27)</f>
        <v>30%SSB0</v>
      </c>
      <c r="W27" s="86">
        <f>MSY!A68</f>
        <v>0.24</v>
      </c>
      <c r="X27" s="86">
        <f>MSY!B68</f>
        <v>0.4926608950054514</v>
      </c>
      <c r="Y27" s="86">
        <f>MSY!C68</f>
        <v>0.62815943196308066</v>
      </c>
      <c r="Z27" s="86">
        <f>MSY!D68</f>
        <v>4.2594113205592894</v>
      </c>
      <c r="AA27" s="86">
        <f>MSY!E68</f>
        <v>3.5909077206057849</v>
      </c>
      <c r="AB27" s="86">
        <f>MSY!F68</f>
        <v>15.29515299623203</v>
      </c>
      <c r="AC27" s="86">
        <f>MSY!G68</f>
        <v>2.2556625540075705</v>
      </c>
      <c r="AD27" s="24">
        <f t="shared" si="1"/>
        <v>9.2660895005451382E-2</v>
      </c>
      <c r="AE27" s="24">
        <f t="shared" si="2"/>
        <v>0.14266089500545143</v>
      </c>
      <c r="AH27">
        <f t="shared" si="0"/>
        <v>0.24</v>
      </c>
      <c r="AI27">
        <f t="shared" si="3"/>
        <v>15.29515299623203</v>
      </c>
    </row>
    <row r="28" spans="1:35" x14ac:dyDescent="0.3">
      <c r="A28">
        <v>5</v>
      </c>
      <c r="B28" s="58" t="str">
        <f>CONCATENATE("Equilibrium SSB at F =")</f>
        <v>Equilibrium SSB at F =</v>
      </c>
      <c r="C28" s="17">
        <v>40</v>
      </c>
      <c r="D28" t="s">
        <v>185</v>
      </c>
      <c r="E28" s="37">
        <f>VLOOKUP(MIN(AD4:AD506),AD4:AI506,6,FALSE)</f>
        <v>11.430643861619425</v>
      </c>
      <c r="F28" t="str">
        <f>CONCATENATE(C28,D28)</f>
        <v>40% SPR</v>
      </c>
      <c r="G28" t="s">
        <v>187</v>
      </c>
      <c r="W28" s="86">
        <f>MSY!A69</f>
        <v>0.25</v>
      </c>
      <c r="X28" s="86">
        <f>MSY!B69</f>
        <v>0.48371924702369723</v>
      </c>
      <c r="Y28" s="86">
        <f>MSY!C69</f>
        <v>0.63648962454709368</v>
      </c>
      <c r="Z28" s="86">
        <f>MSY!D69</f>
        <v>4.182104278283246</v>
      </c>
      <c r="AA28" s="86">
        <f>MSY!E69</f>
        <v>3.5659511498729834</v>
      </c>
      <c r="AB28" s="86">
        <f>MSY!F69</f>
        <v>14.913179560032866</v>
      </c>
      <c r="AC28" s="86">
        <f>MSY!G69</f>
        <v>2.269690908535932</v>
      </c>
      <c r="AD28" s="24">
        <f t="shared" si="1"/>
        <v>8.3719247023697207E-2</v>
      </c>
      <c r="AE28" s="24">
        <f t="shared" si="2"/>
        <v>0.13371924702369725</v>
      </c>
      <c r="AH28">
        <f t="shared" si="0"/>
        <v>0.25</v>
      </c>
      <c r="AI28">
        <f t="shared" si="3"/>
        <v>14.913179560032866</v>
      </c>
    </row>
    <row r="29" spans="1:35" x14ac:dyDescent="0.3">
      <c r="A29">
        <v>6</v>
      </c>
      <c r="B29" s="58" t="str">
        <f>CONCATENATE("Equilibrium SSB at F =")</f>
        <v>Equilibrium SSB at F =</v>
      </c>
      <c r="C29" s="17">
        <v>35</v>
      </c>
      <c r="D29" t="s">
        <v>185</v>
      </c>
      <c r="E29" s="37">
        <f>VLOOKUP(MIN(AE4:AE506),AE4:AI506,5,FALSE)</f>
        <v>9.2189825301465955</v>
      </c>
      <c r="F29" t="str">
        <f>CONCATENATE(C29,D29)</f>
        <v>35% SPR</v>
      </c>
      <c r="G29" t="s">
        <v>187</v>
      </c>
      <c r="W29" s="86">
        <f>MSY!A70</f>
        <v>0.26</v>
      </c>
      <c r="X29" s="86">
        <f>MSY!B70</f>
        <v>0.47519046476178278</v>
      </c>
      <c r="Y29" s="86">
        <f>MSY!C70</f>
        <v>0.64429204664858242</v>
      </c>
      <c r="Z29" s="86">
        <f>MSY!D70</f>
        <v>4.1083667600729123</v>
      </c>
      <c r="AA29" s="86">
        <f>MSY!E70</f>
        <v>3.5412717416505011</v>
      </c>
      <c r="AB29" s="86">
        <f>MSY!F70</f>
        <v>14.54884311178243</v>
      </c>
      <c r="AC29" s="86">
        <f>MSY!G70</f>
        <v>2.2816132181667914</v>
      </c>
      <c r="AD29" s="24">
        <f t="shared" si="1"/>
        <v>7.519046476178276E-2</v>
      </c>
      <c r="AE29" s="24">
        <f t="shared" si="2"/>
        <v>0.1251904647617828</v>
      </c>
      <c r="AH29">
        <f t="shared" si="0"/>
        <v>0.26</v>
      </c>
      <c r="AI29">
        <f t="shared" si="3"/>
        <v>14.54884311178243</v>
      </c>
    </row>
    <row r="30" spans="1:35" x14ac:dyDescent="0.3">
      <c r="A30">
        <v>7</v>
      </c>
      <c r="B30" t="s">
        <v>190</v>
      </c>
      <c r="E30">
        <f>MSY!E24</f>
        <v>5.7505619916748136</v>
      </c>
      <c r="F30" t="s">
        <v>191</v>
      </c>
      <c r="W30" s="86">
        <f>MSY!A71</f>
        <v>0.27</v>
      </c>
      <c r="X30" s="86">
        <f>MSY!B71</f>
        <v>0.46704720968245955</v>
      </c>
      <c r="Y30" s="86">
        <f>MSY!C71</f>
        <v>0.65160757711605088</v>
      </c>
      <c r="Z30" s="86">
        <f>MSY!D71</f>
        <v>4.037962404414265</v>
      </c>
      <c r="AA30" s="86">
        <f>MSY!E71</f>
        <v>3.5168667681830086</v>
      </c>
      <c r="AB30" s="86">
        <f>MSY!F71</f>
        <v>14.200975791256885</v>
      </c>
      <c r="AC30" s="86">
        <f>MSY!G71</f>
        <v>2.2916170338556863</v>
      </c>
      <c r="AD30" s="24">
        <f t="shared" si="1"/>
        <v>6.704720968245953E-2</v>
      </c>
      <c r="AE30" s="24">
        <f t="shared" si="2"/>
        <v>0.11704720968245957</v>
      </c>
      <c r="AH30">
        <f t="shared" si="0"/>
        <v>0.27</v>
      </c>
      <c r="AI30">
        <f t="shared" si="3"/>
        <v>14.200975791256885</v>
      </c>
    </row>
    <row r="31" spans="1:35" x14ac:dyDescent="0.3">
      <c r="W31" s="86">
        <f>MSY!A72</f>
        <v>0.28000000000000003</v>
      </c>
      <c r="X31" s="86">
        <f>MSY!B72</f>
        <v>0.45926445754849993</v>
      </c>
      <c r="Y31" s="86">
        <f>MSY!C72</f>
        <v>0.65847333959100185</v>
      </c>
      <c r="Z31" s="86">
        <f>MSY!D72</f>
        <v>3.970674858598136</v>
      </c>
      <c r="AA31" s="86">
        <f>MSY!E72</f>
        <v>3.4927333754199124</v>
      </c>
      <c r="AB31" s="86">
        <f>MSY!F72</f>
        <v>13.86850860156645</v>
      </c>
      <c r="AC31" s="86">
        <f>MSY!G72</f>
        <v>2.2998718100137019</v>
      </c>
      <c r="AD31" s="24">
        <f t="shared" si="1"/>
        <v>5.9264457548499905E-2</v>
      </c>
      <c r="AE31" s="24">
        <f t="shared" si="2"/>
        <v>0.10926445754849995</v>
      </c>
      <c r="AH31">
        <f t="shared" si="0"/>
        <v>0.28000000000000003</v>
      </c>
      <c r="AI31">
        <f t="shared" si="3"/>
        <v>13.86850860156645</v>
      </c>
    </row>
    <row r="32" spans="1:35" x14ac:dyDescent="0.3">
      <c r="W32" s="86">
        <f>MSY!A73</f>
        <v>0.28999999999999998</v>
      </c>
      <c r="X32" s="86">
        <f>MSY!B73</f>
        <v>0.45181926100204461</v>
      </c>
      <c r="Y32" s="86">
        <f>MSY!C73</f>
        <v>0.66492310308541891</v>
      </c>
      <c r="Z32" s="86">
        <f>MSY!D73</f>
        <v>3.9063057260462011</v>
      </c>
      <c r="AA32" s="86">
        <f>MSY!E73</f>
        <v>3.4688685979081861</v>
      </c>
      <c r="AB32" s="86">
        <f>MSY!F73</f>
        <v>13.550461266910602</v>
      </c>
      <c r="AC32" s="86">
        <f>MSY!G73</f>
        <v>2.3065308723166775</v>
      </c>
      <c r="AD32" s="24">
        <f t="shared" si="1"/>
        <v>5.1819261002044592E-2</v>
      </c>
      <c r="AE32" s="24">
        <f t="shared" si="2"/>
        <v>0.10181926100204464</v>
      </c>
      <c r="AH32">
        <f t="shared" si="0"/>
        <v>0.28999999999999998</v>
      </c>
      <c r="AI32">
        <f t="shared" si="3"/>
        <v>13.550461266910602</v>
      </c>
    </row>
    <row r="33" spans="23:35" x14ac:dyDescent="0.3">
      <c r="W33" s="86">
        <f>MSY!A74</f>
        <v>0.3</v>
      </c>
      <c r="X33" s="86">
        <f>MSY!B74</f>
        <v>0.44469054066934505</v>
      </c>
      <c r="Y33" s="86">
        <f>MSY!C74</f>
        <v>0.67098763362390867</v>
      </c>
      <c r="Z33" s="86">
        <f>MSY!D74</f>
        <v>3.844672760259733</v>
      </c>
      <c r="AA33" s="86">
        <f>MSY!E74</f>
        <v>3.4452693726785366</v>
      </c>
      <c r="AB33" s="86">
        <f>MSY!F74</f>
        <v>13.245933308894308</v>
      </c>
      <c r="AC33" s="86">
        <f>MSY!G74</f>
        <v>2.3117331435704997</v>
      </c>
      <c r="AD33" s="24">
        <f t="shared" si="1"/>
        <v>4.4690540669345025E-2</v>
      </c>
      <c r="AE33" s="24">
        <f t="shared" si="2"/>
        <v>9.4690540669345069E-2</v>
      </c>
      <c r="AH33">
        <f t="shared" si="0"/>
        <v>0.3</v>
      </c>
      <c r="AI33">
        <f t="shared" si="3"/>
        <v>13.245933308894308</v>
      </c>
    </row>
    <row r="34" spans="23:35" x14ac:dyDescent="0.3">
      <c r="W34" s="86">
        <f>MSY!A75</f>
        <v>0.31</v>
      </c>
      <c r="X34" s="86">
        <f>MSY!B75</f>
        <v>0.43785890087636159</v>
      </c>
      <c r="Y34" s="86">
        <f>MSY!C75</f>
        <v>0.67669500370839575</v>
      </c>
      <c r="Z34" s="86">
        <f>MSY!D75</f>
        <v>3.7856082715470758</v>
      </c>
      <c r="AA34" s="86">
        <f>MSY!E75</f>
        <v>3.4219325521729305</v>
      </c>
      <c r="AB34" s="86">
        <f>MSY!F75</f>
        <v>12.954096174182045</v>
      </c>
      <c r="AC34" s="86">
        <f>MSY!G75</f>
        <v>2.3156046610825411</v>
      </c>
      <c r="AD34" s="24">
        <f t="shared" si="1"/>
        <v>3.7858900876361568E-2</v>
      </c>
      <c r="AE34" s="24">
        <f t="shared" si="2"/>
        <v>8.7858900876361612E-2</v>
      </c>
      <c r="AH34">
        <f t="shared" si="0"/>
        <v>0.31</v>
      </c>
      <c r="AI34">
        <f t="shared" si="3"/>
        <v>12.954096174182045</v>
      </c>
    </row>
    <row r="35" spans="23:35" x14ac:dyDescent="0.3">
      <c r="W35" s="86">
        <f>MSY!A76</f>
        <v>0.32</v>
      </c>
      <c r="X35" s="86">
        <f>MSY!B76</f>
        <v>0.43130646666254246</v>
      </c>
      <c r="Y35" s="86">
        <f>MSY!C76</f>
        <v>0.68207086532196659</v>
      </c>
      <c r="Z35" s="86">
        <f>MSY!D76</f>
        <v>3.7289577178893669</v>
      </c>
      <c r="AA35" s="86">
        <f>MSY!E76</f>
        <v>3.3988549162609152</v>
      </c>
      <c r="AB35" s="86">
        <f>MSY!F76</f>
        <v>12.674186271977357</v>
      </c>
      <c r="AC35" s="86">
        <f>MSY!G76</f>
        <v>2.3182599138379025</v>
      </c>
      <c r="AD35" s="24">
        <f t="shared" si="1"/>
        <v>3.1306466662542443E-2</v>
      </c>
      <c r="AE35" s="24">
        <f t="shared" si="2"/>
        <v>8.1306466662542487E-2</v>
      </c>
      <c r="AH35">
        <f t="shared" si="0"/>
        <v>0.32</v>
      </c>
      <c r="AI35">
        <f t="shared" si="3"/>
        <v>12.674186271977357</v>
      </c>
    </row>
    <row r="36" spans="23:35" x14ac:dyDescent="0.3">
      <c r="W36" s="86">
        <f>MSY!A77</f>
        <v>0.33</v>
      </c>
      <c r="X36" s="86">
        <f>MSY!B77</f>
        <v>0.42501673927986727</v>
      </c>
      <c r="Y36" s="86">
        <f>MSY!C77</f>
        <v>0.68713869132399574</v>
      </c>
      <c r="Z36" s="86">
        <f>MSY!D77</f>
        <v>3.6745784556247987</v>
      </c>
      <c r="AA36" s="86">
        <f>MSY!E77</f>
        <v>3.3760331833914146</v>
      </c>
      <c r="AB36" s="86">
        <f>MSY!F77</f>
        <v>12.405498801164498</v>
      </c>
      <c r="AC36" s="86">
        <f>MSY!G77</f>
        <v>2.3198030235019598</v>
      </c>
      <c r="AD36" s="24">
        <f t="shared" si="1"/>
        <v>2.5016739279867251E-2</v>
      </c>
      <c r="AE36" s="24">
        <f t="shared" si="2"/>
        <v>7.5016739279867295E-2</v>
      </c>
      <c r="AH36">
        <f t="shared" si="0"/>
        <v>0.33</v>
      </c>
      <c r="AI36">
        <f t="shared" si="3"/>
        <v>12.405498801164498</v>
      </c>
    </row>
    <row r="37" spans="23:35" x14ac:dyDescent="0.3">
      <c r="W37" s="86">
        <f>MSY!A78</f>
        <v>0.34</v>
      </c>
      <c r="X37" s="86">
        <f>MSY!B78</f>
        <v>0.41897446778074526</v>
      </c>
      <c r="Y37" s="86">
        <f>MSY!C78</f>
        <v>0.69191998936830301</v>
      </c>
      <c r="Z37" s="86">
        <f>MSY!D78</f>
        <v>3.6223386292327158</v>
      </c>
      <c r="AA37" s="86">
        <f>MSY!E78</f>
        <v>3.3534640209256543</v>
      </c>
      <c r="AB37" s="86">
        <f>MSY!F78</f>
        <v>12.147382264741063</v>
      </c>
      <c r="AC37" s="86">
        <f>MSY!G78</f>
        <v>2.3203287897058655</v>
      </c>
      <c r="AD37" s="24">
        <f t="shared" si="1"/>
        <v>1.8974467780745241E-2</v>
      </c>
      <c r="AE37" s="24">
        <f t="shared" si="2"/>
        <v>6.8974467780745286E-2</v>
      </c>
      <c r="AH37">
        <f t="shared" si="0"/>
        <v>0.34</v>
      </c>
      <c r="AI37">
        <f t="shared" si="3"/>
        <v>12.147382264741063</v>
      </c>
    </row>
    <row r="38" spans="23:35" x14ac:dyDescent="0.3">
      <c r="W38" s="86">
        <f>MSY!A79</f>
        <v>0.35</v>
      </c>
      <c r="X38" s="86">
        <f>MSY!B79</f>
        <v>0.41316553464675532</v>
      </c>
      <c r="Y38" s="86">
        <f>MSY!C79</f>
        <v>0.69643449187361295</v>
      </c>
      <c r="Z38" s="86">
        <f>MSY!D79</f>
        <v>3.5721161825109902</v>
      </c>
      <c r="AA38" s="86">
        <f>MSY!E79</f>
        <v>3.331144054695732</v>
      </c>
      <c r="AB38" s="86">
        <f>MSY!F79</f>
        <v>11.899233584053899</v>
      </c>
      <c r="AC38" s="86">
        <f>MSY!G79</f>
        <v>2.3199236170898287</v>
      </c>
      <c r="AD38" s="24">
        <f t="shared" si="1"/>
        <v>1.3165534646755295E-2</v>
      </c>
      <c r="AE38" s="24">
        <f t="shared" si="2"/>
        <v>6.3165534646755339E-2</v>
      </c>
      <c r="AH38">
        <f t="shared" si="0"/>
        <v>0.35</v>
      </c>
      <c r="AI38">
        <f t="shared" si="3"/>
        <v>11.899233584053899</v>
      </c>
    </row>
    <row r="39" spans="23:35" x14ac:dyDescent="0.3">
      <c r="W39" s="86">
        <f>MSY!A80</f>
        <v>0.36</v>
      </c>
      <c r="X39" s="86">
        <f>MSY!B80</f>
        <v>0.40757685370266106</v>
      </c>
      <c r="Y39" s="86">
        <f>MSY!C80</f>
        <v>0.70070032506996671</v>
      </c>
      <c r="Z39" s="86">
        <f>MSY!D80</f>
        <v>3.5237979759685256</v>
      </c>
      <c r="AA39" s="86">
        <f>MSY!E80</f>
        <v>3.309069877832036</v>
      </c>
      <c r="AB39" s="86">
        <f>MSY!F80</f>
        <v>11.660493737842945</v>
      </c>
      <c r="AC39" s="86">
        <f>MSY!G80</f>
        <v>2.3186663390761426</v>
      </c>
      <c r="AD39" s="24">
        <f t="shared" si="1"/>
        <v>7.576853702661035E-3</v>
      </c>
      <c r="AE39" s="24">
        <f t="shared" si="2"/>
        <v>5.7576853702661079E-2</v>
      </c>
      <c r="AH39">
        <f t="shared" si="0"/>
        <v>0.36</v>
      </c>
      <c r="AI39">
        <f t="shared" si="3"/>
        <v>11.660493737842945</v>
      </c>
    </row>
    <row r="40" spans="23:35" x14ac:dyDescent="0.3">
      <c r="W40" s="86">
        <f>MSY!A81</f>
        <v>0.37</v>
      </c>
      <c r="X40" s="86">
        <f>MSY!B81</f>
        <v>0.40219627880642972</v>
      </c>
      <c r="Y40" s="86">
        <f>MSY!C81</f>
        <v>0.70473415971899789</v>
      </c>
      <c r="Z40" s="86">
        <f>MSY!D81</f>
        <v>3.4772789973841358</v>
      </c>
      <c r="AA40" s="86">
        <f>MSY!E81</f>
        <v>3.2872380589013401</v>
      </c>
      <c r="AB40" s="86">
        <f>MSY!F81</f>
        <v>11.430643861619425</v>
      </c>
      <c r="AC40" s="86">
        <f>MSY!G81</f>
        <v>2.3166289512361455</v>
      </c>
      <c r="AD40" s="24">
        <f t="shared" si="1"/>
        <v>2.1962788064296968E-3</v>
      </c>
      <c r="AE40" s="24">
        <f t="shared" si="2"/>
        <v>5.2196278806429741E-2</v>
      </c>
      <c r="AH40">
        <f t="shared" si="0"/>
        <v>0.37</v>
      </c>
      <c r="AI40">
        <f t="shared" si="3"/>
        <v>11.430643861619425</v>
      </c>
    </row>
    <row r="41" spans="23:35" x14ac:dyDescent="0.3">
      <c r="W41" s="86">
        <f>MSY!A82</f>
        <v>0.38</v>
      </c>
      <c r="X41" s="86">
        <f>MSY!B82</f>
        <v>0.39701252201407877</v>
      </c>
      <c r="Y41" s="86">
        <f>MSY!C82</f>
        <v>0.70855134574633194</v>
      </c>
      <c r="Z41" s="86">
        <f>MSY!D82</f>
        <v>3.4324616542822004</v>
      </c>
      <c r="AA41" s="86">
        <f>MSY!E82</f>
        <v>3.2656451493958984</v>
      </c>
      <c r="AB41" s="86">
        <f>MSY!F82</f>
        <v>11.209201751794087</v>
      </c>
      <c r="AC41" s="86">
        <f>MSY!G82</f>
        <v>2.3138772653344453</v>
      </c>
      <c r="AD41" s="24">
        <f t="shared" si="1"/>
        <v>2.9874779859212497E-3</v>
      </c>
      <c r="AE41" s="24">
        <f t="shared" si="2"/>
        <v>4.7012522014078795E-2</v>
      </c>
      <c r="AH41">
        <f t="shared" si="0"/>
        <v>0.38</v>
      </c>
      <c r="AI41">
        <f t="shared" si="3"/>
        <v>11.209201751794087</v>
      </c>
    </row>
    <row r="42" spans="23:35" x14ac:dyDescent="0.3">
      <c r="W42" s="86">
        <f>MSY!A83</f>
        <v>0.39</v>
      </c>
      <c r="X42" s="86">
        <f>MSY!B83</f>
        <v>0.3920150800945556</v>
      </c>
      <c r="Y42" s="86">
        <f>MSY!C83</f>
        <v>0.71216603271964074</v>
      </c>
      <c r="Z42" s="86">
        <f>MSY!D83</f>
        <v>3.3892551386004168</v>
      </c>
      <c r="AA42" s="86">
        <f>MSY!E83</f>
        <v>3.2442876906123534</v>
      </c>
      <c r="AB42" s="86">
        <f>MSY!F83</f>
        <v>10.995718726505999</v>
      </c>
      <c r="AC42" s="86">
        <f>MSY!G83</f>
        <v>2.3104714936245649</v>
      </c>
      <c r="AD42" s="24">
        <f t="shared" si="1"/>
        <v>7.9849199054444209E-3</v>
      </c>
      <c r="AE42" s="24">
        <f t="shared" si="2"/>
        <v>4.2015080094555624E-2</v>
      </c>
      <c r="AH42">
        <f t="shared" si="0"/>
        <v>0.39</v>
      </c>
      <c r="AI42">
        <f t="shared" si="3"/>
        <v>10.995718726505999</v>
      </c>
    </row>
    <row r="43" spans="23:35" x14ac:dyDescent="0.3">
      <c r="W43" s="86">
        <f>MSY!A84</f>
        <v>0.4</v>
      </c>
      <c r="X43" s="86">
        <f>MSY!B84</f>
        <v>0.38719416841978377</v>
      </c>
      <c r="Y43" s="86">
        <f>MSY!C84</f>
        <v>0.71559127784690002</v>
      </c>
      <c r="Z43" s="86">
        <f>MSY!D84</f>
        <v>3.3475748551212252</v>
      </c>
      <c r="AA43" s="86">
        <f>MSY!E84</f>
        <v>3.2231622199576879</v>
      </c>
      <c r="AB43" s="86">
        <f>MSY!F84</f>
        <v>10.789776801507063</v>
      </c>
      <c r="AC43" s="86">
        <f>MSY!G84</f>
        <v>2.306466771687373</v>
      </c>
      <c r="AD43" s="24">
        <f t="shared" si="1"/>
        <v>1.2805831580216254E-2</v>
      </c>
      <c r="AE43" s="24">
        <f t="shared" si="2"/>
        <v>3.7194168419783791E-2</v>
      </c>
      <c r="AH43">
        <f t="shared" si="0"/>
        <v>0.4</v>
      </c>
      <c r="AI43">
        <f t="shared" si="3"/>
        <v>10.789776801507063</v>
      </c>
    </row>
    <row r="44" spans="23:35" x14ac:dyDescent="0.3">
      <c r="W44" s="86">
        <f>MSY!A85</f>
        <v>0.41</v>
      </c>
      <c r="X44" s="86">
        <f>MSY!B85</f>
        <v>0.3825406613828321</v>
      </c>
      <c r="Y44" s="86">
        <f>MSY!C85</f>
        <v>0.71883914294866724</v>
      </c>
      <c r="Z44" s="86">
        <f>MSY!D85</f>
        <v>3.307341906343598</v>
      </c>
      <c r="AA44" s="86">
        <f>MSY!E85</f>
        <v>3.2022652767178648</v>
      </c>
      <c r="AB44" s="86">
        <f>MSY!F85</f>
        <v>10.590986144917974</v>
      </c>
      <c r="AC44" s="86">
        <f>MSY!G85</f>
        <v>2.3019136270101468</v>
      </c>
      <c r="AD44" s="24">
        <f t="shared" si="1"/>
        <v>1.7459338617167919E-2</v>
      </c>
      <c r="AE44" s="24">
        <f t="shared" si="2"/>
        <v>3.2540661382832126E-2</v>
      </c>
      <c r="AH44">
        <f t="shared" si="0"/>
        <v>0.41</v>
      </c>
      <c r="AI44">
        <f t="shared" si="3"/>
        <v>10.590986144917974</v>
      </c>
    </row>
    <row r="45" spans="23:35" x14ac:dyDescent="0.3">
      <c r="W45" s="86">
        <f>MSY!A86</f>
        <v>0.42</v>
      </c>
      <c r="X45" s="86">
        <f>MSY!B86</f>
        <v>0.37804603860644587</v>
      </c>
      <c r="Y45" s="86">
        <f>MSY!C86</f>
        <v>0.72192078166957041</v>
      </c>
      <c r="Z45" s="86">
        <f>MSY!D86</f>
        <v>3.2684826274167182</v>
      </c>
      <c r="AA45" s="86">
        <f>MSY!E86</f>
        <v>3.1815934073231986</v>
      </c>
      <c r="AB45" s="86">
        <f>MSY!F86</f>
        <v>10.398982779339436</v>
      </c>
      <c r="AC45" s="86">
        <f>MSY!G86</f>
        <v>2.2968583995695155</v>
      </c>
      <c r="AD45" s="24">
        <f t="shared" si="1"/>
        <v>2.1953961393554156E-2</v>
      </c>
      <c r="AE45" s="24">
        <f t="shared" si="2"/>
        <v>2.8046038606445889E-2</v>
      </c>
      <c r="AH45">
        <f t="shared" si="0"/>
        <v>0.42</v>
      </c>
      <c r="AI45">
        <f t="shared" si="3"/>
        <v>10.398982779339436</v>
      </c>
    </row>
    <row r="46" spans="23:35" x14ac:dyDescent="0.3">
      <c r="W46" s="86">
        <f>MSY!A87</f>
        <v>0.43</v>
      </c>
      <c r="X46" s="86">
        <f>MSY!B87</f>
        <v>0.37370233629784722</v>
      </c>
      <c r="Y46" s="86">
        <f>MSY!C87</f>
        <v>0.72484651803252975</v>
      </c>
      <c r="Z46" s="86">
        <f>MSY!D87</f>
        <v>3.2309281655668896</v>
      </c>
      <c r="AA46" s="86">
        <f>MSY!E87</f>
        <v>3.1611431701429229</v>
      </c>
      <c r="AB46" s="86">
        <f>MSY!F87</f>
        <v>10.213426503804175</v>
      </c>
      <c r="AC46" s="86">
        <f>MSY!G87</f>
        <v>2.2913436198804105</v>
      </c>
      <c r="AD46" s="24">
        <f t="shared" si="1"/>
        <v>2.6297663702152807E-2</v>
      </c>
      <c r="AE46" s="24">
        <f t="shared" si="2"/>
        <v>2.3702336297847237E-2</v>
      </c>
      <c r="AH46">
        <f t="shared" si="0"/>
        <v>0.43</v>
      </c>
      <c r="AI46">
        <f t="shared" si="3"/>
        <v>10.213426503804175</v>
      </c>
    </row>
    <row r="47" spans="23:35" x14ac:dyDescent="0.3">
      <c r="W47" s="86">
        <f>MSY!A88</f>
        <v>0.44</v>
      </c>
      <c r="X47" s="86">
        <f>MSY!B88</f>
        <v>0.36950210318622317</v>
      </c>
      <c r="Y47" s="86">
        <f>MSY!C88</f>
        <v>0.72762591730038206</v>
      </c>
      <c r="Z47" s="86">
        <f>MSY!D88</f>
        <v>3.194614099145114</v>
      </c>
      <c r="AA47" s="86">
        <f>MSY!E88</f>
        <v>3.1409111398398122</v>
      </c>
      <c r="AB47" s="86">
        <f>MSY!F88</f>
        <v>10.033999011494213</v>
      </c>
      <c r="AC47" s="86">
        <f>MSY!G88</f>
        <v>2.285408349284932</v>
      </c>
      <c r="AD47" s="24">
        <f t="shared" si="1"/>
        <v>3.0497896813776848E-2</v>
      </c>
      <c r="AE47" s="24">
        <f t="shared" si="2"/>
        <v>1.9502103186223196E-2</v>
      </c>
      <c r="AH47">
        <f t="shared" si="0"/>
        <v>0.44</v>
      </c>
      <c r="AI47">
        <f t="shared" si="3"/>
        <v>10.033999011494213</v>
      </c>
    </row>
    <row r="48" spans="23:35" x14ac:dyDescent="0.3">
      <c r="W48" s="86">
        <f>MSY!A89</f>
        <v>0.45</v>
      </c>
      <c r="X48" s="86">
        <f>MSY!B89</f>
        <v>0.36543836054868317</v>
      </c>
      <c r="Y48" s="86">
        <f>MSY!C89</f>
        <v>0.73026784998995797</v>
      </c>
      <c r="Z48" s="86">
        <f>MSY!D89</f>
        <v>3.1594800920224544</v>
      </c>
      <c r="AA48" s="86">
        <f>MSY!E89</f>
        <v>3.1208939113142136</v>
      </c>
      <c r="AB48" s="86">
        <f>MSY!F89</f>
        <v>9.8604021821113488</v>
      </c>
      <c r="AC48" s="86">
        <f>MSY!G89</f>
        <v>2.2790884866621814</v>
      </c>
      <c r="AD48" s="24">
        <f t="shared" si="1"/>
        <v>3.456163945131685E-2</v>
      </c>
      <c r="AE48" s="24">
        <f t="shared" si="2"/>
        <v>1.5438360548683194E-2</v>
      </c>
      <c r="AH48">
        <f t="shared" si="0"/>
        <v>0.45</v>
      </c>
      <c r="AI48">
        <f t="shared" si="3"/>
        <v>9.8604021821113488</v>
      </c>
    </row>
    <row r="49" spans="23:35" x14ac:dyDescent="0.3">
      <c r="W49" s="86">
        <f>MSY!A90</f>
        <v>0.46</v>
      </c>
      <c r="X49" s="86">
        <f>MSY!B90</f>
        <v>0.36150456589037933</v>
      </c>
      <c r="Y49" s="86">
        <f>MSY!C90</f>
        <v>0.73278054978041451</v>
      </c>
      <c r="Z49" s="86">
        <f>MSY!D90</f>
        <v>3.1254695795782919</v>
      </c>
      <c r="AA49" s="86">
        <f>MSY!E90</f>
        <v>3.1010881032652815</v>
      </c>
      <c r="AB49" s="86">
        <f>MSY!F90</f>
        <v>9.6923565303477819</v>
      </c>
      <c r="AC49" s="86">
        <f>MSY!G90</f>
        <v>2.2724170452282357</v>
      </c>
      <c r="AD49" s="24">
        <f t="shared" si="1"/>
        <v>3.8495434109620696E-2</v>
      </c>
      <c r="AE49" s="24">
        <f t="shared" si="2"/>
        <v>1.1504565890379348E-2</v>
      </c>
      <c r="AH49">
        <f t="shared" si="0"/>
        <v>0.46</v>
      </c>
      <c r="AI49">
        <f t="shared" si="3"/>
        <v>9.6923565303477819</v>
      </c>
    </row>
    <row r="50" spans="23:35" x14ac:dyDescent="0.3">
      <c r="W50" s="86">
        <f>MSY!A91</f>
        <v>0.47</v>
      </c>
      <c r="X50" s="86">
        <f>MSY!B91</f>
        <v>0.35769457989634645</v>
      </c>
      <c r="Y50" s="86">
        <f>MSY!C91</f>
        <v>0.73517166596827765</v>
      </c>
      <c r="Z50" s="86">
        <f>MSY!D91</f>
        <v>3.0925294829749754</v>
      </c>
      <c r="AA50" s="86">
        <f>MSY!E91</f>
        <v>3.0814903613957667</v>
      </c>
      <c r="AB50" s="86">
        <f>MSY!F91</f>
        <v>9.5295997941196227</v>
      </c>
      <c r="AC50" s="86">
        <f>MSY!G91</f>
        <v>2.2654244026525157</v>
      </c>
      <c r="AD50" s="24">
        <f t="shared" si="1"/>
        <v>4.2305420103653568E-2</v>
      </c>
      <c r="AE50" s="24">
        <f t="shared" si="2"/>
        <v>7.6945798963464762E-3</v>
      </c>
      <c r="AH50">
        <f t="shared" si="0"/>
        <v>0.47</v>
      </c>
      <c r="AI50">
        <f t="shared" si="3"/>
        <v>9.5295997941196227</v>
      </c>
    </row>
    <row r="51" spans="23:35" x14ac:dyDescent="0.3">
      <c r="W51" s="86">
        <f>MSY!A92</f>
        <v>0.48</v>
      </c>
      <c r="X51" s="86">
        <f>MSY!B92</f>
        <v>0.35400263631762141</v>
      </c>
      <c r="Y51" s="86">
        <f>MSY!C92</f>
        <v>0.73744831104416164</v>
      </c>
      <c r="Z51" s="86">
        <f>MSY!D92</f>
        <v>3.0606099488014471</v>
      </c>
      <c r="AA51" s="86">
        <f>MSY!E92</f>
        <v>3.0620973612852325</v>
      </c>
      <c r="AB51" s="86">
        <f>MSY!F92</f>
        <v>9.3718856481482433</v>
      </c>
      <c r="AC51" s="86">
        <f>MSY!G92</f>
        <v>2.2581385273325787</v>
      </c>
      <c r="AD51" s="24">
        <f t="shared" si="1"/>
        <v>4.5997363682378611E-2</v>
      </c>
      <c r="AE51" s="24">
        <f t="shared" si="2"/>
        <v>4.002636317621433E-3</v>
      </c>
      <c r="AH51">
        <f t="shared" si="0"/>
        <v>0.48</v>
      </c>
      <c r="AI51">
        <f t="shared" si="3"/>
        <v>9.3718856481482433</v>
      </c>
    </row>
    <row r="52" spans="23:35" x14ac:dyDescent="0.3">
      <c r="W52" s="86">
        <f>MSY!A93</f>
        <v>0.49</v>
      </c>
      <c r="X52" s="86">
        <f>MSY!B93</f>
        <v>0.35042331449334041</v>
      </c>
      <c r="Y52" s="86">
        <f>MSY!C93</f>
        <v>0.73961710389878788</v>
      </c>
      <c r="Z52" s="86">
        <f>MSY!D93</f>
        <v>3.029664111506813</v>
      </c>
      <c r="AA52" s="86">
        <f>MSY!E93</f>
        <v>3.0429058109552307</v>
      </c>
      <c r="AB52" s="86">
        <f>MSY!F93</f>
        <v>9.2189825301465955</v>
      </c>
      <c r="AC52" s="86">
        <f>MSY!G93</f>
        <v>2.2505851833355002</v>
      </c>
      <c r="AD52" s="24">
        <f t="shared" si="1"/>
        <v>4.9576685506659612E-2</v>
      </c>
      <c r="AE52" s="24">
        <f t="shared" si="2"/>
        <v>4.2331449334043203E-4</v>
      </c>
      <c r="AH52">
        <f t="shared" si="0"/>
        <v>0.49</v>
      </c>
      <c r="AI52">
        <f t="shared" si="3"/>
        <v>9.2189825301465955</v>
      </c>
    </row>
    <row r="53" spans="23:35" x14ac:dyDescent="0.3">
      <c r="W53" s="86">
        <f>MSY!A94</f>
        <v>0.5</v>
      </c>
      <c r="X53" s="86">
        <f>MSY!B94</f>
        <v>0.34695151424461262</v>
      </c>
      <c r="Y53" s="86">
        <f>MSY!C94</f>
        <v>0.7416842091072724</v>
      </c>
      <c r="Z53" s="86">
        <f>MSY!D94</f>
        <v>2.9996478763396439</v>
      </c>
      <c r="AA53" s="86">
        <f>MSY!E94</f>
        <v>3.023912453148585</v>
      </c>
      <c r="AB53" s="86">
        <f>MSY!F94</f>
        <v>9.0706725683241558</v>
      </c>
      <c r="AC53" s="86">
        <f>MSY!G94</f>
        <v>2.24278811622314</v>
      </c>
      <c r="AD53" s="24">
        <f t="shared" si="1"/>
        <v>5.3048485755387398E-2</v>
      </c>
      <c r="AE53" s="24">
        <f t="shared" si="2"/>
        <v>3.0484857553873534E-3</v>
      </c>
      <c r="AH53">
        <f t="shared" si="0"/>
        <v>0.5</v>
      </c>
      <c r="AI53">
        <f t="shared" si="3"/>
        <v>9.0706725683241558</v>
      </c>
    </row>
    <row r="54" spans="23:35" x14ac:dyDescent="0.3">
      <c r="W54" s="86">
        <f>MSY!A95</f>
        <v>0.51</v>
      </c>
      <c r="X54" s="86">
        <f>MSY!B95</f>
        <v>0.34358243290575535</v>
      </c>
      <c r="Y54" s="86">
        <f>MSY!C95</f>
        <v>0.74365537268946535</v>
      </c>
      <c r="Z54" s="86">
        <f>MSY!D95</f>
        <v>2.9705197207663159</v>
      </c>
      <c r="AA54" s="86">
        <f>MSY!E95</f>
        <v>3.0051140673436554</v>
      </c>
      <c r="AB54" s="86">
        <f>MSY!F95</f>
        <v>8.9267506001966002</v>
      </c>
      <c r="AC54" s="86">
        <f>MSY!G95</f>
        <v>2.2347692217248012</v>
      </c>
      <c r="AD54" s="24">
        <f t="shared" si="1"/>
        <v>5.6417567094244669E-2</v>
      </c>
      <c r="AE54" s="24">
        <f t="shared" si="2"/>
        <v>6.417567094244625E-3</v>
      </c>
      <c r="AH54">
        <f t="shared" si="0"/>
        <v>0.51</v>
      </c>
      <c r="AI54">
        <f t="shared" si="3"/>
        <v>8.9267506001966002</v>
      </c>
    </row>
    <row r="55" spans="23:35" x14ac:dyDescent="0.3">
      <c r="W55" s="86">
        <f>MSY!A96</f>
        <v>0.52</v>
      </c>
      <c r="X55" s="86">
        <f>MSY!B96</f>
        <v>0.34031154428453309</v>
      </c>
      <c r="Y55" s="86">
        <f>MSY!C96</f>
        <v>0.74553595469935863</v>
      </c>
      <c r="Z55" s="86">
        <f>MSY!D96</f>
        <v>2.9422405125669959</v>
      </c>
      <c r="AA55" s="86">
        <f>MSY!E96</f>
        <v>2.9865074715232311</v>
      </c>
      <c r="AB55" s="86">
        <f>MSY!F96</f>
        <v>8.7870232737996758</v>
      </c>
      <c r="AC55" s="86">
        <f>MSY!G96</f>
        <v>2.2265486989988399</v>
      </c>
      <c r="AD55" s="24">
        <f t="shared" si="1"/>
        <v>5.9688455715466937E-2</v>
      </c>
      <c r="AE55" s="24">
        <f t="shared" si="2"/>
        <v>9.6884557154668927E-3</v>
      </c>
      <c r="AH55">
        <f t="shared" si="0"/>
        <v>0.52</v>
      </c>
      <c r="AI55">
        <f t="shared" si="3"/>
        <v>8.7870232737996758</v>
      </c>
    </row>
    <row r="56" spans="23:35" x14ac:dyDescent="0.3">
      <c r="W56" s="86">
        <f>MSY!A97</f>
        <v>0.53</v>
      </c>
      <c r="X56" s="86">
        <f>MSY!B97</f>
        <v>0.33713457936589597</v>
      </c>
      <c r="Y56" s="86">
        <f>MSY!C97</f>
        <v>0.74733095895737112</v>
      </c>
      <c r="Z56" s="86">
        <f>MSY!D97</f>
        <v>2.9147733430054399</v>
      </c>
      <c r="AA56" s="86">
        <f>MSY!E97</f>
        <v>2.968089523716491</v>
      </c>
      <c r="AB56" s="86">
        <f>MSY!F97</f>
        <v>8.6513082233825429</v>
      </c>
      <c r="AC56" s="86">
        <f>MSY!G97</f>
        <v>2.2181451900303721</v>
      </c>
      <c r="AD56" s="24">
        <f t="shared" si="1"/>
        <v>6.2865420634104052E-2</v>
      </c>
      <c r="AE56" s="24">
        <f t="shared" si="2"/>
        <v>1.2865420634104008E-2</v>
      </c>
      <c r="AH56">
        <f t="shared" si="0"/>
        <v>0.53</v>
      </c>
      <c r="AI56">
        <f t="shared" si="3"/>
        <v>8.6513082233825429</v>
      </c>
    </row>
    <row r="57" spans="23:35" x14ac:dyDescent="0.3">
      <c r="W57" s="86">
        <f>MSY!A98</f>
        <v>0.54</v>
      </c>
      <c r="X57" s="86">
        <f>MSY!B98</f>
        <v>0.3340475085937758</v>
      </c>
      <c r="Y57" s="86">
        <f>MSY!C98</f>
        <v>0.74904506020489758</v>
      </c>
      <c r="Z57" s="86">
        <f>MSY!D98</f>
        <v>2.8880833736422518</v>
      </c>
      <c r="AA57" s="86">
        <f>MSY!E98</f>
        <v>2.9498571233313493</v>
      </c>
      <c r="AB57" s="86">
        <f>MSY!F98</f>
        <v>8.5194333125134314</v>
      </c>
      <c r="AC57" s="86">
        <f>MSY!G98</f>
        <v>2.2095759065415765</v>
      </c>
      <c r="AD57" s="24">
        <f t="shared" si="1"/>
        <v>6.5952491406224223E-2</v>
      </c>
      <c r="AE57" s="24">
        <f t="shared" si="2"/>
        <v>1.5952491406224178E-2</v>
      </c>
      <c r="AH57">
        <f t="shared" si="0"/>
        <v>0.54</v>
      </c>
      <c r="AI57">
        <f t="shared" si="3"/>
        <v>8.5194333125134314</v>
      </c>
    </row>
    <row r="58" spans="23:35" x14ac:dyDescent="0.3">
      <c r="W58" s="86">
        <f>MSY!A99</f>
        <v>0.55000000000000004</v>
      </c>
      <c r="X58" s="86">
        <f>MSY!B99</f>
        <v>0.33104652558316783</v>
      </c>
      <c r="Y58" s="86">
        <f>MSY!C99</f>
        <v>0.75068262893023951</v>
      </c>
      <c r="Z58" s="86">
        <f>MSY!D99</f>
        <v>2.8621376955139963</v>
      </c>
      <c r="AA58" s="86">
        <f>MSY!E99</f>
        <v>2.9318072122934336</v>
      </c>
      <c r="AB58" s="86">
        <f>MSY!F99</f>
        <v>8.39123593828484</v>
      </c>
      <c r="AC58" s="86">
        <f>MSY!G99</f>
        <v>2.2008567456410715</v>
      </c>
      <c r="AD58" s="24">
        <f t="shared" si="1"/>
        <v>6.8953474416832194E-2</v>
      </c>
      <c r="AE58" s="24">
        <f t="shared" si="2"/>
        <v>1.895347441683215E-2</v>
      </c>
      <c r="AH58">
        <f t="shared" si="0"/>
        <v>0.55000000000000004</v>
      </c>
      <c r="AI58">
        <f t="shared" si="3"/>
        <v>8.39123593828484</v>
      </c>
    </row>
    <row r="59" spans="23:35" x14ac:dyDescent="0.3">
      <c r="W59" s="86">
        <f>MSY!A100</f>
        <v>0.56000000000000005</v>
      </c>
      <c r="X59" s="86">
        <f>MSY!B100</f>
        <v>0.32812803213029046</v>
      </c>
      <c r="Y59" s="86">
        <f>MSY!C100</f>
        <v>0.75224775408838829</v>
      </c>
      <c r="Z59" s="86">
        <f>MSY!D100</f>
        <v>2.8369051995351415</v>
      </c>
      <c r="AA59" s="86">
        <f>MSY!E100</f>
        <v>2.9139367760068922</v>
      </c>
      <c r="AB59" s="86">
        <f>MSY!F100</f>
        <v>8.2665623909706198</v>
      </c>
      <c r="AC59" s="86">
        <f>MSY!G100</f>
        <v>2.1920023953067438</v>
      </c>
      <c r="AD59" s="24">
        <f t="shared" si="1"/>
        <v>7.1871967869709563E-2</v>
      </c>
      <c r="AE59" s="24">
        <f t="shared" si="2"/>
        <v>2.1871967869709519E-2</v>
      </c>
      <c r="AH59">
        <f t="shared" si="0"/>
        <v>0.56000000000000005</v>
      </c>
      <c r="AI59">
        <f t="shared" si="3"/>
        <v>8.2665623909706198</v>
      </c>
    </row>
    <row r="60" spans="23:35" x14ac:dyDescent="0.3">
      <c r="W60" s="86">
        <f>MSY!A101</f>
        <v>0.56999999999999995</v>
      </c>
      <c r="X60" s="86">
        <f>MSY!B101</f>
        <v>0.32528862440236567</v>
      </c>
      <c r="Y60" s="86">
        <f>MSY!C101</f>
        <v>0.75374426391359517</v>
      </c>
      <c r="Z60" s="86">
        <f>MSY!D101</f>
        <v>2.8123564570986779</v>
      </c>
      <c r="AA60" s="86">
        <f>MSY!E101</f>
        <v>2.8962428441512666</v>
      </c>
      <c r="AB60" s="86">
        <f>MSY!F101</f>
        <v>8.145267264074656</v>
      </c>
      <c r="AC60" s="86">
        <f>MSY!G101</f>
        <v>2.1830264306798139</v>
      </c>
      <c r="AD60" s="24">
        <f t="shared" si="1"/>
        <v>7.4711375597634355E-2</v>
      </c>
      <c r="AE60" s="24">
        <f t="shared" si="2"/>
        <v>2.4711375597634311E-2</v>
      </c>
      <c r="AH60">
        <f t="shared" si="0"/>
        <v>0.56999999999999995</v>
      </c>
      <c r="AI60">
        <f t="shared" si="3"/>
        <v>8.145267264074656</v>
      </c>
    </row>
    <row r="61" spans="23:35" x14ac:dyDescent="0.3">
      <c r="W61" s="86">
        <f>MSY!A102</f>
        <v>0.57999999999999996</v>
      </c>
      <c r="X61" s="86">
        <f>MSY!B102</f>
        <v>0.32252508020073262</v>
      </c>
      <c r="Y61" s="86">
        <f>MSY!C102</f>
        <v>0.75517574500289719</v>
      </c>
      <c r="Z61" s="86">
        <f>MSY!D102</f>
        <v>2.7884636099564837</v>
      </c>
      <c r="AA61" s="86">
        <f>MSY!E102</f>
        <v>2.8787224913277503</v>
      </c>
      <c r="AB61" s="86">
        <f>MSY!F102</f>
        <v>8.0272129102307002</v>
      </c>
      <c r="AC61" s="86">
        <f>MSY!G102</f>
        <v>2.1739414020450298</v>
      </c>
      <c r="AD61" s="24">
        <f t="shared" si="1"/>
        <v>7.7474919799267405E-2</v>
      </c>
      <c r="AE61" s="24">
        <f t="shared" si="2"/>
        <v>2.7474919799267361E-2</v>
      </c>
      <c r="AH61">
        <f t="shared" si="0"/>
        <v>0.57999999999999996</v>
      </c>
      <c r="AI61">
        <f t="shared" si="3"/>
        <v>8.0272129102307002</v>
      </c>
    </row>
    <row r="62" spans="23:35" x14ac:dyDescent="0.3">
      <c r="W62" s="86">
        <f>MSY!A103</f>
        <v>0.59</v>
      </c>
      <c r="X62" s="86">
        <f>MSY!B103</f>
        <v>0.31983434720177595</v>
      </c>
      <c r="Y62" s="86">
        <f>MSY!C103</f>
        <v>0.75654555983034633</v>
      </c>
      <c r="Z62" s="86">
        <f>MSY!D103</f>
        <v>2.7652002685536075</v>
      </c>
      <c r="AA62" s="86">
        <f>MSY!E103</f>
        <v>2.8613728375672429</v>
      </c>
      <c r="AB62" s="86">
        <f>MSY!F103</f>
        <v>7.9122689388729395</v>
      </c>
      <c r="AC62" s="86">
        <f>MSY!G103</f>
        <v>2.1647589152806566</v>
      </c>
      <c r="AD62" s="24">
        <f t="shared" si="1"/>
        <v>8.0165652798224074E-2</v>
      </c>
      <c r="AE62" s="24">
        <f t="shared" si="2"/>
        <v>3.016565279822403E-2</v>
      </c>
      <c r="AH62">
        <f t="shared" si="0"/>
        <v>0.59</v>
      </c>
      <c r="AI62">
        <f t="shared" si="3"/>
        <v>7.9122689388729395</v>
      </c>
    </row>
    <row r="63" spans="23:35" x14ac:dyDescent="0.3">
      <c r="W63" s="86">
        <f>MSY!A104</f>
        <v>0.6</v>
      </c>
      <c r="X63" s="86">
        <f>MSY!B104</f>
        <v>0.31721353208972275</v>
      </c>
      <c r="Y63" s="86">
        <f>MSY!C104</f>
        <v>0.75785686283539866</v>
      </c>
      <c r="Z63" s="86">
        <f>MSY!D104</f>
        <v>2.7425414180734027</v>
      </c>
      <c r="AA63" s="86">
        <f>MSY!E104</f>
        <v>2.8441910487118114</v>
      </c>
      <c r="AB63" s="86">
        <f>MSY!F104</f>
        <v>7.8003117520057694</v>
      </c>
      <c r="AC63" s="86">
        <f>MSY!G104</f>
        <v>2.1554897054812558</v>
      </c>
      <c r="AD63" s="24">
        <f t="shared" si="1"/>
        <v>8.2786467910277273E-2</v>
      </c>
      <c r="AE63" s="24">
        <f t="shared" si="2"/>
        <v>3.2786467910277228E-2</v>
      </c>
      <c r="AH63">
        <f t="shared" si="0"/>
        <v>0.6</v>
      </c>
      <c r="AI63">
        <f t="shared" si="3"/>
        <v>7.8003117520057694</v>
      </c>
    </row>
    <row r="64" spans="23:35" x14ac:dyDescent="0.3">
      <c r="W64" s="86">
        <f>MSY!A105</f>
        <v>0.61</v>
      </c>
      <c r="X64" s="86">
        <f>MSY!B105</f>
        <v>0.31465989050385901</v>
      </c>
      <c r="Y64" s="86">
        <f>MSY!C105</f>
        <v>0.75911261521442286</v>
      </c>
      <c r="Z64" s="86">
        <f>MSY!D105</f>
        <v>2.7204633315239142</v>
      </c>
      <c r="AA64" s="86">
        <f>MSY!E105</f>
        <v>2.8271743366803799</v>
      </c>
      <c r="AB64" s="86">
        <f>MSY!F105</f>
        <v>7.6912241147644185</v>
      </c>
      <c r="AC64" s="86">
        <f>MSY!G105</f>
        <v>2.1461437043845444</v>
      </c>
      <c r="AD64" s="24">
        <f t="shared" si="1"/>
        <v>8.5340109496141014E-2</v>
      </c>
      <c r="AE64" s="24">
        <f t="shared" si="2"/>
        <v>3.534010949614097E-2</v>
      </c>
      <c r="AH64">
        <f t="shared" si="0"/>
        <v>0.61</v>
      </c>
      <c r="AI64">
        <f t="shared" si="3"/>
        <v>7.6912241147644185</v>
      </c>
    </row>
    <row r="65" spans="23:35" x14ac:dyDescent="0.3">
      <c r="W65" s="86">
        <f>MSY!A106</f>
        <v>0.62</v>
      </c>
      <c r="X65" s="86">
        <f>MSY!B106</f>
        <v>0.31217081773028965</v>
      </c>
      <c r="Y65" s="86">
        <f>MSY!C106</f>
        <v>0.76031559853142527</v>
      </c>
      <c r="Z65" s="86">
        <f>MSY!D106</f>
        <v>2.6989434892613779</v>
      </c>
      <c r="AA65" s="86">
        <f>MSY!E106</f>
        <v>2.8103199596287132</v>
      </c>
      <c r="AB65" s="86">
        <f>MSY!F106</f>
        <v>7.584894757781214</v>
      </c>
      <c r="AC65" s="86">
        <f>MSY!G106</f>
        <v>2.1367301021699161</v>
      </c>
      <c r="AD65" s="24">
        <f t="shared" si="1"/>
        <v>8.7829182269710371E-2</v>
      </c>
      <c r="AE65" s="24">
        <f t="shared" si="2"/>
        <v>3.7829182269710326E-2</v>
      </c>
      <c r="AH65">
        <f t="shared" si="0"/>
        <v>0.62</v>
      </c>
      <c r="AI65">
        <f t="shared" si="3"/>
        <v>7.584894757781214</v>
      </c>
    </row>
    <row r="66" spans="23:35" x14ac:dyDescent="0.3">
      <c r="W66" s="86">
        <f>MSY!A107</f>
        <v>0.630000000000001</v>
      </c>
      <c r="X66" s="86">
        <f>MSY!B107</f>
        <v>0.30974384007510924</v>
      </c>
      <c r="Y66" s="86">
        <f>MSY!C107</f>
        <v>0.76146842725260622</v>
      </c>
      <c r="Z66" s="86">
        <f>MSY!D107</f>
        <v>2.6779605044050183</v>
      </c>
      <c r="AA66" s="86">
        <f>MSY!E107</f>
        <v>2.7936252220130862</v>
      </c>
      <c r="AB66" s="86">
        <f>MSY!F107</f>
        <v>7.4812180086607452</v>
      </c>
      <c r="AC66" s="86">
        <f>MSY!G107</f>
        <v>2.1272574041395176</v>
      </c>
      <c r="AD66" s="24">
        <f t="shared" si="1"/>
        <v>9.0256159924890778E-2</v>
      </c>
      <c r="AE66" s="24">
        <f t="shared" si="2"/>
        <v>4.0256159924890733E-2</v>
      </c>
      <c r="AH66">
        <f t="shared" ref="AH66:AH129" si="4">W66</f>
        <v>0.630000000000001</v>
      </c>
      <c r="AI66">
        <f t="shared" si="3"/>
        <v>7.4812180086607452</v>
      </c>
    </row>
    <row r="67" spans="23:35" x14ac:dyDescent="0.3">
      <c r="W67" s="86">
        <f>MSY!A108</f>
        <v>0.64000000000000101</v>
      </c>
      <c r="X67" s="86">
        <f>MSY!B108</f>
        <v>0.30737660686187851</v>
      </c>
      <c r="Y67" s="86">
        <f>MSY!C108</f>
        <v>0.76257356029915868</v>
      </c>
      <c r="Z67" s="86">
        <f>MSY!D108</f>
        <v>2.6574940536494185</v>
      </c>
      <c r="AA67" s="86">
        <f>MSY!E108</f>
        <v>2.7770874745663563</v>
      </c>
      <c r="AB67" s="86">
        <f>MSY!F108</f>
        <v>7.3800934501243711</v>
      </c>
      <c r="AC67" s="86">
        <f>MSY!G108</f>
        <v>2.1177334827422656</v>
      </c>
      <c r="AD67" s="24">
        <f t="shared" si="1"/>
        <v>9.2623393138121513E-2</v>
      </c>
      <c r="AE67" s="24">
        <f t="shared" si="2"/>
        <v>4.2623393138121468E-2</v>
      </c>
      <c r="AH67">
        <f t="shared" si="4"/>
        <v>0.64000000000000101</v>
      </c>
      <c r="AI67">
        <f t="shared" si="3"/>
        <v>7.3800934501243711</v>
      </c>
    </row>
    <row r="68" spans="23:35" x14ac:dyDescent="0.3">
      <c r="W68" s="86">
        <f>MSY!A109</f>
        <v>0.65000000000000102</v>
      </c>
      <c r="X68" s="86">
        <f>MSY!B109</f>
        <v>0.30506688300168533</v>
      </c>
      <c r="Y68" s="86">
        <f>MSY!C109</f>
        <v>0.76363331170357784</v>
      </c>
      <c r="Z68" s="86">
        <f>MSY!D109</f>
        <v>2.6375248130272984</v>
      </c>
      <c r="AA68" s="86">
        <f>MSY!E109</f>
        <v>2.7607041141945463</v>
      </c>
      <c r="AB68" s="86">
        <f>MSY!F109</f>
        <v>7.2814256026146635</v>
      </c>
      <c r="AC68" s="86">
        <f>MSY!G109</f>
        <v>2.1081656253560737</v>
      </c>
      <c r="AD68" s="24">
        <f t="shared" ref="AD68:AD131" si="5">ABS(X68-$C$28/100)</f>
        <v>9.4933116998314693E-2</v>
      </c>
      <c r="AE68" s="24">
        <f t="shared" ref="AE68:AE131" si="6">ABS(X68-$C$29/100)</f>
        <v>4.4933116998314648E-2</v>
      </c>
      <c r="AH68">
        <f t="shared" si="4"/>
        <v>0.65000000000000102</v>
      </c>
      <c r="AI68">
        <f t="shared" ref="AI68:AI131" si="7">AB68</f>
        <v>7.2814256026146635</v>
      </c>
    </row>
    <row r="69" spans="23:35" x14ac:dyDescent="0.3">
      <c r="W69" s="86">
        <f>MSY!A110</f>
        <v>0.66000000000000103</v>
      </c>
      <c r="X69" s="86">
        <f>MSY!B110</f>
        <v>0.30281254208889358</v>
      </c>
      <c r="Y69" s="86">
        <f>MSY!C110</f>
        <v>0.76464986044659866</v>
      </c>
      <c r="Z69" s="86">
        <f>MSY!D110</f>
        <v>2.6180343982172518</v>
      </c>
      <c r="AA69" s="86">
        <f>MSY!E110</f>
        <v>2.7444725838014707</v>
      </c>
      <c r="AB69" s="86">
        <f>MSY!F110</f>
        <v>7.1851236293564282</v>
      </c>
      <c r="AC69" s="86">
        <f>MSY!G110</f>
        <v>2.0985605782033105</v>
      </c>
      <c r="AD69" s="24">
        <f t="shared" si="5"/>
        <v>9.7187457911106445E-2</v>
      </c>
      <c r="AE69" s="24">
        <f t="shared" si="6"/>
        <v>4.7187457911106401E-2</v>
      </c>
      <c r="AH69">
        <f t="shared" si="4"/>
        <v>0.66000000000000103</v>
      </c>
      <c r="AI69">
        <f t="shared" si="7"/>
        <v>7.1851236293564282</v>
      </c>
    </row>
    <row r="70" spans="23:35" x14ac:dyDescent="0.3">
      <c r="W70" s="86">
        <f>MSY!A111</f>
        <v>0.67000000000000104</v>
      </c>
      <c r="X70" s="86">
        <f>MSY!B111</f>
        <v>0.30061155998000538</v>
      </c>
      <c r="Y70" s="86">
        <f>MSY!C111</f>
        <v>0.76562525954456939</v>
      </c>
      <c r="Z70" s="86">
        <f>MSY!D111</f>
        <v>2.599005309028342</v>
      </c>
      <c r="AA70" s="86">
        <f>MSY!E111</f>
        <v>2.7283903720483935</v>
      </c>
      <c r="AB70" s="86">
        <f>MSY!F111</f>
        <v>7.0911010620555874</v>
      </c>
      <c r="AC70" s="86">
        <f>MSY!G111</f>
        <v>2.0889245867384556</v>
      </c>
      <c r="AD70" s="24">
        <f t="shared" si="5"/>
        <v>9.9388440019994639E-2</v>
      </c>
      <c r="AE70" s="24">
        <f t="shared" si="6"/>
        <v>4.9388440019994595E-2</v>
      </c>
      <c r="AH70">
        <f t="shared" si="4"/>
        <v>0.67000000000000104</v>
      </c>
      <c r="AI70">
        <f t="shared" si="7"/>
        <v>7.0911010620555874</v>
      </c>
    </row>
    <row r="71" spans="23:35" x14ac:dyDescent="0.3">
      <c r="W71" s="86">
        <f>MSY!A112</f>
        <v>0.68000000000000105</v>
      </c>
      <c r="X71" s="86">
        <f>MSY!B112</f>
        <v>0.29846200881694057</v>
      </c>
      <c r="Y71" s="86">
        <f>MSY!C112</f>
        <v>0.76656144445053243</v>
      </c>
      <c r="Z71" s="86">
        <f>MSY!D112</f>
        <v>2.5804208777270139</v>
      </c>
      <c r="AA71" s="86">
        <f>MSY!E112</f>
        <v>2.712455013055175</v>
      </c>
      <c r="AB71" s="86">
        <f>MSY!F112</f>
        <v>6.9992755455828739</v>
      </c>
      <c r="AC71" s="86">
        <f>MSY!G112</f>
        <v>2.0792634328146629</v>
      </c>
      <c r="AD71" s="24">
        <f t="shared" si="5"/>
        <v>0.10153799118305945</v>
      </c>
      <c r="AE71" s="24">
        <f t="shared" si="6"/>
        <v>5.1537991183059406E-2</v>
      </c>
      <c r="AH71">
        <f t="shared" si="4"/>
        <v>0.68000000000000105</v>
      </c>
      <c r="AI71">
        <f t="shared" si="7"/>
        <v>6.9992755455828739</v>
      </c>
    </row>
    <row r="72" spans="23:35" x14ac:dyDescent="0.3">
      <c r="W72" s="86">
        <f>MSY!A113</f>
        <v>0.69000000000000095</v>
      </c>
      <c r="X72" s="86">
        <f>MSY!B113</f>
        <v>0.29636205145952887</v>
      </c>
      <c r="Y72" s="86">
        <f>MSY!C113</f>
        <v>0.76746024082639375</v>
      </c>
      <c r="Z72" s="86">
        <f>MSY!D113</f>
        <v>2.562265220901943</v>
      </c>
      <c r="AA72" s="86">
        <f>MSY!E113</f>
        <v>2.6966640860489188</v>
      </c>
      <c r="AB72" s="86">
        <f>MSY!F113</f>
        <v>6.9095686001384689</v>
      </c>
      <c r="AC72" s="86">
        <f>MSY!G113</f>
        <v>2.0695824689069902</v>
      </c>
      <c r="AD72" s="24">
        <f t="shared" si="5"/>
        <v>0.10363794854047115</v>
      </c>
      <c r="AE72" s="24">
        <f t="shared" si="6"/>
        <v>5.3637948540471103E-2</v>
      </c>
      <c r="AH72">
        <f t="shared" si="4"/>
        <v>0.69000000000000095</v>
      </c>
      <c r="AI72">
        <f t="shared" si="7"/>
        <v>6.9095686001384689</v>
      </c>
    </row>
    <row r="73" spans="23:35" x14ac:dyDescent="0.3">
      <c r="W73" s="86">
        <f>MSY!A114</f>
        <v>0.70000000000000095</v>
      </c>
      <c r="X73" s="86">
        <f>MSY!B114</f>
        <v>0.2943099362951469</v>
      </c>
      <c r="Y73" s="86">
        <f>MSY!C114</f>
        <v>0.76832337173830079</v>
      </c>
      <c r="Z73" s="86">
        <f>MSY!D114</f>
        <v>2.5445231945895781</v>
      </c>
      <c r="AA73" s="86">
        <f>MSY!E114</f>
        <v>2.6810152149656652</v>
      </c>
      <c r="AB73" s="86">
        <f>MSY!F114</f>
        <v>6.8219053995276981</v>
      </c>
      <c r="AC73" s="86">
        <f>MSY!G114</f>
        <v>2.0598866496441053</v>
      </c>
      <c r="AD73" s="24">
        <f t="shared" si="5"/>
        <v>0.10569006370485312</v>
      </c>
      <c r="AE73" s="24">
        <f t="shared" si="6"/>
        <v>5.5690063704853077E-2</v>
      </c>
      <c r="AH73">
        <f t="shared" si="4"/>
        <v>0.70000000000000095</v>
      </c>
      <c r="AI73">
        <f t="shared" si="7"/>
        <v>6.8219053995276981</v>
      </c>
    </row>
    <row r="74" spans="23:35" x14ac:dyDescent="0.3">
      <c r="W74" s="86">
        <f>MSY!A115</f>
        <v>0.71000000000000096</v>
      </c>
      <c r="X74" s="86">
        <f>MSY!B115</f>
        <v>0.29230399239626098</v>
      </c>
      <c r="Y74" s="86">
        <f>MSY!C115</f>
        <v>0.76915246432259832</v>
      </c>
      <c r="Z74" s="86">
        <f>MSY!D115</f>
        <v>2.52718035240758</v>
      </c>
      <c r="AA74" s="86">
        <f>MSY!E115</f>
        <v>2.6655060680102549</v>
      </c>
      <c r="AB74" s="86">
        <f>MSY!F115</f>
        <v>6.7362145642986979</v>
      </c>
      <c r="AC74" s="86">
        <f>MSY!G115</f>
        <v>2.0501805608769268</v>
      </c>
      <c r="AD74" s="24">
        <f t="shared" si="5"/>
        <v>0.10769600760373904</v>
      </c>
      <c r="AE74" s="24">
        <f t="shared" si="6"/>
        <v>5.7696007603738997E-2</v>
      </c>
      <c r="AH74">
        <f t="shared" si="4"/>
        <v>0.71000000000000096</v>
      </c>
      <c r="AI74">
        <f t="shared" si="7"/>
        <v>6.7362145642986979</v>
      </c>
    </row>
    <row r="75" spans="23:35" x14ac:dyDescent="0.3">
      <c r="W75" s="86">
        <f>MSY!A116</f>
        <v>0.72000000000000097</v>
      </c>
      <c r="X75" s="86">
        <f>MSY!B116</f>
        <v>0.29034262499918528</v>
      </c>
      <c r="Y75" s="86">
        <f>MSY!C116</f>
        <v>0.7699490559654496</v>
      </c>
      <c r="Z75" s="86">
        <f>MSY!D116</f>
        <v>2.5102229064654016</v>
      </c>
      <c r="AA75" s="86">
        <f>MSY!E116</f>
        <v>2.6501343571790983</v>
      </c>
      <c r="AB75" s="86">
        <f>MSY!F116</f>
        <v>6.652427968601935</v>
      </c>
      <c r="AC75" s="86">
        <f>MSY!G116</f>
        <v>2.0404684464916505</v>
      </c>
      <c r="AD75" s="24">
        <f t="shared" si="5"/>
        <v>0.10965737500081474</v>
      </c>
      <c r="AE75" s="24">
        <f t="shared" si="6"/>
        <v>5.9657375000814694E-2</v>
      </c>
      <c r="AH75">
        <f t="shared" si="4"/>
        <v>0.72000000000000097</v>
      </c>
      <c r="AI75">
        <f t="shared" si="7"/>
        <v>6.652427968601935</v>
      </c>
    </row>
    <row r="76" spans="23:35" x14ac:dyDescent="0.3">
      <c r="W76" s="86">
        <f>MSY!A117</f>
        <v>0.73000000000000098</v>
      </c>
      <c r="X76" s="86">
        <f>MSY!B117</f>
        <v>0.28842431127967422</v>
      </c>
      <c r="Y76" s="86">
        <f>MSY!C117</f>
        <v>0.77071460003537218</v>
      </c>
      <c r="Z76" s="86">
        <f>MSY!D117</f>
        <v>2.4936376908412163</v>
      </c>
      <c r="AA76" s="86">
        <f>MSY!E117</f>
        <v>2.6348978377502346</v>
      </c>
      <c r="AB76" s="86">
        <f>MSY!F117</f>
        <v>6.5704805597300089</v>
      </c>
      <c r="AC76" s="86">
        <f>MSY!G117</f>
        <v>2.0307542331557391</v>
      </c>
      <c r="AD76" s="24">
        <f t="shared" si="5"/>
        <v>0.11157568872032581</v>
      </c>
      <c r="AE76" s="24">
        <f t="shared" si="6"/>
        <v>6.1575688720325761E-2</v>
      </c>
      <c r="AH76">
        <f t="shared" si="4"/>
        <v>0.73000000000000098</v>
      </c>
      <c r="AI76">
        <f t="shared" si="7"/>
        <v>6.5704805597300089</v>
      </c>
    </row>
    <row r="77" spans="23:35" x14ac:dyDescent="0.3">
      <c r="W77" s="86">
        <f>MSY!A118</f>
        <v>0.74000000000000099</v>
      </c>
      <c r="X77" s="86">
        <f>MSY!B118</f>
        <v>0.28654759640304583</v>
      </c>
      <c r="Y77" s="86">
        <f>MSY!C118</f>
        <v>0.77145047120445087</v>
      </c>
      <c r="Z77" s="86">
        <f>MSY!D118</f>
        <v>2.4774121274323639</v>
      </c>
      <c r="AA77" s="86">
        <f>MSY!E118</f>
        <v>2.6197943077447063</v>
      </c>
      <c r="AB77" s="86">
        <f>MSY!F118</f>
        <v>6.4903101893850099</v>
      </c>
      <c r="AC77" s="86">
        <f>MSY!G118</f>
        <v>2.0210415531683918</v>
      </c>
      <c r="AD77" s="24">
        <f t="shared" si="5"/>
        <v>0.11345240359695419</v>
      </c>
      <c r="AE77" s="24">
        <f t="shared" si="6"/>
        <v>6.3452403596954143E-2</v>
      </c>
      <c r="AH77">
        <f t="shared" si="4"/>
        <v>0.74000000000000099</v>
      </c>
      <c r="AI77">
        <f t="shared" si="7"/>
        <v>6.4903101893850099</v>
      </c>
    </row>
    <row r="78" spans="23:35" x14ac:dyDescent="0.3">
      <c r="W78" s="86">
        <f>MSY!A119</f>
        <v>0.750000000000001</v>
      </c>
      <c r="X78" s="86">
        <f>MSY!B119</f>
        <v>0.28471108982841986</v>
      </c>
      <c r="Y78" s="86">
        <f>MSY!C119</f>
        <v>0.77215797039086109</v>
      </c>
      <c r="Z78" s="86">
        <f>MSY!D119</f>
        <v>2.4615341940028048</v>
      </c>
      <c r="AA78" s="86">
        <f>MSY!E119</f>
        <v>2.6048216073629531</v>
      </c>
      <c r="AB78" s="86">
        <f>MSY!F119</f>
        <v>6.4118574558012575</v>
      </c>
      <c r="AC78" s="86">
        <f>MSY!G119</f>
        <v>2.0113337655716381</v>
      </c>
      <c r="AD78" s="24">
        <f t="shared" si="5"/>
        <v>0.11528891017158016</v>
      </c>
      <c r="AE78" s="24">
        <f t="shared" si="6"/>
        <v>6.5288910171580117E-2</v>
      </c>
      <c r="AH78">
        <f t="shared" si="4"/>
        <v>0.750000000000001</v>
      </c>
      <c r="AI78">
        <f t="shared" si="7"/>
        <v>6.4118574558012575</v>
      </c>
    </row>
    <row r="79" spans="23:35" x14ac:dyDescent="0.3">
      <c r="W79" s="86">
        <f>MSY!A120</f>
        <v>0.76000000000000101</v>
      </c>
      <c r="X79" s="86">
        <f>MSY!B120</f>
        <v>0.28291346184836447</v>
      </c>
      <c r="Y79" s="86">
        <f>MSY!C120</f>
        <v>0.77283832935248309</v>
      </c>
      <c r="Z79" s="86">
        <f>MSY!D120</f>
        <v>2.4459923942658532</v>
      </c>
      <c r="AA79" s="86">
        <f>MSY!E120</f>
        <v>2.5899776183996521</v>
      </c>
      <c r="AB79" s="86">
        <f>MSY!F120</f>
        <v>6.3350655559243378</v>
      </c>
      <c r="AC79" s="86">
        <f>MSY!G120</f>
        <v>2.0016339756643102</v>
      </c>
      <c r="AD79" s="24">
        <f t="shared" si="5"/>
        <v>0.11708653815163556</v>
      </c>
      <c r="AE79" s="24">
        <f t="shared" si="6"/>
        <v>6.7086538151635511E-2</v>
      </c>
      <c r="AH79">
        <f t="shared" si="4"/>
        <v>0.76000000000000101</v>
      </c>
      <c r="AI79">
        <f t="shared" si="7"/>
        <v>6.3350655559243378</v>
      </c>
    </row>
    <row r="80" spans="23:35" x14ac:dyDescent="0.3">
      <c r="W80" s="86">
        <f>MSY!A121</f>
        <v>0.77000000000000102</v>
      </c>
      <c r="X80" s="86">
        <f>MSY!B121</f>
        <v>0.28115344034679318</v>
      </c>
      <c r="Y80" s="86">
        <f>MSY!C121</f>
        <v>0.77349271495883754</v>
      </c>
      <c r="Z80" s="86">
        <f>MSY!D121</f>
        <v>2.4307757298538393</v>
      </c>
      <c r="AA80" s="86">
        <f>MSY!E121</f>
        <v>2.5752602636401374</v>
      </c>
      <c r="AB80" s="86">
        <f>MSY!F121</f>
        <v>6.2598801469134449</v>
      </c>
      <c r="AC80" s="86">
        <f>MSY!G121</f>
        <v>1.9919450530486216</v>
      </c>
      <c r="AD80" s="24">
        <f t="shared" si="5"/>
        <v>0.11884655965320684</v>
      </c>
      <c r="AE80" s="24">
        <f t="shared" si="6"/>
        <v>6.8846559653206796E-2</v>
      </c>
      <c r="AH80">
        <f t="shared" si="4"/>
        <v>0.77000000000000102</v>
      </c>
      <c r="AI80">
        <f t="shared" si="7"/>
        <v>6.2598801469134449</v>
      </c>
    </row>
    <row r="81" spans="23:35" x14ac:dyDescent="0.3">
      <c r="W81" s="86">
        <f>MSY!A122</f>
        <v>0.78000000000000103</v>
      </c>
      <c r="X81" s="86">
        <f>MSY!B122</f>
        <v>0.27942980775936099</v>
      </c>
      <c r="Y81" s="86">
        <f>MSY!C122</f>
        <v>0.77412223316622819</v>
      </c>
      <c r="Z81" s="86">
        <f>MSY!D122</f>
        <v>2.4158736740385254</v>
      </c>
      <c r="AA81" s="86">
        <f>MSY!E122</f>
        <v>2.5606675062412796</v>
      </c>
      <c r="AB81" s="86">
        <f>MSY!F122</f>
        <v>6.186249216294188</v>
      </c>
      <c r="AC81" s="86">
        <f>MSY!G122</f>
        <v>1.9822696483276958</v>
      </c>
      <c r="AD81" s="24">
        <f t="shared" si="5"/>
        <v>0.12057019224063903</v>
      </c>
      <c r="AE81" s="24">
        <f t="shared" si="6"/>
        <v>7.0570192240638985E-2</v>
      </c>
      <c r="AH81">
        <f t="shared" si="4"/>
        <v>0.78000000000000103</v>
      </c>
      <c r="AI81">
        <f t="shared" si="7"/>
        <v>6.186249216294188</v>
      </c>
    </row>
    <row r="82" spans="23:35" x14ac:dyDescent="0.3">
      <c r="W82" s="86">
        <f>MSY!A123</f>
        <v>0.79000000000000103</v>
      </c>
      <c r="X82" s="86">
        <f>MSY!B123</f>
        <v>0.27774139822188904</v>
      </c>
      <c r="Y82" s="86">
        <f>MSY!C123</f>
        <v>0.77472793271887752</v>
      </c>
      <c r="Z82" s="86">
        <f>MSY!D123</f>
        <v>2.4012761470771689</v>
      </c>
      <c r="AA82" s="86">
        <f>MSY!E123</f>
        <v>2.5461973490994758</v>
      </c>
      <c r="AB82" s="86">
        <f>MSY!F123</f>
        <v>6.1141229601436899</v>
      </c>
      <c r="AC82" s="86">
        <f>MSY!G123</f>
        <v>1.9726102085621231</v>
      </c>
      <c r="AD82" s="24">
        <f t="shared" si="5"/>
        <v>0.12225860177811099</v>
      </c>
      <c r="AE82" s="24">
        <f t="shared" si="6"/>
        <v>7.2258601778110942E-2</v>
      </c>
      <c r="AH82">
        <f t="shared" si="4"/>
        <v>0.79000000000000103</v>
      </c>
      <c r="AI82">
        <f t="shared" si="7"/>
        <v>6.1141229601436899</v>
      </c>
    </row>
    <row r="83" spans="23:35" x14ac:dyDescent="0.3">
      <c r="W83" s="86">
        <f>MSY!A124</f>
        <v>0.80000000000000104</v>
      </c>
      <c r="X83" s="86">
        <f>MSY!B124</f>
        <v>0.27608709489350874</v>
      </c>
      <c r="Y83" s="86">
        <f>MSY!C124</f>
        <v>0.77531080859692192</v>
      </c>
      <c r="Z83" s="86">
        <f>MSY!D124</f>
        <v>2.3869734930691537</v>
      </c>
      <c r="AA83" s="86">
        <f>MSY!E124</f>
        <v>2.531847834208151</v>
      </c>
      <c r="AB83" s="86">
        <f>MSY!F124</f>
        <v>6.043453668739402</v>
      </c>
      <c r="AC83" s="86">
        <f>MSY!G124</f>
        <v>1.9629689915842869</v>
      </c>
      <c r="AD83" s="24">
        <f t="shared" si="5"/>
        <v>0.12391290510649128</v>
      </c>
      <c r="AE83" s="24">
        <f t="shared" si="6"/>
        <v>7.3912905106491233E-2</v>
      </c>
      <c r="AH83">
        <f t="shared" si="4"/>
        <v>0.80000000000000104</v>
      </c>
      <c r="AI83">
        <f t="shared" si="7"/>
        <v>6.043453668739402</v>
      </c>
    </row>
    <row r="84" spans="23:35" x14ac:dyDescent="0.3">
      <c r="W84" s="86">
        <f>MSY!A125</f>
        <v>0.81000000000000105</v>
      </c>
      <c r="X84" s="86">
        <f>MSY!B125</f>
        <v>0.27446582744227777</v>
      </c>
      <c r="Y84" s="86">
        <f>MSY!C125</f>
        <v>0.77587180523039667</v>
      </c>
      <c r="Z84" s="86">
        <f>MSY!D125</f>
        <v>2.372956458217319</v>
      </c>
      <c r="AA84" s="86">
        <f>MSY!E125</f>
        <v>2.5176170420070099</v>
      </c>
      <c r="AB84" s="86">
        <f>MSY!F125</f>
        <v>5.9741956191485182</v>
      </c>
      <c r="AC84" s="86">
        <f>MSY!G125</f>
        <v>1.9533480792607902</v>
      </c>
      <c r="AD84" s="24">
        <f t="shared" si="5"/>
        <v>0.12553417255772226</v>
      </c>
      <c r="AE84" s="24">
        <f t="shared" si="6"/>
        <v>7.5534172557722212E-2</v>
      </c>
      <c r="AH84">
        <f t="shared" si="4"/>
        <v>0.81000000000000105</v>
      </c>
      <c r="AI84">
        <f t="shared" si="7"/>
        <v>5.9741956191485182</v>
      </c>
    </row>
    <row r="85" spans="23:35" x14ac:dyDescent="0.3">
      <c r="W85" s="86">
        <f>MSY!A126</f>
        <v>0.82000000000000095</v>
      </c>
      <c r="X85" s="86">
        <f>MSY!B126</f>
        <v>0.27287656968198415</v>
      </c>
      <c r="Y85" s="86">
        <f>MSY!C126</f>
        <v>0.77641181949675198</v>
      </c>
      <c r="Z85" s="86">
        <f>MSY!D126</f>
        <v>2.3592161703964103</v>
      </c>
      <c r="AA85" s="86">
        <f>MSY!E126</f>
        <v>2.503503090725022</v>
      </c>
      <c r="AB85" s="86">
        <f>MSY!F126</f>
        <v>5.9063049742758631</v>
      </c>
      <c r="AC85" s="86">
        <f>MSY!G126</f>
        <v>1.9437493897855564</v>
      </c>
      <c r="AD85" s="24">
        <f t="shared" si="5"/>
        <v>0.12712343031801587</v>
      </c>
      <c r="AE85" s="24">
        <f t="shared" si="6"/>
        <v>7.7123430318015829E-2</v>
      </c>
      <c r="AH85">
        <f t="shared" si="4"/>
        <v>0.82000000000000095</v>
      </c>
      <c r="AI85">
        <f t="shared" si="7"/>
        <v>5.9063049742758631</v>
      </c>
    </row>
    <row r="86" spans="23:35" x14ac:dyDescent="0.3">
      <c r="W86" s="86">
        <f>MSY!A127</f>
        <v>0.83000000000000096</v>
      </c>
      <c r="X86" s="86">
        <f>MSY!B127</f>
        <v>0.27131833734974009</v>
      </c>
      <c r="Y86" s="86">
        <f>MSY!C127</f>
        <v>0.77693170351801299</v>
      </c>
      <c r="Z86" s="86">
        <f>MSY!D127</f>
        <v>2.3457441199387654</v>
      </c>
      <c r="AA86" s="86">
        <f>MSY!E127</f>
        <v>2.4895041357190233</v>
      </c>
      <c r="AB86" s="86">
        <f>MSY!F127</f>
        <v>5.8397396879261372</v>
      </c>
      <c r="AC86" s="86">
        <f>MSY!G127</f>
        <v>1.9341746890793194</v>
      </c>
      <c r="AD86" s="24">
        <f t="shared" si="5"/>
        <v>0.12868166265025993</v>
      </c>
      <c r="AE86" s="24">
        <f t="shared" si="6"/>
        <v>7.8681662650259887E-2</v>
      </c>
      <c r="AH86">
        <f t="shared" si="4"/>
        <v>0.83000000000000096</v>
      </c>
      <c r="AI86">
        <f t="shared" si="7"/>
        <v>5.8397396879261372</v>
      </c>
    </row>
    <row r="87" spans="23:35" x14ac:dyDescent="0.3">
      <c r="W87" s="86">
        <f>MSY!A128</f>
        <v>0.84000000000000097</v>
      </c>
      <c r="X87" s="86">
        <f>MSY!B128</f>
        <v>0.26979018601476701</v>
      </c>
      <c r="Y87" s="86">
        <f>MSY!C128</f>
        <v>0.77743226727237369</v>
      </c>
      <c r="Z87" s="86">
        <f>MSY!D128</f>
        <v>2.3325321415542417</v>
      </c>
      <c r="AA87" s="86">
        <f>MSY!E128</f>
        <v>2.475618368809577</v>
      </c>
      <c r="AB87" s="86">
        <f>MSY!F128</f>
        <v>5.774459415470421</v>
      </c>
      <c r="AC87" s="86">
        <f>MSY!G128</f>
        <v>1.9246256013647649</v>
      </c>
      <c r="AD87" s="24">
        <f t="shared" si="5"/>
        <v>0.13020981398523301</v>
      </c>
      <c r="AE87" s="24">
        <f t="shared" si="6"/>
        <v>8.0209813985232969E-2</v>
      </c>
      <c r="AH87">
        <f t="shared" si="4"/>
        <v>0.84000000000000097</v>
      </c>
      <c r="AI87">
        <f t="shared" si="7"/>
        <v>5.774459415470421</v>
      </c>
    </row>
    <row r="88" spans="23:35" x14ac:dyDescent="0.3">
      <c r="W88" s="86">
        <f>MSY!A129</f>
        <v>0.85000000000000098</v>
      </c>
      <c r="X88" s="86">
        <f>MSY!B129</f>
        <v>0.26829120910951282</v>
      </c>
      <c r="Y88" s="86">
        <f>MSY!C129</f>
        <v>0.77791428103383009</v>
      </c>
      <c r="Z88" s="86">
        <f>MSY!D129</f>
        <v>2.3195723973077942</v>
      </c>
      <c r="AA88" s="86">
        <f>MSY!E129</f>
        <v>2.4618440176156313</v>
      </c>
      <c r="AB88" s="86">
        <f>MSY!F129</f>
        <v>5.7104254297385415</v>
      </c>
      <c r="AC88" s="86">
        <f>MSY!G129</f>
        <v>1.9151036189808996</v>
      </c>
      <c r="AD88" s="24">
        <f t="shared" si="5"/>
        <v>0.1317087908904872</v>
      </c>
      <c r="AE88" s="24">
        <f t="shared" si="6"/>
        <v>8.170879089048716E-2</v>
      </c>
      <c r="AH88">
        <f t="shared" si="4"/>
        <v>0.85000000000000098</v>
      </c>
      <c r="AI88">
        <f t="shared" si="7"/>
        <v>5.7104254297385415</v>
      </c>
    </row>
    <row r="89" spans="23:35" x14ac:dyDescent="0.3">
      <c r="W89" s="86">
        <f>MSY!A130</f>
        <v>0.86000000000000099</v>
      </c>
      <c r="X89" s="86">
        <f>MSY!B130</f>
        <v>0.26682053607491346</v>
      </c>
      <c r="Y89" s="86">
        <f>MSY!C130</f>
        <v>0.77837847765236101</v>
      </c>
      <c r="Z89" s="86">
        <f>MSY!D130</f>
        <v>2.3068573605839147</v>
      </c>
      <c r="AA89" s="86">
        <f>MSY!E130</f>
        <v>2.4481793448893483</v>
      </c>
      <c r="AB89" s="86">
        <f>MSY!F130</f>
        <v>5.6476005417874999</v>
      </c>
      <c r="AC89" s="86">
        <f>MSY!G130</f>
        <v>1.9056101114949253</v>
      </c>
      <c r="AD89" s="24">
        <f t="shared" si="5"/>
        <v>0.13317946392508656</v>
      </c>
      <c r="AE89" s="24">
        <f t="shared" si="6"/>
        <v>8.3179463925086516E-2</v>
      </c>
      <c r="AH89">
        <f t="shared" si="4"/>
        <v>0.86000000000000099</v>
      </c>
      <c r="AI89">
        <f t="shared" si="7"/>
        <v>5.6476005417874999</v>
      </c>
    </row>
    <row r="90" spans="23:35" x14ac:dyDescent="0.3">
      <c r="W90" s="86">
        <f>MSY!A131</f>
        <v>0.87000000000000099</v>
      </c>
      <c r="X90" s="86">
        <f>MSY!B131</f>
        <v>0.26537733061222946</v>
      </c>
      <c r="Y90" s="86">
        <f>MSY!C131</f>
        <v>0.77882555468617654</v>
      </c>
      <c r="Z90" s="86">
        <f>MSY!D131</f>
        <v>2.2943798009724881</v>
      </c>
      <c r="AA90" s="86">
        <f>MSY!E131</f>
        <v>2.4346226478523629</v>
      </c>
      <c r="AB90" s="86">
        <f>MSY!F131</f>
        <v>5.5859490262226164</v>
      </c>
      <c r="AC90" s="86">
        <f>MSY!G131</f>
        <v>1.8961463341651443</v>
      </c>
      <c r="AD90" s="24">
        <f t="shared" si="5"/>
        <v>0.13462266938777057</v>
      </c>
      <c r="AE90" s="24">
        <f t="shared" si="6"/>
        <v>8.4622669387770522E-2</v>
      </c>
      <c r="AH90">
        <f t="shared" si="4"/>
        <v>0.87000000000000099</v>
      </c>
      <c r="AI90">
        <f t="shared" si="7"/>
        <v>5.5859490262226164</v>
      </c>
    </row>
    <row r="91" spans="23:35" x14ac:dyDescent="0.3">
      <c r="W91" s="86">
        <f>MSY!A132</f>
        <v>0.880000000000001</v>
      </c>
      <c r="X91" s="86">
        <f>MSY!B132</f>
        <v>0.26396078903444964</v>
      </c>
      <c r="Y91" s="86">
        <f>MSY!C132</f>
        <v>0.77925617639663614</v>
      </c>
      <c r="Z91" s="86">
        <f>MSY!D132</f>
        <v>2.2821327700154814</v>
      </c>
      <c r="AA91" s="86">
        <f>MSY!E132</f>
        <v>2.4211722575345869</v>
      </c>
      <c r="AB91" s="86">
        <f>MSY!F132</f>
        <v>5.5254365507720431</v>
      </c>
      <c r="AC91" s="86">
        <f>MSY!G132</f>
        <v>1.8867134358040138</v>
      </c>
      <c r="AD91" s="24">
        <f t="shared" si="5"/>
        <v>0.13603921096555038</v>
      </c>
      <c r="AE91" s="24">
        <f t="shared" si="6"/>
        <v>8.6039210965550339E-2</v>
      </c>
      <c r="AH91">
        <f t="shared" si="4"/>
        <v>0.880000000000001</v>
      </c>
      <c r="AI91">
        <f t="shared" si="7"/>
        <v>5.5254365507720431</v>
      </c>
    </row>
    <row r="92" spans="23:35" x14ac:dyDescent="0.3">
      <c r="W92" s="86">
        <f>MSY!A133</f>
        <v>0.89000000000000101</v>
      </c>
      <c r="X92" s="86">
        <f>MSY!B133</f>
        <v>0.2625701387107745</v>
      </c>
      <c r="Y92" s="86">
        <f>MSY!C133</f>
        <v>0.7796709756156176</v>
      </c>
      <c r="Z92" s="86">
        <f>MSY!D133</f>
        <v>2.2701095877583719</v>
      </c>
      <c r="AA92" s="86">
        <f>MSY!E133</f>
        <v>2.4078265381165758</v>
      </c>
      <c r="AB92" s="86">
        <f>MSY!F133</f>
        <v>5.4660301098374875</v>
      </c>
      <c r="AC92" s="86">
        <f>MSY!G133</f>
        <v>1.8773124660865257</v>
      </c>
      <c r="AD92" s="24">
        <f t="shared" si="5"/>
        <v>0.13742986128922552</v>
      </c>
      <c r="AE92" s="24">
        <f t="shared" si="6"/>
        <v>8.7429861289225475E-2</v>
      </c>
      <c r="AH92">
        <f t="shared" si="4"/>
        <v>0.89000000000000101</v>
      </c>
      <c r="AI92">
        <f t="shared" si="7"/>
        <v>5.4660301098374875</v>
      </c>
    </row>
    <row r="93" spans="23:35" x14ac:dyDescent="0.3">
      <c r="W93" s="86">
        <f>MSY!A134</f>
        <v>0.90000000000000102</v>
      </c>
      <c r="X93" s="86">
        <f>MSY!B134</f>
        <v>0.26120463659816773</v>
      </c>
      <c r="Y93" s="86">
        <f>MSY!C134</f>
        <v>0.78007055549435178</v>
      </c>
      <c r="Z93" s="86">
        <f>MSY!D134</f>
        <v>2.2583038300543419</v>
      </c>
      <c r="AA93" s="86">
        <f>MSY!E134</f>
        <v>2.3945838862763718</v>
      </c>
      <c r="AB93" s="86">
        <f>MSY!F134</f>
        <v>5.4076979617643417</v>
      </c>
      <c r="AC93" s="86">
        <f>MSY!G134</f>
        <v>1.8679443823454329</v>
      </c>
      <c r="AD93" s="24">
        <f t="shared" si="5"/>
        <v>0.13879536340183229</v>
      </c>
      <c r="AE93" s="24">
        <f t="shared" si="6"/>
        <v>8.879536340183225E-2</v>
      </c>
      <c r="AH93">
        <f t="shared" si="4"/>
        <v>0.90000000000000102</v>
      </c>
      <c r="AI93">
        <f t="shared" si="7"/>
        <v>5.4076979617643417</v>
      </c>
    </row>
    <row r="94" spans="23:35" x14ac:dyDescent="0.3">
      <c r="W94" s="86">
        <f>MSY!A135</f>
        <v>0.91000000000000103</v>
      </c>
      <c r="X94" s="86">
        <f>MSY!B135</f>
        <v>0.25986356785439985</v>
      </c>
      <c r="Y94" s="86">
        <f>MSY!C135</f>
        <v>0.78045549114204249</v>
      </c>
      <c r="Z94" s="86">
        <f>MSY!D135</f>
        <v>2.2467093165730354</v>
      </c>
      <c r="AA94" s="86">
        <f>MSY!E135</f>
        <v>2.3814427305416497</v>
      </c>
      <c r="AB94" s="86">
        <f>MSY!F135</f>
        <v>5.3504095695930518</v>
      </c>
      <c r="AC94" s="86">
        <f>MSY!G135</f>
        <v>1.8586100558915299</v>
      </c>
      <c r="AD94" s="24">
        <f t="shared" si="5"/>
        <v>0.14013643214560018</v>
      </c>
      <c r="AE94" s="24">
        <f t="shared" si="6"/>
        <v>9.0136432145600132E-2</v>
      </c>
      <c r="AH94">
        <f t="shared" si="4"/>
        <v>0.91000000000000103</v>
      </c>
      <c r="AI94">
        <f t="shared" si="7"/>
        <v>5.3504095695930518</v>
      </c>
    </row>
    <row r="95" spans="23:35" x14ac:dyDescent="0.3">
      <c r="W95" s="86">
        <f>MSY!A136</f>
        <v>0.92000000000000104</v>
      </c>
      <c r="X95" s="86">
        <f>MSY!B136</f>
        <v>0.25854624452740771</v>
      </c>
      <c r="Y95" s="86">
        <f>MSY!C136</f>
        <v>0.78082633116195332</v>
      </c>
      <c r="Z95" s="86">
        <f>MSY!D136</f>
        <v>2.2353200994691185</v>
      </c>
      <c r="AA95" s="86">
        <f>MSY!E136</f>
        <v>2.3684015306478599</v>
      </c>
      <c r="AB95" s="86">
        <f>MSY!F136</f>
        <v>5.2941355450705867</v>
      </c>
      <c r="AC95" s="86">
        <f>MSY!G136</f>
        <v>1.8493102778941231</v>
      </c>
      <c r="AD95" s="24">
        <f t="shared" si="5"/>
        <v>0.14145375547259231</v>
      </c>
      <c r="AE95" s="24">
        <f t="shared" si="6"/>
        <v>9.1453755472592269E-2</v>
      </c>
      <c r="AH95">
        <f t="shared" si="4"/>
        <v>0.92000000000000104</v>
      </c>
      <c r="AI95">
        <f t="shared" si="7"/>
        <v>5.2941355450705867</v>
      </c>
    </row>
    <row r="96" spans="23:35" x14ac:dyDescent="0.3">
      <c r="W96" s="86">
        <f>MSY!A137</f>
        <v>0.93000000000000105</v>
      </c>
      <c r="X96" s="86">
        <f>MSY!B137</f>
        <v>0.25725200431616829</v>
      </c>
      <c r="Y96" s="86">
        <f>MSY!C137</f>
        <v>0.78118359909206092</v>
      </c>
      <c r="Z96" s="86">
        <f>MSY!D137</f>
        <v>2.2241304526691321</v>
      </c>
      <c r="AA96" s="86">
        <f>MSY!E137</f>
        <v>2.3554587769030406</v>
      </c>
      <c r="AB96" s="86">
        <f>MSY!F137</f>
        <v>5.2388475957168401</v>
      </c>
      <c r="AC96" s="86">
        <f>MSY!G137</f>
        <v>1.8400457648541011</v>
      </c>
      <c r="AD96" s="24">
        <f t="shared" si="5"/>
        <v>0.14274799568383173</v>
      </c>
      <c r="AE96" s="24">
        <f t="shared" si="6"/>
        <v>9.2747995683831685E-2</v>
      </c>
      <c r="AH96">
        <f t="shared" si="4"/>
        <v>0.93000000000000105</v>
      </c>
      <c r="AI96">
        <f t="shared" si="7"/>
        <v>5.2388475957168401</v>
      </c>
    </row>
    <row r="97" spans="23:35" x14ac:dyDescent="0.3">
      <c r="W97" s="86">
        <f>MSY!A138</f>
        <v>0.94000000000000095</v>
      </c>
      <c r="X97" s="86">
        <f>MSY!B138</f>
        <v>0.25598020939862115</v>
      </c>
      <c r="Y97" s="86">
        <f>MSY!C138</f>
        <v>0.78152779475683642</v>
      </c>
      <c r="Z97" s="86">
        <f>MSY!D138</f>
        <v>2.2131348617380309</v>
      </c>
      <c r="AA97" s="86">
        <f>MSY!E138</f>
        <v>2.3426129895598757</v>
      </c>
      <c r="AB97" s="86">
        <f>MSY!F138</f>
        <v>5.1845184747553104</v>
      </c>
      <c r="AC97" s="86">
        <f>MSY!G138</f>
        <v>1.8308171636994495</v>
      </c>
      <c r="AD97" s="24">
        <f t="shared" si="5"/>
        <v>0.14401979060137887</v>
      </c>
      <c r="AE97" s="24">
        <f t="shared" si="6"/>
        <v>9.4019790601378828E-2</v>
      </c>
      <c r="AH97">
        <f t="shared" si="4"/>
        <v>0.94000000000000095</v>
      </c>
      <c r="AI97">
        <f t="shared" si="7"/>
        <v>5.1845184747553104</v>
      </c>
    </row>
    <row r="98" spans="23:35" x14ac:dyDescent="0.3">
      <c r="W98" s="86">
        <f>MSY!A139</f>
        <v>0.95000000000000095</v>
      </c>
      <c r="X98" s="86">
        <f>MSY!B139</f>
        <v>0.25473024532248617</v>
      </c>
      <c r="Y98" s="86">
        <f>MSY!C139</f>
        <v>0.78185939553621864</v>
      </c>
      <c r="Z98" s="86">
        <f>MSY!D139</f>
        <v>2.2023280142894981</v>
      </c>
      <c r="AA98" s="86">
        <f>MSY!E139</f>
        <v>2.3298627181954612</v>
      </c>
      <c r="AB98" s="86">
        <f>MSY!F139</f>
        <v>5.1311219337305429</v>
      </c>
      <c r="AC98" s="86">
        <f>MSY!G139</f>
        <v>1.8216250565306746</v>
      </c>
      <c r="AD98" s="24">
        <f t="shared" si="5"/>
        <v>0.14526975467751385</v>
      </c>
      <c r="AE98" s="24">
        <f t="shared" si="6"/>
        <v>9.5269754677513807E-2</v>
      </c>
      <c r="AH98">
        <f t="shared" si="4"/>
        <v>0.95000000000000095</v>
      </c>
      <c r="AI98">
        <f t="shared" si="7"/>
        <v>5.1311219337305429</v>
      </c>
    </row>
    <row r="99" spans="23:35" x14ac:dyDescent="0.3">
      <c r="W99" s="86">
        <f>MSY!A140</f>
        <v>0.96000000000000096</v>
      </c>
      <c r="X99" s="86">
        <f>MSY!B140</f>
        <v>0.25350151995511871</v>
      </c>
      <c r="Y99" s="86">
        <f>MSY!C140</f>
        <v>0.7821788575574028</v>
      </c>
      <c r="Z99" s="86">
        <f>MSY!D140</f>
        <v>2.1917047909066771</v>
      </c>
      <c r="AA99" s="86">
        <f>MSY!E140</f>
        <v>2.3172065410992562</v>
      </c>
      <c r="AB99" s="86">
        <f>MSY!F140</f>
        <v>5.0786326776475299</v>
      </c>
      <c r="AC99" s="86">
        <f>MSY!G140</f>
        <v>1.8124699650415572</v>
      </c>
      <c r="AD99" s="24">
        <f t="shared" si="5"/>
        <v>0.14649848004488131</v>
      </c>
      <c r="AE99" s="24">
        <f t="shared" si="6"/>
        <v>9.6498480044881263E-2</v>
      </c>
      <c r="AH99">
        <f t="shared" si="4"/>
        <v>0.96000000000000096</v>
      </c>
      <c r="AI99">
        <f t="shared" si="7"/>
        <v>5.0786326776475299</v>
      </c>
    </row>
    <row r="100" spans="23:35" x14ac:dyDescent="0.3">
      <c r="W100" s="86">
        <f>MSY!A141</f>
        <v>0.97000000000000097</v>
      </c>
      <c r="X100" s="86">
        <f>MSY!B141</f>
        <v>0.25229346248880324</v>
      </c>
      <c r="Y100" s="86">
        <f>MSY!C141</f>
        <v>0.78248661681464149</v>
      </c>
      <c r="Z100" s="86">
        <f>MSY!D141</f>
        <v>2.1812602565422168</v>
      </c>
      <c r="AA100" s="86">
        <f>MSY!E141</f>
        <v>2.304643064669587</v>
      </c>
      <c r="AB100" s="86">
        <f>MSY!F141</f>
        <v>5.0270263224794238</v>
      </c>
      <c r="AC100" s="86">
        <f>MSY!G141</f>
        <v>1.8033523546386321</v>
      </c>
      <c r="AD100" s="24">
        <f t="shared" si="5"/>
        <v>0.14770653751119678</v>
      </c>
      <c r="AE100" s="24">
        <f t="shared" si="6"/>
        <v>9.7706537511196734E-2</v>
      </c>
      <c r="AH100">
        <f t="shared" si="4"/>
        <v>0.97000000000000097</v>
      </c>
      <c r="AI100">
        <f t="shared" si="7"/>
        <v>5.0270263224794238</v>
      </c>
    </row>
    <row r="101" spans="23:35" x14ac:dyDescent="0.3">
      <c r="W101" s="86">
        <f>MSY!A142</f>
        <v>0.98000000000000098</v>
      </c>
      <c r="X101" s="86">
        <f>MSY!B142</f>
        <v>0.25110552249813711</v>
      </c>
      <c r="Y101" s="86">
        <f>MSY!C142</f>
        <v>0.78278309022187265</v>
      </c>
      <c r="Z101" s="86">
        <f>MSY!D142</f>
        <v>2.1709896523686654</v>
      </c>
      <c r="AA101" s="86">
        <f>MSY!E142</f>
        <v>2.2921709228190057</v>
      </c>
      <c r="AB101" s="86">
        <f>MSY!F142</f>
        <v>4.9762793549003961</v>
      </c>
      <c r="AC101" s="86">
        <f>MSY!G142</f>
        <v>1.7942726382809828</v>
      </c>
      <c r="AD101" s="24">
        <f t="shared" si="5"/>
        <v>0.14889447750186291</v>
      </c>
      <c r="AE101" s="24">
        <f t="shared" si="6"/>
        <v>9.8894477501862865E-2</v>
      </c>
      <c r="AH101">
        <f t="shared" si="4"/>
        <v>0.98000000000000098</v>
      </c>
      <c r="AI101">
        <f t="shared" si="7"/>
        <v>4.9762793549003961</v>
      </c>
    </row>
    <row r="102" spans="23:35" x14ac:dyDescent="0.3">
      <c r="W102" s="86">
        <f>MSY!A143</f>
        <v>0.99000000000000099</v>
      </c>
      <c r="X102" s="86">
        <f>MSY!B143</f>
        <v>0.24993716904638388</v>
      </c>
      <c r="Y102" s="86">
        <f>MSY!C143</f>
        <v>0.78306867660264989</v>
      </c>
      <c r="Z102" s="86">
        <f>MSY!D143</f>
        <v>2.1608883880522494</v>
      </c>
      <c r="AA102" s="86">
        <f>MSY!E143</f>
        <v>2.2797887763888167</v>
      </c>
      <c r="AB102" s="86">
        <f>MSY!F143</f>
        <v>4.9263690941104397</v>
      </c>
      <c r="AC102" s="86">
        <f>MSY!G143</f>
        <v>1.7852311800603653</v>
      </c>
      <c r="AD102" s="24">
        <f t="shared" si="5"/>
        <v>0.15006283095361614</v>
      </c>
      <c r="AE102" s="24">
        <f t="shared" si="6"/>
        <v>0.10006283095361609</v>
      </c>
      <c r="AH102">
        <f t="shared" si="4"/>
        <v>0.99000000000000099</v>
      </c>
      <c r="AI102">
        <f t="shared" si="7"/>
        <v>4.9263690941104397</v>
      </c>
    </row>
    <row r="103" spans="23:35" x14ac:dyDescent="0.3">
      <c r="W103" s="86">
        <f>MSY!A144</f>
        <v>1</v>
      </c>
      <c r="X103" s="86">
        <f>MSY!B144</f>
        <v>0.24878788983788414</v>
      </c>
      <c r="Y103" s="86">
        <f>MSY!C144</f>
        <v>0.78334375762150366</v>
      </c>
      <c r="Z103" s="86">
        <f>MSY!D144</f>
        <v>2.1509520344248458</v>
      </c>
      <c r="AA103" s="86">
        <f>MSY!E144</f>
        <v>2.2674953125729815</v>
      </c>
      <c r="AB103" s="86">
        <f>MSY!F144</f>
        <v>4.8772736556276559</v>
      </c>
      <c r="AC103" s="86">
        <f>MSY!G144</f>
        <v>1.7762282985400653</v>
      </c>
      <c r="AD103" s="24">
        <f t="shared" si="5"/>
        <v>0.15121211016211589</v>
      </c>
      <c r="AE103" s="24">
        <f t="shared" si="6"/>
        <v>0.10121211016211584</v>
      </c>
      <c r="AH103">
        <f t="shared" si="4"/>
        <v>1</v>
      </c>
      <c r="AI103">
        <f t="shared" si="7"/>
        <v>4.8772736556276559</v>
      </c>
    </row>
    <row r="104" spans="23:35" x14ac:dyDescent="0.3">
      <c r="W104" s="86">
        <f>MSY!A145</f>
        <v>1.01</v>
      </c>
      <c r="X104" s="86">
        <f>MSY!B145</f>
        <v>0.24765719041380529</v>
      </c>
      <c r="Y104" s="86">
        <f>MSY!C145</f>
        <v>0.78360869866059335</v>
      </c>
      <c r="Z104" s="86">
        <f>MSY!D145</f>
        <v>2.1411763165306583</v>
      </c>
      <c r="AA104" s="86">
        <f>MSY!E145</f>
        <v>2.2552892443515837</v>
      </c>
      <c r="AB104" s="86">
        <f>MSY!F145</f>
        <v>4.8289719169319358</v>
      </c>
      <c r="AC104" s="86">
        <f>MSY!G145</f>
        <v>1.7672642698695775</v>
      </c>
      <c r="AD104" s="24">
        <f t="shared" si="5"/>
        <v>0.15234280958619473</v>
      </c>
      <c r="AE104" s="24">
        <f t="shared" si="6"/>
        <v>0.10234280958619468</v>
      </c>
      <c r="AH104">
        <f t="shared" si="4"/>
        <v>1.01</v>
      </c>
      <c r="AI104">
        <f t="shared" si="7"/>
        <v>4.8289719169319358</v>
      </c>
    </row>
    <row r="105" spans="23:35" x14ac:dyDescent="0.3">
      <c r="W105" s="86">
        <f>MSY!A146</f>
        <v>1.02</v>
      </c>
      <c r="X105" s="86">
        <f>MSY!B146</f>
        <v>0.24654459338869789</v>
      </c>
      <c r="Y105" s="86">
        <f>MSY!C146</f>
        <v>0.78386384964519984</v>
      </c>
      <c r="Z105" s="86">
        <f>MSY!D146</f>
        <v>2.1315571070256891</v>
      </c>
      <c r="AA105" s="86">
        <f>MSY!E146</f>
        <v>2.2431693099340357</v>
      </c>
      <c r="AB105" s="86">
        <f>MSY!F146</f>
        <v>4.7814434848518053</v>
      </c>
      <c r="AC105" s="86">
        <f>MSY!G146</f>
        <v>1.7583393306908597</v>
      </c>
      <c r="AD105" s="24">
        <f t="shared" si="5"/>
        <v>0.15345540661130214</v>
      </c>
      <c r="AE105" s="24">
        <f t="shared" si="6"/>
        <v>0.10345540661130209</v>
      </c>
      <c r="AH105">
        <f t="shared" si="4"/>
        <v>1.02</v>
      </c>
      <c r="AI105">
        <f t="shared" si="7"/>
        <v>4.7814434848518053</v>
      </c>
    </row>
    <row r="106" spans="23:35" x14ac:dyDescent="0.3">
      <c r="W106" s="86">
        <f>MSY!A147</f>
        <v>1.03</v>
      </c>
      <c r="X106" s="86">
        <f>MSY!B147</f>
        <v>0.24544963772548459</v>
      </c>
      <c r="Y106" s="86">
        <f>MSY!C147</f>
        <v>0.78410954582138837</v>
      </c>
      <c r="Z106" s="86">
        <f>MSY!D147</f>
        <v>2.1220904199094939</v>
      </c>
      <c r="AA106" s="86">
        <f>MSY!E147</f>
        <v>2.2311342722121195</v>
      </c>
      <c r="AB106" s="86">
        <f>MSY!F147</f>
        <v>4.7346686645930793</v>
      </c>
      <c r="AC106" s="86">
        <f>MSY!G147</f>
        <v>1.7494536808507788</v>
      </c>
      <c r="AD106" s="24">
        <f t="shared" si="5"/>
        <v>0.15455036227451543</v>
      </c>
      <c r="AE106" s="24">
        <f t="shared" si="6"/>
        <v>0.10455036227451539</v>
      </c>
      <c r="AH106">
        <f t="shared" si="4"/>
        <v>1.03</v>
      </c>
      <c r="AI106">
        <f t="shared" si="7"/>
        <v>4.7346686645930793</v>
      </c>
    </row>
    <row r="107" spans="23:35" x14ac:dyDescent="0.3">
      <c r="W107" s="86">
        <f>MSY!A148</f>
        <v>1.04</v>
      </c>
      <c r="X107" s="86">
        <f>MSY!B148</f>
        <v>0.24437187804666854</v>
      </c>
      <c r="Y107" s="86">
        <f>MSY!C148</f>
        <v>0.7843461084889104</v>
      </c>
      <c r="Z107" s="86">
        <f>MSY!D148</f>
        <v>2.1127724045700775</v>
      </c>
      <c r="AA107" s="86">
        <f>MSY!E148</f>
        <v>2.219182918222955</v>
      </c>
      <c r="AB107" s="86">
        <f>MSY!F148</f>
        <v>4.6886284303147541</v>
      </c>
      <c r="AC107" s="86">
        <f>MSY!G148</f>
        <v>1.7406074859332386</v>
      </c>
      <c r="AD107" s="24">
        <f t="shared" si="5"/>
        <v>0.15562812195333148</v>
      </c>
      <c r="AE107" s="24">
        <f t="shared" si="6"/>
        <v>0.10562812195333143</v>
      </c>
      <c r="AH107">
        <f t="shared" si="4"/>
        <v>1.04</v>
      </c>
      <c r="AI107">
        <f t="shared" si="7"/>
        <v>4.6886284303147541</v>
      </c>
    </row>
    <row r="108" spans="23:35" x14ac:dyDescent="0.3">
      <c r="W108" s="86">
        <f>MSY!A149</f>
        <v>1.05</v>
      </c>
      <c r="X108" s="86">
        <f>MSY!B149</f>
        <v>0.243310883979691</v>
      </c>
      <c r="Y108" s="86">
        <f>MSY!C149</f>
        <v>0.78457384569221311</v>
      </c>
      <c r="Z108" s="86">
        <f>MSY!D149</f>
        <v>2.1035993401240343</v>
      </c>
      <c r="AA108" s="86">
        <f>MSY!E149</f>
        <v>2.2073140586219657</v>
      </c>
      <c r="AB108" s="86">
        <f>MSY!F149</f>
        <v>4.6433043971636705</v>
      </c>
      <c r="AC108" s="86">
        <f>MSY!G149</f>
        <v>1.7318008796235227</v>
      </c>
      <c r="AD108" s="24">
        <f t="shared" si="5"/>
        <v>0.15668911602030902</v>
      </c>
      <c r="AE108" s="24">
        <f t="shared" si="6"/>
        <v>0.10668911602030898</v>
      </c>
      <c r="AH108">
        <f t="shared" si="4"/>
        <v>1.05</v>
      </c>
      <c r="AI108">
        <f t="shared" si="7"/>
        <v>4.6433043971636705</v>
      </c>
    </row>
    <row r="109" spans="23:35" x14ac:dyDescent="0.3">
      <c r="W109" s="86">
        <f>MSY!A150</f>
        <v>1.06</v>
      </c>
      <c r="X109" s="86">
        <f>MSY!B150</f>
        <v>0.24226623953449766</v>
      </c>
      <c r="Y109" s="86">
        <f>MSY!C150</f>
        <v>0.78479305287221657</v>
      </c>
      <c r="Z109" s="86">
        <f>MSY!D150</f>
        <v>2.0945676300351574</v>
      </c>
      <c r="AA109" s="86">
        <f>MSY!E150</f>
        <v>2.1955265271658644</v>
      </c>
      <c r="AB109" s="86">
        <f>MSY!F150</f>
        <v>4.5986787946851244</v>
      </c>
      <c r="AC109" s="86">
        <f>MSY!G150</f>
        <v>1.7230339659164342</v>
      </c>
      <c r="AD109" s="24">
        <f t="shared" si="5"/>
        <v>0.15773376046550236</v>
      </c>
      <c r="AE109" s="24">
        <f t="shared" si="6"/>
        <v>0.10773376046550232</v>
      </c>
      <c r="AH109">
        <f t="shared" si="4"/>
        <v>1.06</v>
      </c>
      <c r="AI109">
        <f t="shared" si="7"/>
        <v>4.5986787946851244</v>
      </c>
    </row>
    <row r="110" spans="23:35" x14ac:dyDescent="0.3">
      <c r="W110" s="86">
        <f>MSY!A151</f>
        <v>1.07</v>
      </c>
      <c r="X110" s="86">
        <f>MSY!B151</f>
        <v>0.24123754251150048</v>
      </c>
      <c r="Y110" s="86">
        <f>MSY!C151</f>
        <v>0.78500401348133952</v>
      </c>
      <c r="Z110" s="86">
        <f>MSY!D151</f>
        <v>2.0856737969958385</v>
      </c>
      <c r="AA110" s="86">
        <f>MSY!E151</f>
        <v>2.1838191802056661</v>
      </c>
      <c r="AB110" s="86">
        <f>MSY!F151</f>
        <v>4.5547344415318909</v>
      </c>
      <c r="AC110" s="86">
        <f>MSY!G151</f>
        <v>1.7143068211789765</v>
      </c>
      <c r="AD110" s="24">
        <f t="shared" si="5"/>
        <v>0.15876245748849954</v>
      </c>
      <c r="AE110" s="24">
        <f t="shared" si="6"/>
        <v>0.1087624574884995</v>
      </c>
      <c r="AH110">
        <f t="shared" si="4"/>
        <v>1.07</v>
      </c>
      <c r="AI110">
        <f t="shared" si="7"/>
        <v>4.5547344415318909</v>
      </c>
    </row>
    <row r="111" spans="23:35" x14ac:dyDescent="0.3">
      <c r="W111" s="86">
        <f>MSY!A152</f>
        <v>1.08</v>
      </c>
      <c r="X111" s="86">
        <f>MSY!B152</f>
        <v>0.24022440393823571</v>
      </c>
      <c r="Y111" s="86">
        <f>MSY!C152</f>
        <v>0.78520699956407713</v>
      </c>
      <c r="Z111" s="86">
        <f>MSY!D152</f>
        <v>2.076914478056568</v>
      </c>
      <c r="AA111" s="86">
        <f>MSY!E152</f>
        <v>2.1721908961897407</v>
      </c>
      <c r="AB111" s="86">
        <f>MSY!F152</f>
        <v>4.5114547213991445</v>
      </c>
      <c r="AC111" s="86">
        <f>MSY!G152</f>
        <v>1.7056194960775501</v>
      </c>
      <c r="AD111" s="24">
        <f t="shared" si="5"/>
        <v>0.15977559606176431</v>
      </c>
      <c r="AE111" s="24">
        <f t="shared" si="6"/>
        <v>0.10977559606176426</v>
      </c>
      <c r="AH111">
        <f t="shared" si="4"/>
        <v>1.08</v>
      </c>
      <c r="AI111">
        <f t="shared" si="7"/>
        <v>4.5114547213991445</v>
      </c>
    </row>
    <row r="112" spans="23:35" x14ac:dyDescent="0.3">
      <c r="W112" s="86">
        <f>MSY!A153</f>
        <v>1.0900000000000001</v>
      </c>
      <c r="X112" s="86">
        <f>MSY!B153</f>
        <v>0.23922644753312411</v>
      </c>
      <c r="Y112" s="86">
        <f>MSY!C153</f>
        <v>0.78540227230528181</v>
      </c>
      <c r="Z112" s="86">
        <f>MSY!D153</f>
        <v>2.068286419989751</v>
      </c>
      <c r="AA112" s="86">
        <f>MSY!E153</f>
        <v>2.1606405751768367</v>
      </c>
      <c r="AB112" s="86">
        <f>MSY!F153</f>
        <v>4.4688235601170954</v>
      </c>
      <c r="AC112" s="86">
        <f>MSY!G153</f>
        <v>1.6969720173788787</v>
      </c>
      <c r="AD112" s="24">
        <f t="shared" si="5"/>
        <v>0.16077355246687591</v>
      </c>
      <c r="AE112" s="24">
        <f t="shared" si="6"/>
        <v>0.11077355246687587</v>
      </c>
      <c r="AH112">
        <f t="shared" si="4"/>
        <v>1.0900000000000001</v>
      </c>
      <c r="AI112">
        <f t="shared" si="7"/>
        <v>4.4688235601170954</v>
      </c>
    </row>
    <row r="113" spans="23:35" x14ac:dyDescent="0.3">
      <c r="W113" s="86">
        <f>MSY!A154</f>
        <v>1.1000000000000001</v>
      </c>
      <c r="X113" s="86">
        <f>MSY!B154</f>
        <v>0.2382433091948403</v>
      </c>
      <c r="Y113" s="86">
        <f>MSY!C154</f>
        <v>0.78559008254815044</v>
      </c>
      <c r="Z113" s="86">
        <f>MSY!D154</f>
        <v>2.0597864748749362</v>
      </c>
      <c r="AA113" s="86">
        <f>MSY!E154</f>
        <v>2.1491671383590596</v>
      </c>
      <c r="AB113" s="86">
        <f>MSY!F154</f>
        <v>4.426825403837662</v>
      </c>
      <c r="AC113" s="86">
        <f>MSY!G154</f>
        <v>1.6883643896332658</v>
      </c>
      <c r="AD113" s="24">
        <f t="shared" si="5"/>
        <v>0.16175669080515973</v>
      </c>
      <c r="AE113" s="24">
        <f t="shared" si="6"/>
        <v>0.11175669080515968</v>
      </c>
      <c r="AH113">
        <f t="shared" si="4"/>
        <v>1.1000000000000001</v>
      </c>
      <c r="AI113">
        <f t="shared" si="7"/>
        <v>4.426825403837662</v>
      </c>
    </row>
    <row r="114" spans="23:35" x14ac:dyDescent="0.3">
      <c r="W114" s="86">
        <f>MSY!A155</f>
        <v>1.1100000000000001</v>
      </c>
      <c r="X114" s="86">
        <f>MSY!B155</f>
        <v>0.23727463651589242</v>
      </c>
      <c r="Y114" s="86">
        <f>MSY!C155</f>
        <v>0.78577067128378231</v>
      </c>
      <c r="Z114" s="86">
        <f>MSY!D155</f>
        <v>2.0514115958933572</v>
      </c>
      <c r="AA114" s="86">
        <f>MSY!E155</f>
        <v>2.1377695275947395</v>
      </c>
      <c r="AB114" s="86">
        <f>MSY!F155</f>
        <v>4.3854451982553124</v>
      </c>
      <c r="AC114" s="86">
        <f>MSY!G155</f>
        <v>1.6797965967481325</v>
      </c>
      <c r="AD114" s="24">
        <f t="shared" si="5"/>
        <v>0.1627253634841076</v>
      </c>
      <c r="AE114" s="24">
        <f t="shared" si="6"/>
        <v>0.11272536348410755</v>
      </c>
      <c r="AH114">
        <f t="shared" si="4"/>
        <v>1.1100000000000001</v>
      </c>
      <c r="AI114">
        <f t="shared" si="7"/>
        <v>4.3854451982553124</v>
      </c>
    </row>
    <row r="115" spans="23:35" x14ac:dyDescent="0.3">
      <c r="W115" s="86">
        <f>MSY!A156</f>
        <v>1.1200000000000001</v>
      </c>
      <c r="X115" s="86">
        <f>MSY!B156</f>
        <v>0.23632008831909385</v>
      </c>
      <c r="Y115" s="86">
        <f>MSY!C156</f>
        <v>0.78594427011404733</v>
      </c>
      <c r="Z115" s="86">
        <f>MSY!D156</f>
        <v>2.0431588333203945</v>
      </c>
      <c r="AA115" s="86">
        <f>MSY!E156</f>
        <v>2.1264467049510958</v>
      </c>
      <c r="AB115" s="86">
        <f>MSY!F156</f>
        <v>4.3446683688058769</v>
      </c>
      <c r="AC115" s="86">
        <f>MSY!G156</f>
        <v>1.6712686034592099</v>
      </c>
      <c r="AD115" s="24">
        <f t="shared" si="5"/>
        <v>0.16367991168090618</v>
      </c>
      <c r="AE115" s="24">
        <f t="shared" si="6"/>
        <v>0.11367991168090613</v>
      </c>
      <c r="AH115">
        <f t="shared" si="4"/>
        <v>1.1200000000000001</v>
      </c>
      <c r="AI115">
        <f t="shared" si="7"/>
        <v>4.3446683688058769</v>
      </c>
    </row>
    <row r="116" spans="23:35" x14ac:dyDescent="0.3">
      <c r="W116" s="86">
        <f>MSY!A157</f>
        <v>1.1299999999999999</v>
      </c>
      <c r="X116" s="86">
        <f>MSY!B157</f>
        <v>0.23537933421569526</v>
      </c>
      <c r="Y116" s="86">
        <f>MSY!C157</f>
        <v>0.78611110168939635</v>
      </c>
      <c r="Z116" s="86">
        <f>MSY!D157</f>
        <v>2.0350253307053063</v>
      </c>
      <c r="AA116" s="86">
        <f>MSY!E157</f>
        <v>2.1151976522566205</v>
      </c>
      <c r="AB116" s="86">
        <f>MSY!F157</f>
        <v>4.304480801790616</v>
      </c>
      <c r="AC116" s="86">
        <f>MSY!G157</f>
        <v>1.6627803567062767</v>
      </c>
      <c r="AD116" s="24">
        <f t="shared" si="5"/>
        <v>0.16462066578430476</v>
      </c>
      <c r="AE116" s="24">
        <f t="shared" si="6"/>
        <v>0.11462066578430471</v>
      </c>
      <c r="AH116">
        <f t="shared" si="4"/>
        <v>1.1299999999999999</v>
      </c>
      <c r="AI116">
        <f t="shared" si="7"/>
        <v>4.304480801790616</v>
      </c>
    </row>
    <row r="117" spans="23:35" x14ac:dyDescent="0.3">
      <c r="W117" s="86">
        <f>MSY!A158</f>
        <v>1.1399999999999999</v>
      </c>
      <c r="X117" s="86">
        <f>MSY!B158</f>
        <v>0.23445205418401688</v>
      </c>
      <c r="Y117" s="86">
        <f>MSY!C158</f>
        <v>0.78627138012311693</v>
      </c>
      <c r="Z117" s="86">
        <f>MSY!D158</f>
        <v>2.0270083212281977</v>
      </c>
      <c r="AA117" s="86">
        <f>MSY!E158</f>
        <v>2.1040213706630881</v>
      </c>
      <c r="AB117" s="86">
        <f>MSY!F158</f>
        <v>4.2648688263760377</v>
      </c>
      <c r="AC117" s="86">
        <f>MSY!G158</f>
        <v>1.6543317869197984</v>
      </c>
      <c r="AD117" s="24">
        <f t="shared" si="5"/>
        <v>0.16554794581598314</v>
      </c>
      <c r="AE117" s="24">
        <f t="shared" si="6"/>
        <v>0.1155479458159831</v>
      </c>
      <c r="AH117">
        <f t="shared" si="4"/>
        <v>1.1399999999999999</v>
      </c>
      <c r="AI117">
        <f t="shared" si="7"/>
        <v>4.2648688263760377</v>
      </c>
    </row>
    <row r="118" spans="23:35" x14ac:dyDescent="0.3">
      <c r="W118" s="86">
        <f>MSY!A159</f>
        <v>1.1499999999999999</v>
      </c>
      <c r="X118" s="86">
        <f>MSY!B159</f>
        <v>0.23353793816749024</v>
      </c>
      <c r="Y118" s="86">
        <f>MSY!C159</f>
        <v>0.78642531138346472</v>
      </c>
      <c r="Z118" s="86">
        <f>MSY!D159</f>
        <v>2.0191051242248004</v>
      </c>
      <c r="AA118" s="86">
        <f>MSY!E159</f>
        <v>2.0929168802170688</v>
      </c>
      <c r="AB118" s="86">
        <f>MSY!F159</f>
        <v>4.2258191974228669</v>
      </c>
      <c r="AC118" s="86">
        <f>MSY!G159</f>
        <v>1.6459228092244178</v>
      </c>
      <c r="AD118" s="24">
        <f t="shared" si="5"/>
        <v>0.16646206183250978</v>
      </c>
      <c r="AE118" s="24">
        <f t="shared" si="6"/>
        <v>0.11646206183250973</v>
      </c>
      <c r="AH118">
        <f t="shared" si="4"/>
        <v>1.1499999999999999</v>
      </c>
      <c r="AI118">
        <f t="shared" si="7"/>
        <v>4.2258191974228669</v>
      </c>
    </row>
    <row r="119" spans="23:35" x14ac:dyDescent="0.3">
      <c r="W119" s="86">
        <f>MSY!A160</f>
        <v>1.1599999999999999</v>
      </c>
      <c r="X119" s="86">
        <f>MSY!B160</f>
        <v>0.23263668569108592</v>
      </c>
      <c r="Y119" s="86">
        <f>MSY!C160</f>
        <v>0.78657309366497985</v>
      </c>
      <c r="Z119" s="86">
        <f>MSY!D160</f>
        <v>2.011313141870211</v>
      </c>
      <c r="AA119" s="86">
        <f>MSY!E160</f>
        <v>2.0818832194408383</v>
      </c>
      <c r="AB119" s="86">
        <f>MSY!F160</f>
        <v>4.1873190791004227</v>
      </c>
      <c r="AC119" s="86">
        <f>MSY!G160</f>
        <v>1.6375533245647884</v>
      </c>
      <c r="AD119" s="24">
        <f t="shared" si="5"/>
        <v>0.1673633143089141</v>
      </c>
      <c r="AE119" s="24">
        <f t="shared" si="6"/>
        <v>0.11736331430891406</v>
      </c>
      <c r="AH119">
        <f t="shared" si="4"/>
        <v>1.1599999999999999</v>
      </c>
      <c r="AI119">
        <f t="shared" si="7"/>
        <v>4.1873190791004227</v>
      </c>
    </row>
    <row r="120" spans="23:35" x14ac:dyDescent="0.3">
      <c r="W120" s="86">
        <f>MSY!A161</f>
        <v>1.17</v>
      </c>
      <c r="X120" s="86">
        <f>MSY!B161</f>
        <v>0.23174800549516245</v>
      </c>
      <c r="Y120" s="86">
        <f>MSY!C161</f>
        <v>0.78671491774023528</v>
      </c>
      <c r="Z120" s="86">
        <f>MSY!D161</f>
        <v>2.0036298560132497</v>
      </c>
      <c r="AA120" s="86">
        <f>MSY!E161</f>
        <v>2.0709194449225539</v>
      </c>
      <c r="AB120" s="86">
        <f>MSY!F161</f>
        <v>4.1493560292452152</v>
      </c>
      <c r="AC120" s="86">
        <f>MSY!G161</f>
        <v>1.6292232207589006</v>
      </c>
      <c r="AD120" s="24">
        <f t="shared" si="5"/>
        <v>0.16825199450483758</v>
      </c>
      <c r="AE120" s="24">
        <f t="shared" si="6"/>
        <v>0.11825199450483753</v>
      </c>
      <c r="AH120">
        <f t="shared" si="4"/>
        <v>1.17</v>
      </c>
      <c r="AI120">
        <f t="shared" si="7"/>
        <v>4.1493560292452152</v>
      </c>
    </row>
    <row r="121" spans="23:35" x14ac:dyDescent="0.3">
      <c r="W121" s="86">
        <f>MSY!A162</f>
        <v>1.18</v>
      </c>
      <c r="X121" s="86">
        <f>MSY!B162</f>
        <v>0.23087161518582994</v>
      </c>
      <c r="Y121" s="86">
        <f>MSY!C162</f>
        <v>0.78685096729316295</v>
      </c>
      <c r="Z121" s="86">
        <f>MSY!D162</f>
        <v>1.9960528251535992</v>
      </c>
      <c r="AA121" s="86">
        <f>MSY!E162</f>
        <v>2.0600246309155645</v>
      </c>
      <c r="AB121" s="86">
        <f>MSY!F162</f>
        <v>4.1119179844250127</v>
      </c>
      <c r="AC121" s="86">
        <f>MSY!G162</f>
        <v>1.6209323734836529</v>
      </c>
      <c r="AD121" s="24">
        <f t="shared" si="5"/>
        <v>0.16912838481417009</v>
      </c>
      <c r="AE121" s="24">
        <f t="shared" si="6"/>
        <v>0.11912838481417004</v>
      </c>
      <c r="AH121">
        <f t="shared" si="4"/>
        <v>1.18</v>
      </c>
      <c r="AI121">
        <f t="shared" si="7"/>
        <v>4.1119179844250127</v>
      </c>
    </row>
    <row r="122" spans="23:35" x14ac:dyDescent="0.3">
      <c r="W122" s="86">
        <f>MSY!A163</f>
        <v>1.19</v>
      </c>
      <c r="X122" s="86">
        <f>MSY!B163</f>
        <v>0.23000724090097513</v>
      </c>
      <c r="Y122" s="86">
        <f>MSY!C163</f>
        <v>0.7869814192350475</v>
      </c>
      <c r="Z122" s="86">
        <f>MSY!D163</f>
        <v>1.9885796815543488</v>
      </c>
      <c r="AA122" s="86">
        <f>MSY!E163</f>
        <v>2.0491978689467318</v>
      </c>
      <c r="AB122" s="86">
        <f>MSY!F163</f>
        <v>4.0749932456719424</v>
      </c>
      <c r="AC122" s="86">
        <f>MSY!G163</f>
        <v>1.6126806471971338</v>
      </c>
      <c r="AD122" s="24">
        <f t="shared" si="5"/>
        <v>0.16999275909902489</v>
      </c>
      <c r="AE122" s="24">
        <f t="shared" si="6"/>
        <v>0.11999275909902485</v>
      </c>
      <c r="AH122">
        <f t="shared" si="4"/>
        <v>1.19</v>
      </c>
      <c r="AI122">
        <f t="shared" si="7"/>
        <v>4.0749932456719424</v>
      </c>
    </row>
    <row r="123" spans="23:35" x14ac:dyDescent="0.3">
      <c r="W123" s="86">
        <f>MSY!A164</f>
        <v>1.2</v>
      </c>
      <c r="X123" s="86">
        <f>MSY!B164</f>
        <v>0.22915461699114162</v>
      </c>
      <c r="Y123" s="86">
        <f>MSY!C164</f>
        <v>0.78710644400419216</v>
      </c>
      <c r="Z123" s="86">
        <f>MSY!D164</f>
        <v>1.9812081284829728</v>
      </c>
      <c r="AA123" s="86">
        <f>MSY!E164</f>
        <v>2.0384382674335981</v>
      </c>
      <c r="AB123" s="86">
        <f>MSY!F164</f>
        <v>4.0385704648501921</v>
      </c>
      <c r="AC123" s="86">
        <f>MSY!G164</f>
        <v>1.6044678960017258</v>
      </c>
      <c r="AD123" s="24">
        <f t="shared" si="5"/>
        <v>0.1708453830088584</v>
      </c>
      <c r="AE123" s="24">
        <f t="shared" si="6"/>
        <v>0.12084538300885836</v>
      </c>
      <c r="AH123">
        <f t="shared" si="4"/>
        <v>1.2</v>
      </c>
      <c r="AI123">
        <f t="shared" si="7"/>
        <v>4.0385704648501921</v>
      </c>
    </row>
    <row r="124" spans="23:35" x14ac:dyDescent="0.3">
      <c r="W124" s="86">
        <f>MSY!A165</f>
        <v>1.21</v>
      </c>
      <c r="X124" s="86">
        <f>MSY!B165</f>
        <v>0.22831348571450999</v>
      </c>
      <c r="Y124" s="86">
        <f>MSY!C165</f>
        <v>0.78722620585020631</v>
      </c>
      <c r="Z124" s="86">
        <f>MSY!D165</f>
        <v>1.9739359375742107</v>
      </c>
      <c r="AA124" s="86">
        <f>MSY!E165</f>
        <v>2.0277449513102792</v>
      </c>
      <c r="AB124" s="86">
        <f>MSY!F165</f>
        <v>4.002638631626029</v>
      </c>
      <c r="AC124" s="86">
        <f>MSY!G165</f>
        <v>1.5962939644519025</v>
      </c>
      <c r="AD124" s="24">
        <f t="shared" si="5"/>
        <v>0.17168651428549003</v>
      </c>
      <c r="AE124" s="24">
        <f t="shared" si="6"/>
        <v>0.12168651428548999</v>
      </c>
      <c r="AH124">
        <f t="shared" si="4"/>
        <v>1.21</v>
      </c>
      <c r="AI124">
        <f t="shared" si="7"/>
        <v>4.002638631626029</v>
      </c>
    </row>
    <row r="125" spans="23:35" x14ac:dyDescent="0.3">
      <c r="W125" s="86">
        <f>MSY!A166</f>
        <v>1.22</v>
      </c>
      <c r="X125" s="86">
        <f>MSY!B166</f>
        <v>0.22748359694526149</v>
      </c>
      <c r="Y125" s="86">
        <f>MSY!C166</f>
        <v>0.78734086310380158</v>
      </c>
      <c r="Z125" s="86">
        <f>MSY!D166</f>
        <v>1.9667609463086608</v>
      </c>
      <c r="AA125" s="86">
        <f>MSY!E166</f>
        <v>2.0171170616619172</v>
      </c>
      <c r="AB125" s="86">
        <f>MSY!F166</f>
        <v>3.9671870610095361</v>
      </c>
      <c r="AC125" s="86">
        <f>MSY!G166</f>
        <v>1.5881586883102981</v>
      </c>
      <c r="AD125" s="24">
        <f t="shared" si="5"/>
        <v>0.17251640305473853</v>
      </c>
      <c r="AE125" s="24">
        <f t="shared" si="6"/>
        <v>0.12251640305473849</v>
      </c>
      <c r="AH125">
        <f t="shared" si="4"/>
        <v>1.22</v>
      </c>
      <c r="AI125">
        <f t="shared" si="7"/>
        <v>3.9671870610095361</v>
      </c>
    </row>
    <row r="126" spans="23:35" x14ac:dyDescent="0.3">
      <c r="W126" s="86">
        <f>MSY!A167</f>
        <v>1.23</v>
      </c>
      <c r="X126" s="86">
        <f>MSY!B167</f>
        <v>0.2266647078946521</v>
      </c>
      <c r="Y126" s="86">
        <f>MSY!C167</f>
        <v>0.7874505684329236</v>
      </c>
      <c r="Z126" s="86">
        <f>MSY!D167</f>
        <v>1.9596810556012623</v>
      </c>
      <c r="AA126" s="86">
        <f>MSY!E167</f>
        <v>2.0065537553675461</v>
      </c>
      <c r="AB126" s="86">
        <f>MSY!F167</f>
        <v>3.9322053814393496</v>
      </c>
      <c r="AC126" s="86">
        <f>MSY!G167</f>
        <v>1.5800618952553918</v>
      </c>
      <c r="AD126" s="24">
        <f t="shared" si="5"/>
        <v>0.17333529210534793</v>
      </c>
      <c r="AE126" s="24">
        <f t="shared" si="6"/>
        <v>0.12333529210534788</v>
      </c>
      <c r="AH126">
        <f t="shared" si="4"/>
        <v>1.23</v>
      </c>
      <c r="AI126">
        <f t="shared" si="7"/>
        <v>3.9322053814393496</v>
      </c>
    </row>
    <row r="127" spans="23:35" x14ac:dyDescent="0.3">
      <c r="W127" s="86">
        <f>MSY!A168</f>
        <v>1.24</v>
      </c>
      <c r="X127" s="86">
        <f>MSY!B168</f>
        <v>0.22585658284416293</v>
      </c>
      <c r="Y127" s="86">
        <f>MSY!C168</f>
        <v>0.78755546908600349</v>
      </c>
      <c r="Z127" s="86">
        <f>MSY!D168</f>
        <v>1.9526942274941868</v>
      </c>
      <c r="AA127" s="86">
        <f>MSY!E168</f>
        <v>1.9960542047512277</v>
      </c>
      <c r="AB127" s="86">
        <f>MSY!F168</f>
        <v>3.8976835233832214</v>
      </c>
      <c r="AC127" s="86">
        <f>MSY!G168</f>
        <v>1.5720034055439429</v>
      </c>
      <c r="AD127" s="24">
        <f t="shared" si="5"/>
        <v>0.17414341715583709</v>
      </c>
      <c r="AE127" s="24">
        <f t="shared" si="6"/>
        <v>0.12414341715583704</v>
      </c>
      <c r="AH127">
        <f t="shared" si="4"/>
        <v>1.24</v>
      </c>
      <c r="AI127">
        <f t="shared" si="7"/>
        <v>3.8976835233832214</v>
      </c>
    </row>
    <row r="128" spans="23:35" x14ac:dyDescent="0.3">
      <c r="W128" s="86">
        <f>MSY!A169</f>
        <v>1.25</v>
      </c>
      <c r="X128" s="86">
        <f>MSY!B169</f>
        <v>0.22505899289012465</v>
      </c>
      <c r="Y128" s="86">
        <f>MSY!C169</f>
        <v>0.78765570712304978</v>
      </c>
      <c r="Z128" s="86">
        <f>MSY!D169</f>
        <v>1.9457984829489303</v>
      </c>
      <c r="AA128" s="86">
        <f>MSY!E169</f>
        <v>1.9856175972412877</v>
      </c>
      <c r="AB128" s="86">
        <f>MSY!F169</f>
        <v>3.863611708428798</v>
      </c>
      <c r="AC128" s="86">
        <f>MSY!G169</f>
        <v>1.5639830326310575</v>
      </c>
      <c r="AD128" s="24">
        <f t="shared" si="5"/>
        <v>0.17494100710987537</v>
      </c>
      <c r="AE128" s="24">
        <f t="shared" si="6"/>
        <v>0.12494100710987532</v>
      </c>
      <c r="AH128">
        <f t="shared" si="4"/>
        <v>1.25</v>
      </c>
      <c r="AI128">
        <f t="shared" si="7"/>
        <v>3.863611708428798</v>
      </c>
    </row>
    <row r="129" spans="23:35" x14ac:dyDescent="0.3">
      <c r="W129" s="86">
        <f>MSY!A170</f>
        <v>1.26</v>
      </c>
      <c r="X129" s="86">
        <f>MSY!B170</f>
        <v>0.22427171569925192</v>
      </c>
      <c r="Y129" s="86">
        <f>MSY!C170</f>
        <v>0.78775141963527506</v>
      </c>
      <c r="Z129" s="86">
        <f>MSY!D170</f>
        <v>1.9389918997327318</v>
      </c>
      <c r="AA129" s="86">
        <f>MSY!E170</f>
        <v>1.9752431350375028</v>
      </c>
      <c r="AB129" s="86">
        <f>MSY!F170</f>
        <v>3.8299804388404048</v>
      </c>
      <c r="AC129" s="86">
        <f>MSY!G170</f>
        <v>1.5560005837506241</v>
      </c>
      <c r="AD129" s="24">
        <f t="shared" si="5"/>
        <v>0.17572828430074811</v>
      </c>
      <c r="AE129" s="24">
        <f t="shared" si="6"/>
        <v>0.12572828430074806</v>
      </c>
      <c r="AH129">
        <f t="shared" si="4"/>
        <v>1.26</v>
      </c>
      <c r="AI129">
        <f t="shared" si="7"/>
        <v>3.8299804388404048</v>
      </c>
    </row>
    <row r="130" spans="23:35" x14ac:dyDescent="0.3">
      <c r="W130" s="86">
        <f>MSY!A171</f>
        <v>1.27</v>
      </c>
      <c r="X130" s="86">
        <f>MSY!B171</f>
        <v>0.22349453527455171</v>
      </c>
      <c r="Y130" s="86">
        <f>MSY!C171</f>
        <v>0.7878427389538889</v>
      </c>
      <c r="Z130" s="86">
        <f>MSY!D171</f>
        <v>1.9322726103946801</v>
      </c>
      <c r="AA130" s="86">
        <f>MSY!E171</f>
        <v>1.964930034786089</v>
      </c>
      <c r="AB130" s="86">
        <f>MSY!F171</f>
        <v>3.7967804875590256</v>
      </c>
      <c r="AC130" s="86">
        <f>MSY!G171</f>
        <v>1.5480558604586325</v>
      </c>
      <c r="AD130" s="24">
        <f t="shared" si="5"/>
        <v>0.17650546472544831</v>
      </c>
      <c r="AE130" s="24">
        <f t="shared" si="6"/>
        <v>0.12650546472544827</v>
      </c>
      <c r="AH130">
        <f t="shared" ref="AH130:AH193" si="8">W130</f>
        <v>1.27</v>
      </c>
      <c r="AI130">
        <f t="shared" si="7"/>
        <v>3.7967804875590256</v>
      </c>
    </row>
    <row r="131" spans="23:35" x14ac:dyDescent="0.3">
      <c r="W131" s="86">
        <f>MSY!A172</f>
        <v>1.28</v>
      </c>
      <c r="X131" s="86">
        <f>MSY!B172</f>
        <v>0.2227272417311007</v>
      </c>
      <c r="Y131" s="86">
        <f>MSY!C172</f>
        <v>0.7879297928486676</v>
      </c>
      <c r="Z131" s="86">
        <f>MSY!D172</f>
        <v>1.9256388003271465</v>
      </c>
      <c r="AA131" s="86">
        <f>MSY!E172</f>
        <v>1.9546775272623245</v>
      </c>
      <c r="AB131" s="86">
        <f>MSY!F172</f>
        <v>3.7640028886238559</v>
      </c>
      <c r="AC131" s="86">
        <f>MSY!G172</f>
        <v>1.540148659141749</v>
      </c>
      <c r="AD131" s="24">
        <f t="shared" si="5"/>
        <v>0.17727275826889932</v>
      </c>
      <c r="AE131" s="24">
        <f t="shared" si="6"/>
        <v>0.12727275826889928</v>
      </c>
      <c r="AH131">
        <f t="shared" si="8"/>
        <v>1.28</v>
      </c>
      <c r="AI131">
        <f t="shared" si="7"/>
        <v>3.7640028886238559</v>
      </c>
    </row>
    <row r="132" spans="23:35" x14ac:dyDescent="0.3">
      <c r="W132" s="86">
        <f>MSY!A173</f>
        <v>1.29</v>
      </c>
      <c r="X132" s="86">
        <f>MSY!B173</f>
        <v>0.22196963108121426</v>
      </c>
      <c r="Y132" s="86">
        <f>MSY!C173</f>
        <v>0.78801270471685891</v>
      </c>
      <c r="Z132" s="86">
        <f>MSY!D173</f>
        <v>1.9190887059084147</v>
      </c>
      <c r="AA132" s="86">
        <f>MSY!E173</f>
        <v>1.944484857060655</v>
      </c>
      <c r="AB132" s="86">
        <f>MSY!F173</f>
        <v>3.7316389279950415</v>
      </c>
      <c r="AC132" s="86">
        <f>MSY!G173</f>
        <v>1.5322787714933415</v>
      </c>
      <c r="AD132" s="24">
        <f t="shared" ref="AD132:AD195" si="9">ABS(X132-$C$28/100)</f>
        <v>0.17803036891878576</v>
      </c>
      <c r="AE132" s="24">
        <f t="shared" ref="AE132:AE195" si="10">ABS(X132-$C$29/100)</f>
        <v>0.12803036891878572</v>
      </c>
      <c r="AH132">
        <f t="shared" si="8"/>
        <v>1.29</v>
      </c>
      <c r="AI132">
        <f t="shared" ref="AI132:AI195" si="11">AB132</f>
        <v>3.7316389279950415</v>
      </c>
    </row>
    <row r="133" spans="23:35" x14ac:dyDescent="0.3">
      <c r="W133" s="86">
        <f>MSY!A174</f>
        <v>1.3</v>
      </c>
      <c r="X133" s="86">
        <f>MSY!B174</f>
        <v>0.22122150502855434</v>
      </c>
      <c r="Y133" s="86">
        <f>MSY!C174</f>
        <v>0.78809159376296167</v>
      </c>
      <c r="Z133" s="86">
        <f>MSY!D174</f>
        <v>1.9126206127225942</v>
      </c>
      <c r="AA133" s="86">
        <f>MSY!E174</f>
        <v>1.9343512822921234</v>
      </c>
      <c r="AB133" s="86">
        <f>MSY!F174</f>
        <v>3.6996801347582968</v>
      </c>
      <c r="AC133" s="86">
        <f>MSY!G174</f>
        <v>1.5244459849590282</v>
      </c>
      <c r="AD133" s="24">
        <f t="shared" si="9"/>
        <v>0.17877849497144568</v>
      </c>
      <c r="AE133" s="24">
        <f t="shared" si="10"/>
        <v>0.12877849497144564</v>
      </c>
      <c r="AH133">
        <f t="shared" si="8"/>
        <v>1.3</v>
      </c>
      <c r="AI133">
        <f t="shared" si="11"/>
        <v>3.6996801347582968</v>
      </c>
    </row>
    <row r="134" spans="23:35" x14ac:dyDescent="0.3">
      <c r="W134" s="86">
        <f>MSY!A175</f>
        <v>1.31</v>
      </c>
      <c r="X134" s="86">
        <f>MSY!B175</f>
        <v>0.22048267077075084</v>
      </c>
      <c r="Y134" s="86">
        <f>MSY!C175</f>
        <v>0.78816657516986643</v>
      </c>
      <c r="Z134" s="86">
        <f>MSY!D175</f>
        <v>1.9062328538531381</v>
      </c>
      <c r="AA134" s="86">
        <f>MSY!E175</f>
        <v>1.9242760742889768</v>
      </c>
      <c r="AB134" s="86">
        <f>MSY!F175</f>
        <v>3.6681182726931896</v>
      </c>
      <c r="AC134" s="86">
        <f>MSY!G175</f>
        <v>1.5166500831536585</v>
      </c>
      <c r="AD134" s="24">
        <f t="shared" si="9"/>
        <v>0.17951732922924918</v>
      </c>
      <c r="AE134" s="24">
        <f t="shared" si="10"/>
        <v>0.12951732922924913</v>
      </c>
      <c r="AH134">
        <f t="shared" si="8"/>
        <v>1.31</v>
      </c>
      <c r="AI134">
        <f t="shared" si="11"/>
        <v>3.6681182726931896</v>
      </c>
    </row>
    <row r="135" spans="23:35" x14ac:dyDescent="0.3">
      <c r="W135" s="86">
        <f>MSY!A176</f>
        <v>1.32</v>
      </c>
      <c r="X135" s="86">
        <f>MSY!B176</f>
        <v>0.21975294081013066</v>
      </c>
      <c r="Y135" s="86">
        <f>MSY!C176</f>
        <v>0.78823776026184045</v>
      </c>
      <c r="Z135" s="86">
        <f>MSY!D176</f>
        <v>1.8999238082464589</v>
      </c>
      <c r="AA135" s="86">
        <f>MSY!E176</f>
        <v>1.9142585173162856</v>
      </c>
      <c r="AB135" s="86">
        <f>MSY!F176</f>
        <v>3.6369453321877776</v>
      </c>
      <c r="AC135" s="86">
        <f>MSY!G176</f>
        <v>1.5088908462515405</v>
      </c>
      <c r="AD135" s="24">
        <f t="shared" si="9"/>
        <v>0.18024705918986936</v>
      </c>
      <c r="AE135" s="24">
        <f t="shared" si="10"/>
        <v>0.13024705918986931</v>
      </c>
      <c r="AH135">
        <f t="shared" si="8"/>
        <v>1.32</v>
      </c>
      <c r="AI135">
        <f t="shared" si="11"/>
        <v>3.6369453321877776</v>
      </c>
    </row>
    <row r="136" spans="23:35" x14ac:dyDescent="0.3">
      <c r="W136" s="86">
        <f>MSY!A177</f>
        <v>1.33</v>
      </c>
      <c r="X136" s="86">
        <f>MSY!B177</f>
        <v>0.2190321327721724</v>
      </c>
      <c r="Y136" s="86">
        <f>MSY!C177</f>
        <v>0.78830525665978612</v>
      </c>
      <c r="Z136" s="86">
        <f>MSY!D177</f>
        <v>1.8936918991423364</v>
      </c>
      <c r="AA136" s="86">
        <f>MSY!E177</f>
        <v>1.9042979082904203</v>
      </c>
      <c r="AB136" s="86">
        <f>MSY!F177</f>
        <v>3.6061535224832646</v>
      </c>
      <c r="AC136" s="86">
        <f>MSY!G177</f>
        <v>1.5011680513515737</v>
      </c>
      <c r="AD136" s="24">
        <f t="shared" si="9"/>
        <v>0.18096786722782762</v>
      </c>
      <c r="AE136" s="24">
        <f t="shared" si="10"/>
        <v>0.13096786722782758</v>
      </c>
      <c r="AH136">
        <f t="shared" si="8"/>
        <v>1.33</v>
      </c>
      <c r="AI136">
        <f t="shared" si="11"/>
        <v>3.6061535224832646</v>
      </c>
    </row>
    <row r="137" spans="23:35" x14ac:dyDescent="0.3">
      <c r="W137" s="86">
        <f>MSY!A178</f>
        <v>1.34</v>
      </c>
      <c r="X137" s="86">
        <f>MSY!B178</f>
        <v>0.21832006923132488</v>
      </c>
      <c r="Y137" s="86">
        <f>MSY!C178</f>
        <v>0.78836916842919158</v>
      </c>
      <c r="Z137" s="86">
        <f>MSY!D178</f>
        <v>1.887535592567994</v>
      </c>
      <c r="AA137" s="86">
        <f>MSY!E178</f>
        <v>1.8943935565042584</v>
      </c>
      <c r="AB137" s="86">
        <f>MSY!F178</f>
        <v>3.5757352642332547</v>
      </c>
      <c r="AC137" s="86">
        <f>MSY!G178</f>
        <v>1.493481472818881</v>
      </c>
      <c r="AD137" s="24">
        <f t="shared" si="9"/>
        <v>0.18167993076867514</v>
      </c>
      <c r="AE137" s="24">
        <f t="shared" si="10"/>
        <v>0.1316799307686751</v>
      </c>
      <c r="AH137">
        <f t="shared" si="8"/>
        <v>1.34</v>
      </c>
      <c r="AI137">
        <f t="shared" si="11"/>
        <v>3.5757352642332547</v>
      </c>
    </row>
    <row r="138" spans="23:35" x14ac:dyDescent="0.3">
      <c r="W138" s="86">
        <f>MSY!A179</f>
        <v>1.35</v>
      </c>
      <c r="X138" s="86">
        <f>MSY!B179</f>
        <v>0.21761657754384495</v>
      </c>
      <c r="Y138" s="86">
        <f>MSY!C179</f>
        <v>0.78842959622116482</v>
      </c>
      <c r="Z138" s="86">
        <f>MSY!D179</f>
        <v>1.8814533958928585</v>
      </c>
      <c r="AA138" s="86">
        <f>MSY!E179</f>
        <v>1.8845447833589259</v>
      </c>
      <c r="AB138" s="86">
        <f>MSY!F179</f>
        <v>3.5456831823628225</v>
      </c>
      <c r="AC138" s="86">
        <f>MSY!G179</f>
        <v>1.4858308826043805</v>
      </c>
      <c r="AD138" s="24">
        <f t="shared" si="9"/>
        <v>0.18238342245615508</v>
      </c>
      <c r="AE138" s="24">
        <f t="shared" si="10"/>
        <v>0.13238342245615503</v>
      </c>
      <c r="AH138">
        <f t="shared" si="8"/>
        <v>1.35</v>
      </c>
      <c r="AI138">
        <f t="shared" si="11"/>
        <v>3.5456831823628225</v>
      </c>
    </row>
    <row r="139" spans="23:35" x14ac:dyDescent="0.3">
      <c r="W139" s="86">
        <f>MSY!A180</f>
        <v>1.36</v>
      </c>
      <c r="X139" s="86">
        <f>MSY!B180</f>
        <v>0.21692148968733141</v>
      </c>
      <c r="Y139" s="86">
        <f>MSY!C180</f>
        <v>0.78848663740691616</v>
      </c>
      <c r="Z139" s="86">
        <f>MSY!D180</f>
        <v>1.8754438564412155</v>
      </c>
      <c r="AA139" s="86">
        <f>MSY!E180</f>
        <v>1.8747509221019778</v>
      </c>
      <c r="AB139" s="86">
        <f>MSY!F180</f>
        <v>3.5159900992136581</v>
      </c>
      <c r="AC139" s="86">
        <f>MSY!G180</f>
        <v>1.4782160505437039</v>
      </c>
      <c r="AD139" s="24">
        <f t="shared" si="9"/>
        <v>0.18307851031266861</v>
      </c>
      <c r="AE139" s="24">
        <f t="shared" si="10"/>
        <v>0.13307851031266857</v>
      </c>
      <c r="AH139">
        <f t="shared" si="8"/>
        <v>1.36</v>
      </c>
      <c r="AI139">
        <f t="shared" si="11"/>
        <v>3.5159900992136581</v>
      </c>
    </row>
    <row r="140" spans="23:35" x14ac:dyDescent="0.3">
      <c r="W140" s="86">
        <f>MSY!A181</f>
        <v>1.37</v>
      </c>
      <c r="X140" s="86">
        <f>MSY!B181</f>
        <v>0.2162346421066447</v>
      </c>
      <c r="Y140" s="86">
        <f>MSY!C181</f>
        <v>0.78854038620603628</v>
      </c>
      <c r="Z140" s="86">
        <f>MSY!D181</f>
        <v>1.8695055601600721</v>
      </c>
      <c r="AA140" s="86">
        <f>MSY!E181</f>
        <v>1.8650113175718255</v>
      </c>
      <c r="AB140" s="86">
        <f>MSY!F181</f>
        <v>3.4866490279619895</v>
      </c>
      <c r="AC140" s="86">
        <f>MSY!G181</f>
        <v>1.4706367446367159</v>
      </c>
      <c r="AD140" s="24">
        <f t="shared" si="9"/>
        <v>0.18376535789335532</v>
      </c>
      <c r="AE140" s="24">
        <f t="shared" si="10"/>
        <v>0.13376535789335528</v>
      </c>
      <c r="AH140">
        <f t="shared" si="8"/>
        <v>1.37</v>
      </c>
      <c r="AI140">
        <f t="shared" si="11"/>
        <v>3.4866490279619895</v>
      </c>
    </row>
    <row r="141" spans="23:35" x14ac:dyDescent="0.3">
      <c r="W141" s="86">
        <f>MSY!A182</f>
        <v>1.38</v>
      </c>
      <c r="X141" s="86">
        <f>MSY!B182</f>
        <v>0.21555587556592173</v>
      </c>
      <c r="Y141" s="86">
        <f>MSY!C182</f>
        <v>0.78859093380888945</v>
      </c>
      <c r="Z141" s="86">
        <f>MSY!D182</f>
        <v>1.8636371303397179</v>
      </c>
      <c r="AA141" s="86">
        <f>MSY!E182</f>
        <v>1.8553253259482978</v>
      </c>
      <c r="AB141" s="86">
        <f>MSY!F182</f>
        <v>3.4576531662968875</v>
      </c>
      <c r="AC141" s="86">
        <f>MSY!G182</f>
        <v>1.4630927313088504</v>
      </c>
      <c r="AD141" s="24">
        <f t="shared" si="9"/>
        <v>0.18444412443407829</v>
      </c>
      <c r="AE141" s="24">
        <f t="shared" si="10"/>
        <v>0.13444412443407824</v>
      </c>
      <c r="AH141">
        <f t="shared" si="8"/>
        <v>1.38</v>
      </c>
      <c r="AI141">
        <f t="shared" si="11"/>
        <v>3.4576531662968875</v>
      </c>
    </row>
    <row r="142" spans="23:35" x14ac:dyDescent="0.3">
      <c r="W142" s="86">
        <f>MSY!A183</f>
        <v>1.39</v>
      </c>
      <c r="X142" s="86">
        <f>MSY!B183</f>
        <v>0.21488503500640771</v>
      </c>
      <c r="Y142" s="86">
        <f>MSY!C183</f>
        <v>0.78863836849343905</v>
      </c>
      <c r="Z142" s="86">
        <f>MSY!D183</f>
        <v>1.8578372263845793</v>
      </c>
      <c r="AA142" s="86">
        <f>MSY!E183</f>
        <v>1.8456923145091759</v>
      </c>
      <c r="AB142" s="86">
        <f>MSY!F183</f>
        <v>3.4289958903470623</v>
      </c>
      <c r="AC142" s="86">
        <f>MSY!G183</f>
        <v>1.455583775655396</v>
      </c>
      <c r="AD142" s="24">
        <f t="shared" si="9"/>
        <v>0.18511496499359231</v>
      </c>
      <c r="AE142" s="24">
        <f t="shared" si="10"/>
        <v>0.13511496499359227</v>
      </c>
      <c r="AH142">
        <f t="shared" si="8"/>
        <v>1.39</v>
      </c>
      <c r="AI142">
        <f t="shared" si="11"/>
        <v>3.4289958903470623</v>
      </c>
    </row>
    <row r="143" spans="23:35" x14ac:dyDescent="0.3">
      <c r="W143" s="86">
        <f>MSY!A184</f>
        <v>1.4</v>
      </c>
      <c r="X143" s="86">
        <f>MSY!B184</f>
        <v>0.21422196940984226</v>
      </c>
      <c r="Y143" s="86">
        <f>MSY!C184</f>
        <v>0.78868277573678158</v>
      </c>
      <c r="Z143" s="86">
        <f>MSY!D184</f>
        <v>1.8521045426320906</v>
      </c>
      <c r="AA143" s="86">
        <f>MSY!E184</f>
        <v>1.8361116613925603</v>
      </c>
      <c r="AB143" s="86">
        <f>MSY!F184</f>
        <v>3.4006707488449157</v>
      </c>
      <c r="AC143" s="86">
        <f>MSY!G184</f>
        <v>1.4481096416697581</v>
      </c>
      <c r="AD143" s="24">
        <f t="shared" si="9"/>
        <v>0.18577803059015777</v>
      </c>
      <c r="AE143" s="24">
        <f t="shared" si="10"/>
        <v>0.13577803059015772</v>
      </c>
      <c r="AH143">
        <f t="shared" si="8"/>
        <v>1.4</v>
      </c>
      <c r="AI143">
        <f t="shared" si="11"/>
        <v>3.4006707488449157</v>
      </c>
    </row>
    <row r="144" spans="23:35" x14ac:dyDescent="0.3">
      <c r="W144" s="86">
        <f>MSY!A185</f>
        <v>1.41</v>
      </c>
      <c r="X144" s="86">
        <f>MSY!B185</f>
        <v>0.21356653166715087</v>
      </c>
      <c r="Y144" s="86">
        <f>MSY!C185</f>
        <v>0.78872423832167271</v>
      </c>
      <c r="Z144" s="86">
        <f>MSY!D185</f>
        <v>1.8464378072174386</v>
      </c>
      <c r="AA144" s="86">
        <f>MSY!E185</f>
        <v>1.8265827553649592</v>
      </c>
      <c r="AB144" s="86">
        <f>MSY!F185</f>
        <v>3.3726714575172618</v>
      </c>
      <c r="AC144" s="86">
        <f>MSY!G185</f>
        <v>1.4406700924567297</v>
      </c>
      <c r="AD144" s="24">
        <f t="shared" si="9"/>
        <v>0.18643346833284916</v>
      </c>
      <c r="AE144" s="24">
        <f t="shared" si="10"/>
        <v>0.13643346833284911</v>
      </c>
      <c r="AH144">
        <f t="shared" si="8"/>
        <v>1.41</v>
      </c>
      <c r="AI144">
        <f t="shared" si="11"/>
        <v>3.3726714575172618</v>
      </c>
    </row>
    <row r="145" spans="23:35" x14ac:dyDescent="0.3">
      <c r="W145" s="86">
        <f>MSY!A186</f>
        <v>1.42</v>
      </c>
      <c r="X145" s="86">
        <f>MSY!B186</f>
        <v>0.21291857845220305</v>
      </c>
      <c r="Y145" s="86">
        <f>MSY!C186</f>
        <v>0.78876283643829193</v>
      </c>
      <c r="Z145" s="86">
        <f>MSY!D186</f>
        <v>1.8408357809821088</v>
      </c>
      <c r="AA145" s="86">
        <f>MSY!E186</f>
        <v>1.8171049955949141</v>
      </c>
      <c r="AB145" s="86">
        <f>MSY!F186</f>
        <v>3.3449918936924545</v>
      </c>
      <c r="AC145" s="86">
        <f>MSY!G186</f>
        <v>1.4332648904316345</v>
      </c>
      <c r="AD145" s="24">
        <f t="shared" si="9"/>
        <v>0.18708142154779697</v>
      </c>
      <c r="AE145" s="24">
        <f t="shared" si="10"/>
        <v>0.13708142154779693</v>
      </c>
      <c r="AH145">
        <f t="shared" si="8"/>
        <v>1.42</v>
      </c>
      <c r="AI145">
        <f t="shared" si="11"/>
        <v>3.3449918936924545</v>
      </c>
    </row>
    <row r="146" spans="23:35" x14ac:dyDescent="0.3">
      <c r="W146" s="86">
        <f>MSY!A187</f>
        <v>1.43</v>
      </c>
      <c r="X146" s="86">
        <f>MSY!B187</f>
        <v>0.21227797010041399</v>
      </c>
      <c r="Y146" s="86">
        <f>MSY!C187</f>
        <v>0.788798647781497</v>
      </c>
      <c r="Z146" s="86">
        <f>MSY!D187</f>
        <v>1.8352972564243095</v>
      </c>
      <c r="AA146" s="86">
        <f>MSY!E187</f>
        <v>1.8076777914320765</v>
      </c>
      <c r="AB146" s="86">
        <f>MSY!F187</f>
        <v>3.3176260911144451</v>
      </c>
      <c r="AC146" s="86">
        <f>MSY!G187</f>
        <v>1.4258937975062649</v>
      </c>
      <c r="AD146" s="24">
        <f t="shared" si="9"/>
        <v>0.18772202989958603</v>
      </c>
      <c r="AE146" s="24">
        <f t="shared" si="10"/>
        <v>0.13772202989958598</v>
      </c>
      <c r="AH146">
        <f t="shared" si="8"/>
        <v>1.43</v>
      </c>
      <c r="AI146">
        <f t="shared" si="11"/>
        <v>3.3176260911144451</v>
      </c>
    </row>
    <row r="147" spans="23:35" x14ac:dyDescent="0.3">
      <c r="W147" s="86">
        <f>MSY!A188</f>
        <v>1.44</v>
      </c>
      <c r="X147" s="86">
        <f>MSY!B188</f>
        <v>0.21164457049197488</v>
      </c>
      <c r="Y147" s="86">
        <f>MSY!C188</f>
        <v>0.78883174764378861</v>
      </c>
      <c r="Z147" s="86">
        <f>MSY!D188</f>
        <v>1.8298210566894115</v>
      </c>
      <c r="AA147" s="86">
        <f>MSY!E188</f>
        <v>1.7983005621915757</v>
      </c>
      <c r="AB147" s="86">
        <f>MSY!F188</f>
        <v>3.2905682349545518</v>
      </c>
      <c r="AC147" s="86">
        <f>MSY!G188</f>
        <v>1.4185565752623883</v>
      </c>
      <c r="AD147" s="24">
        <f t="shared" si="9"/>
        <v>0.18835542950802514</v>
      </c>
      <c r="AE147" s="24">
        <f t="shared" si="10"/>
        <v>0.1383554295080251</v>
      </c>
      <c r="AH147">
        <f t="shared" si="8"/>
        <v>1.44</v>
      </c>
      <c r="AI147">
        <f t="shared" si="11"/>
        <v>3.2905682349545518</v>
      </c>
    </row>
    <row r="148" spans="23:35" x14ac:dyDescent="0.3">
      <c r="W148" s="86">
        <f>MSY!A189</f>
        <v>1.45</v>
      </c>
      <c r="X148" s="86">
        <f>MSY!B189</f>
        <v>0.21101824693950885</v>
      </c>
      <c r="Y148" s="86">
        <f>MSY!C189</f>
        <v>0.78886220900420689</v>
      </c>
      <c r="Z148" s="86">
        <f>MSY!D189</f>
        <v>1.8244060345986544</v>
      </c>
      <c r="AA148" s="86">
        <f>MSY!E189</f>
        <v>1.788972736943564</v>
      </c>
      <c r="AB148" s="86">
        <f>MSY!F189</f>
        <v>3.2638126570123087</v>
      </c>
      <c r="AC148" s="86">
        <f>MSY!G189</f>
        <v>1.4112529851136018</v>
      </c>
      <c r="AD148" s="24">
        <f t="shared" si="9"/>
        <v>0.18898175306049117</v>
      </c>
      <c r="AE148" s="24">
        <f t="shared" si="10"/>
        <v>0.13898175306049113</v>
      </c>
      <c r="AH148">
        <f t="shared" si="8"/>
        <v>1.45</v>
      </c>
      <c r="AI148">
        <f t="shared" si="11"/>
        <v>3.2638126570123087</v>
      </c>
    </row>
    <row r="149" spans="23:35" x14ac:dyDescent="0.3">
      <c r="W149" s="86">
        <f>MSY!A190</f>
        <v>1.46</v>
      </c>
      <c r="X149" s="86">
        <f>MSY!B190</f>
        <v>0.21039887007995942</v>
      </c>
      <c r="Y149" s="86">
        <f>MSY!C190</f>
        <v>0.78889010261335923</v>
      </c>
      <c r="Z149" s="86">
        <f>MSY!D190</f>
        <v>1.8190510717144415</v>
      </c>
      <c r="AA149" s="86">
        <f>MSY!E190</f>
        <v>1.779693754307798</v>
      </c>
      <c r="AB149" s="86">
        <f>MSY!F190</f>
        <v>3.237353831097098</v>
      </c>
      <c r="AC149" s="86">
        <f>MSY!G190</f>
        <v>1.4039827884562333</v>
      </c>
      <c r="AD149" s="24">
        <f t="shared" si="9"/>
        <v>0.18960112992004061</v>
      </c>
      <c r="AE149" s="24">
        <f t="shared" si="10"/>
        <v>0.13960112992004056</v>
      </c>
      <c r="AH149">
        <f t="shared" si="8"/>
        <v>1.46</v>
      </c>
      <c r="AI149">
        <f t="shared" si="11"/>
        <v>3.237353831097098</v>
      </c>
    </row>
    <row r="150" spans="23:35" x14ac:dyDescent="0.3">
      <c r="W150" s="86">
        <f>MSY!A191</f>
        <v>1.47</v>
      </c>
      <c r="X150" s="86">
        <f>MSY!B191</f>
        <v>0.20978631377052842</v>
      </c>
      <c r="Y150" s="86">
        <f>MSY!C191</f>
        <v>0.78891549707477393</v>
      </c>
      <c r="Z150" s="86">
        <f>MSY!D191</f>
        <v>1.813755077440649</v>
      </c>
      <c r="AA150" s="86">
        <f>MSY!E191</f>
        <v>1.7704630622531516</v>
      </c>
      <c r="AB150" s="86">
        <f>MSY!F191</f>
        <v>3.2111863685827737</v>
      </c>
      <c r="AC150" s="86">
        <f>MSY!G191</f>
        <v>1.3967457468099715</v>
      </c>
      <c r="AD150" s="24">
        <f t="shared" si="9"/>
        <v>0.1902136862294716</v>
      </c>
      <c r="AE150" s="24">
        <f t="shared" si="10"/>
        <v>0.14021368622947156</v>
      </c>
      <c r="AH150">
        <f t="shared" si="8"/>
        <v>1.47</v>
      </c>
      <c r="AI150">
        <f t="shared" si="11"/>
        <v>3.2111863685827737</v>
      </c>
    </row>
    <row r="151" spans="23:35" x14ac:dyDescent="0.3">
      <c r="W151" s="86">
        <f>MSY!A192</f>
        <v>1.48</v>
      </c>
      <c r="X151" s="86">
        <f>MSY!B192</f>
        <v>0.20918045498848767</v>
      </c>
      <c r="Y151" s="86">
        <f>MSY!C192</f>
        <v>0.78893845892276049</v>
      </c>
      <c r="Z151" s="86">
        <f>MSY!D192</f>
        <v>1.808516988156424</v>
      </c>
      <c r="AA151" s="86">
        <f>MSY!E192</f>
        <v>1.7612801179019244</v>
      </c>
      <c r="AB151" s="86">
        <f>MSY!F192</f>
        <v>3.1853050141277799</v>
      </c>
      <c r="AC151" s="86">
        <f>MSY!G192</f>
        <v>1.3895416219488421</v>
      </c>
      <c r="AD151" s="24">
        <f t="shared" si="9"/>
        <v>0.19081954501151235</v>
      </c>
      <c r="AE151" s="24">
        <f t="shared" si="10"/>
        <v>0.14081954501151231</v>
      </c>
      <c r="AH151">
        <f t="shared" si="8"/>
        <v>1.48</v>
      </c>
      <c r="AI151">
        <f t="shared" si="11"/>
        <v>3.1853050141277799</v>
      </c>
    </row>
    <row r="152" spans="23:35" x14ac:dyDescent="0.3">
      <c r="W152" s="86">
        <f>MSY!A193</f>
        <v>1.49</v>
      </c>
      <c r="X152" s="86">
        <f>MSY!B193</f>
        <v>0.20858117373469906</v>
      </c>
      <c r="Y152" s="86">
        <f>MSY!C193</f>
        <v>0.78895905269694677</v>
      </c>
      <c r="Z152" s="86">
        <f>MSY!D193</f>
        <v>1.8033357663820475</v>
      </c>
      <c r="AA152" s="86">
        <f>MSY!E193</f>
        <v>1.7521443873388327</v>
      </c>
      <c r="AB152" s="86">
        <f>MSY!F193</f>
        <v>3.1597046415536769</v>
      </c>
      <c r="AC152" s="86">
        <f>MSY!G193</f>
        <v>1.3823701760231177</v>
      </c>
      <c r="AD152" s="24">
        <f t="shared" si="9"/>
        <v>0.19141882626530096</v>
      </c>
      <c r="AE152" s="24">
        <f t="shared" si="10"/>
        <v>0.14141882626530092</v>
      </c>
      <c r="AH152">
        <f t="shared" si="8"/>
        <v>1.49</v>
      </c>
      <c r="AI152">
        <f t="shared" si="11"/>
        <v>3.1597046415536769</v>
      </c>
    </row>
    <row r="153" spans="23:35" x14ac:dyDescent="0.3">
      <c r="W153" s="86">
        <f>MSY!A194</f>
        <v>1.5</v>
      </c>
      <c r="X153" s="86">
        <f>MSY!B194</f>
        <v>0.20798835294068493</v>
      </c>
      <c r="Y153" s="86">
        <f>MSY!C194</f>
        <v>0.78897734101365913</v>
      </c>
      <c r="Z153" s="86">
        <f>MSY!D194</f>
        <v>1.7982103999754875</v>
      </c>
      <c r="AA153" s="86">
        <f>MSY!E194</f>
        <v>1.7430553454245679</v>
      </c>
      <c r="AB153" s="86">
        <f>MSY!F194</f>
        <v>3.1343802498753233</v>
      </c>
      <c r="AC153" s="86">
        <f>MSY!G194</f>
        <v>1.3752311716727206</v>
      </c>
      <c r="AD153" s="24">
        <f t="shared" si="9"/>
        <v>0.19201164705931509</v>
      </c>
      <c r="AE153" s="24">
        <f t="shared" si="10"/>
        <v>0.14201164705931504</v>
      </c>
      <c r="AH153">
        <f t="shared" si="8"/>
        <v>1.5</v>
      </c>
      <c r="AI153">
        <f t="shared" si="11"/>
        <v>3.1343802498753233</v>
      </c>
    </row>
    <row r="154" spans="23:35" x14ac:dyDescent="0.3">
      <c r="W154" s="86">
        <f>MSY!A195</f>
        <v>1.51</v>
      </c>
      <c r="X154" s="86">
        <f>MSY!B195</f>
        <v>0.20740187837909746</v>
      </c>
      <c r="Y154" s="86">
        <f>MSY!C195</f>
        <v>0.78899338463429225</v>
      </c>
      <c r="Z154" s="86">
        <f>MSY!D195</f>
        <v>1.793139901358344</v>
      </c>
      <c r="AA154" s="86">
        <f>MSY!E195</f>
        <v>1.7340124756138033</v>
      </c>
      <c r="AB154" s="86">
        <f>MSY!F195</f>
        <v>3.1093269594762734</v>
      </c>
      <c r="AC154" s="86">
        <f>MSY!G195</f>
        <v>1.3681243721326228</v>
      </c>
      <c r="AD154" s="24">
        <f t="shared" si="9"/>
        <v>0.19259812162090256</v>
      </c>
      <c r="AE154" s="24">
        <f t="shared" si="10"/>
        <v>0.14259812162090252</v>
      </c>
      <c r="AH154">
        <f t="shared" si="8"/>
        <v>1.51</v>
      </c>
      <c r="AI154">
        <f t="shared" si="11"/>
        <v>3.1093269594762734</v>
      </c>
    </row>
    <row r="155" spans="23:35" x14ac:dyDescent="0.3">
      <c r="W155" s="86">
        <f>MSY!A196</f>
        <v>1.52</v>
      </c>
      <c r="X155" s="86">
        <f>MSY!B196</f>
        <v>0.20682163857744484</v>
      </c>
      <c r="Y155" s="86">
        <f>MSY!C196</f>
        <v>0.78900724253082388</v>
      </c>
      <c r="Z155" s="86">
        <f>MSY!D196</f>
        <v>1.7881233067699489</v>
      </c>
      <c r="AA155" s="86">
        <f>MSY!E196</f>
        <v>1.7250152697775489</v>
      </c>
      <c r="AB155" s="86">
        <f>MSY!F196</f>
        <v>3.0845400084232861</v>
      </c>
      <c r="AC155" s="86">
        <f>MSY!G196</f>
        <v>1.3610495413307491</v>
      </c>
      <c r="AD155" s="24">
        <f t="shared" si="9"/>
        <v>0.19317836142255518</v>
      </c>
      <c r="AE155" s="24">
        <f t="shared" si="10"/>
        <v>0.14317836142255513</v>
      </c>
      <c r="AH155">
        <f t="shared" si="8"/>
        <v>1.52</v>
      </c>
      <c r="AI155">
        <f t="shared" si="11"/>
        <v>3.0845400084232861</v>
      </c>
    </row>
    <row r="156" spans="23:35" x14ac:dyDescent="0.3">
      <c r="W156" s="86">
        <f>MSY!A197</f>
        <v>1.53</v>
      </c>
      <c r="X156" s="86">
        <f>MSY!B197</f>
        <v>0.20624752473493652</v>
      </c>
      <c r="Y156" s="86">
        <f>MSY!C197</f>
        <v>0.78901897194859683</v>
      </c>
      <c r="Z156" s="86">
        <f>MSY!D197</f>
        <v>1.7831596755484316</v>
      </c>
      <c r="AA156" s="86">
        <f>MSY!E197</f>
        <v>1.7160632280297312</v>
      </c>
      <c r="AB156" s="86">
        <f>MSY!F197</f>
        <v>3.0600147489140896</v>
      </c>
      <c r="AC156" s="86">
        <f>MSY!G197</f>
        <v>1.3540064439788091</v>
      </c>
      <c r="AD156" s="24">
        <f t="shared" si="9"/>
        <v>0.19375247526506351</v>
      </c>
      <c r="AE156" s="24">
        <f t="shared" si="10"/>
        <v>0.14375247526506346</v>
      </c>
      <c r="AH156">
        <f t="shared" si="8"/>
        <v>1.53</v>
      </c>
      <c r="AI156">
        <f t="shared" si="11"/>
        <v>3.0600147489140896</v>
      </c>
    </row>
    <row r="157" spans="23:35" x14ac:dyDescent="0.3">
      <c r="W157" s="86">
        <f>MSY!A198</f>
        <v>1.54</v>
      </c>
      <c r="X157" s="86">
        <f>MSY!B198</f>
        <v>0.20567943064231864</v>
      </c>
      <c r="Y157" s="86">
        <f>MSY!C198</f>
        <v>0.78902862846651822</v>
      </c>
      <c r="Z157" s="86">
        <f>MSY!D198</f>
        <v>1.7782480894376389</v>
      </c>
      <c r="AA157" s="86">
        <f>MSY!E198</f>
        <v>1.7071558585579039</v>
      </c>
      <c r="AB157" s="86">
        <f>MSY!F198</f>
        <v>3.0357466438528649</v>
      </c>
      <c r="AC157" s="86">
        <f>MSY!G198</f>
        <v>1.3469948456565242</v>
      </c>
      <c r="AD157" s="24">
        <f t="shared" si="9"/>
        <v>0.19432056935768138</v>
      </c>
      <c r="AE157" s="24">
        <f t="shared" si="10"/>
        <v>0.14432056935768134</v>
      </c>
      <c r="AH157">
        <f t="shared" si="8"/>
        <v>1.54</v>
      </c>
      <c r="AI157">
        <f t="shared" si="11"/>
        <v>3.0357466438528649</v>
      </c>
    </row>
    <row r="158" spans="23:35" x14ac:dyDescent="0.3">
      <c r="W158" s="86">
        <f>MSY!A199</f>
        <v>1.55</v>
      </c>
      <c r="X158" s="86">
        <f>MSY!B199</f>
        <v>0.20511725260457475</v>
      </c>
      <c r="Y158" s="86">
        <f>MSY!C199</f>
        <v>0.78903626605477506</v>
      </c>
      <c r="Z158" s="86">
        <f>MSY!D199</f>
        <v>1.7733876519188267</v>
      </c>
      <c r="AA158" s="86">
        <f>MSY!E199</f>
        <v>1.6982926774579814</v>
      </c>
      <c r="AB158" s="86">
        <f>MSY!F199</f>
        <v>3.011731263548147</v>
      </c>
      <c r="AC158" s="86">
        <f>MSY!G199</f>
        <v>1.3400145128896122</v>
      </c>
      <c r="AD158" s="24">
        <f t="shared" si="9"/>
        <v>0.19488274739542527</v>
      </c>
      <c r="AE158" s="24">
        <f t="shared" si="10"/>
        <v>0.14488274739542523</v>
      </c>
      <c r="AH158">
        <f t="shared" si="8"/>
        <v>1.55</v>
      </c>
      <c r="AI158">
        <f t="shared" si="11"/>
        <v>3.011731263548147</v>
      </c>
    </row>
    <row r="159" spans="23:35" x14ac:dyDescent="0.3">
      <c r="W159" s="86">
        <f>MSY!A200</f>
        <v>1.56</v>
      </c>
      <c r="X159" s="86">
        <f>MSY!B200</f>
        <v>0.20456088936637412</v>
      </c>
      <c r="Y159" s="86">
        <f>MSY!C200</f>
        <v>0.78904193713020665</v>
      </c>
      <c r="Z159" s="86">
        <f>MSY!D200</f>
        <v>1.7685774875661058</v>
      </c>
      <c r="AA159" s="86">
        <f>MSY!E200</f>
        <v>1.6894732085728899</v>
      </c>
      <c r="AB159" s="86">
        <f>MSY!F200</f>
        <v>2.9879642825280892</v>
      </c>
      <c r="AC159" s="86">
        <f>MSY!G200</f>
        <v>1.3330652132219387</v>
      </c>
      <c r="AD159" s="24">
        <f t="shared" si="9"/>
        <v>0.1954391106336259</v>
      </c>
      <c r="AE159" s="24">
        <f t="shared" si="10"/>
        <v>0.14543911063362586</v>
      </c>
      <c r="AH159">
        <f t="shared" si="8"/>
        <v>1.56</v>
      </c>
      <c r="AI159">
        <f t="shared" si="11"/>
        <v>2.9879642825280892</v>
      </c>
    </row>
    <row r="160" spans="23:35" x14ac:dyDescent="0.3">
      <c r="W160" s="86">
        <f>MSY!A201</f>
        <v>1.57</v>
      </c>
      <c r="X160" s="86">
        <f>MSY!B201</f>
        <v>0.20401024204015508</v>
      </c>
      <c r="Y160" s="86">
        <f>MSY!C201</f>
        <v>0.78904569260942403</v>
      </c>
      <c r="Z160" s="86">
        <f>MSY!D201</f>
        <v>1.7638167414246708</v>
      </c>
      <c r="AA160" s="86">
        <f>MSY!E201</f>
        <v>1.6806969833350442</v>
      </c>
      <c r="AB160" s="86">
        <f>MSY!F201</f>
        <v>2.9644414764682918</v>
      </c>
      <c r="AC160" s="86">
        <f>MSY!G201</f>
        <v>1.3261467152821695</v>
      </c>
      <c r="AD160" s="24">
        <f t="shared" si="9"/>
        <v>0.19598975795984494</v>
      </c>
      <c r="AE160" s="24">
        <f t="shared" si="10"/>
        <v>0.1459897579598449</v>
      </c>
      <c r="AH160">
        <f t="shared" si="8"/>
        <v>1.57</v>
      </c>
      <c r="AI160">
        <f t="shared" si="11"/>
        <v>2.9644414764682918</v>
      </c>
    </row>
    <row r="161" spans="23:35" x14ac:dyDescent="0.3">
      <c r="W161" s="86">
        <f>MSY!A202</f>
        <v>1.58</v>
      </c>
      <c r="X161" s="86">
        <f>MSY!B202</f>
        <v>0.20346521403673554</v>
      </c>
      <c r="Y161" s="86">
        <f>MSY!C202</f>
        <v>0.7890475819597963</v>
      </c>
      <c r="Z161" s="86">
        <f>MSY!D202</f>
        <v>1.7591045784108774</v>
      </c>
      <c r="AA161" s="86">
        <f>MSY!E202</f>
        <v>1.6719635406125495</v>
      </c>
      <c r="AB161" s="86">
        <f>MSY!F202</f>
        <v>2.9411587192275968</v>
      </c>
      <c r="AC161" s="86">
        <f>MSY!G202</f>
        <v>1.3192587888452718</v>
      </c>
      <c r="AD161" s="24">
        <f t="shared" si="9"/>
        <v>0.19653478596326449</v>
      </c>
      <c r="AE161" s="24">
        <f t="shared" si="10"/>
        <v>0.14653478596326444</v>
      </c>
      <c r="AH161">
        <f t="shared" si="8"/>
        <v>1.58</v>
      </c>
      <c r="AI161">
        <f t="shared" si="11"/>
        <v>2.9411587192275968</v>
      </c>
    </row>
    <row r="162" spans="23:35" x14ac:dyDescent="0.3">
      <c r="W162" s="86">
        <f>MSY!A203</f>
        <v>1.59</v>
      </c>
      <c r="X162" s="86">
        <f>MSY!B203</f>
        <v>0.20292571099834836</v>
      </c>
      <c r="Y162" s="86">
        <f>MSY!C203</f>
        <v>0.78904765324838999</v>
      </c>
      <c r="Z162" s="86">
        <f>MSY!D203</f>
        <v>1.7544401827332847</v>
      </c>
      <c r="AA162" s="86">
        <f>MSY!E203</f>
        <v>1.6632724265590273</v>
      </c>
      <c r="AB162" s="86">
        <f>MSY!F203</f>
        <v>2.9181119799874535</v>
      </c>
      <c r="AC162" s="86">
        <f>MSY!G203</f>
        <v>1.3124012048891556</v>
      </c>
      <c r="AD162" s="24">
        <f t="shared" si="9"/>
        <v>0.19707428900165166</v>
      </c>
      <c r="AE162" s="24">
        <f t="shared" si="10"/>
        <v>0.14707428900165162</v>
      </c>
      <c r="AH162">
        <f t="shared" si="8"/>
        <v>1.59</v>
      </c>
      <c r="AI162">
        <f t="shared" si="11"/>
        <v>2.9181119799874535</v>
      </c>
    </row>
    <row r="163" spans="23:35" x14ac:dyDescent="0.3">
      <c r="W163" s="86">
        <f>MSY!A204</f>
        <v>1.6</v>
      </c>
      <c r="X163" s="86">
        <f>MSY!B204</f>
        <v>0.20239164073400459</v>
      </c>
      <c r="Y163" s="86">
        <f>MSY!C204</f>
        <v>0.78904595318896831</v>
      </c>
      <c r="Z163" s="86">
        <f>MSY!D204</f>
        <v>1.7498227573338225</v>
      </c>
      <c r="AA163" s="86">
        <f>MSY!E204</f>
        <v>1.6546231944669989</v>
      </c>
      <c r="AB163" s="86">
        <f>MSY!F204</f>
        <v>2.8952973204907417</v>
      </c>
      <c r="AC163" s="86">
        <f>MSY!G204</f>
        <v>1.3055737356467889</v>
      </c>
      <c r="AD163" s="24">
        <f t="shared" si="9"/>
        <v>0.19760835926599543</v>
      </c>
      <c r="AE163" s="24">
        <f t="shared" si="10"/>
        <v>0.14760835926599539</v>
      </c>
      <c r="AH163">
        <f t="shared" si="8"/>
        <v>1.6</v>
      </c>
      <c r="AI163">
        <f t="shared" si="11"/>
        <v>2.8952973204907417</v>
      </c>
    </row>
    <row r="164" spans="23:35" x14ac:dyDescent="0.3">
      <c r="W164" s="86">
        <f>MSY!A205</f>
        <v>1.61</v>
      </c>
      <c r="X164" s="86">
        <f>MSY!B205</f>
        <v>0.20186291315708896</v>
      </c>
      <c r="Y164" s="86">
        <f>MSY!C205</f>
        <v>0.78904252718712631</v>
      </c>
      <c r="Z164" s="86">
        <f>MSY!D205</f>
        <v>1.7452515233482604</v>
      </c>
      <c r="AA164" s="86">
        <f>MSY!E205</f>
        <v>1.6460154046246895</v>
      </c>
      <c r="AB164" s="86">
        <f>MSY!F205</f>
        <v>2.8727108923759426</v>
      </c>
      <c r="AC164" s="86">
        <f>MSY!G205</f>
        <v>1.2987761546540053</v>
      </c>
      <c r="AD164" s="24">
        <f t="shared" si="9"/>
        <v>0.19813708684291106</v>
      </c>
      <c r="AE164" s="24">
        <f t="shared" si="10"/>
        <v>0.14813708684291102</v>
      </c>
      <c r="AH164">
        <f t="shared" si="8"/>
        <v>1.61</v>
      </c>
      <c r="AI164">
        <f t="shared" si="11"/>
        <v>2.8727108923759426</v>
      </c>
    </row>
    <row r="165" spans="23:35" x14ac:dyDescent="0.3">
      <c r="W165" s="86">
        <f>MSY!A206</f>
        <v>1.62</v>
      </c>
      <c r="X165" s="86">
        <f>MSY!B206</f>
        <v>0.20133944022510139</v>
      </c>
      <c r="Y165" s="86">
        <f>MSY!C206</f>
        <v>0.78903741938365779</v>
      </c>
      <c r="Z165" s="86">
        <f>MSY!D206</f>
        <v>1.7407257195852288</v>
      </c>
      <c r="AA165" s="86">
        <f>MSY!E206</f>
        <v>1.6374486241762214</v>
      </c>
      <c r="AB165" s="86">
        <f>MSY!F206</f>
        <v>2.8503489346029962</v>
      </c>
      <c r="AC165" s="86">
        <f>MSY!G206</f>
        <v>1.2920082367933265</v>
      </c>
      <c r="AD165" s="24">
        <f t="shared" si="9"/>
        <v>0.19866055977489863</v>
      </c>
      <c r="AE165" s="24">
        <f t="shared" si="10"/>
        <v>0.14866055977489859</v>
      </c>
      <c r="AH165">
        <f t="shared" si="8"/>
        <v>1.62</v>
      </c>
      <c r="AI165">
        <f t="shared" si="11"/>
        <v>2.8503489346029962</v>
      </c>
    </row>
    <row r="166" spans="23:35" x14ac:dyDescent="0.3">
      <c r="W166" s="86">
        <f>MSY!A207</f>
        <v>1.63</v>
      </c>
      <c r="X166" s="86">
        <f>MSY!B207</f>
        <v>0.20082113588145756</v>
      </c>
      <c r="Y166" s="86">
        <f>MSY!C207</f>
        <v>0.78903067269622773</v>
      </c>
      <c r="Z166" s="86">
        <f>MSY!D207</f>
        <v>1.736244602023042</v>
      </c>
      <c r="AA166" s="86">
        <f>MSY!E207</f>
        <v>1.6289224269850695</v>
      </c>
      <c r="AB166" s="86">
        <f>MSY!F207</f>
        <v>2.8282077709670994</v>
      </c>
      <c r="AC166" s="86">
        <f>MSY!G207</f>
        <v>1.2852697583340014</v>
      </c>
      <c r="AD166" s="24">
        <f t="shared" si="9"/>
        <v>0.19917886411854246</v>
      </c>
      <c r="AE166" s="24">
        <f t="shared" si="10"/>
        <v>0.14917886411854242</v>
      </c>
      <c r="AH166">
        <f t="shared" si="8"/>
        <v>1.63</v>
      </c>
      <c r="AI166">
        <f t="shared" si="11"/>
        <v>2.8282077709670994</v>
      </c>
    </row>
    <row r="167" spans="23:35" x14ac:dyDescent="0.3">
      <c r="W167" s="86">
        <f>MSY!A208</f>
        <v>1.64</v>
      </c>
      <c r="X167" s="86">
        <f>MSY!B208</f>
        <v>0.20030791599926717</v>
      </c>
      <c r="Y167" s="86">
        <f>MSY!C208</f>
        <v>0.78902232885942603</v>
      </c>
      <c r="Z167" s="86">
        <f>MSY!D208</f>
        <v>1.7318074433236212</v>
      </c>
      <c r="AA167" s="86">
        <f>MSY!E208</f>
        <v>1.6204363935007118</v>
      </c>
      <c r="AB167" s="86">
        <f>MSY!F208</f>
        <v>2.8062838076970174</v>
      </c>
      <c r="AC167" s="86">
        <f>MSY!G208</f>
        <v>1.2785604969685009</v>
      </c>
      <c r="AD167" s="24">
        <f t="shared" si="9"/>
        <v>0.19969208400073285</v>
      </c>
      <c r="AE167" s="24">
        <f t="shared" si="10"/>
        <v>0.14969208400073281</v>
      </c>
      <c r="AH167">
        <f t="shared" si="8"/>
        <v>1.64</v>
      </c>
      <c r="AI167">
        <f t="shared" si="11"/>
        <v>2.8062838076970174</v>
      </c>
    </row>
    <row r="168" spans="23:35" x14ac:dyDescent="0.3">
      <c r="W168" s="86">
        <f>MSY!A209</f>
        <v>1.65</v>
      </c>
      <c r="X168" s="86">
        <f>MSY!B209</f>
        <v>0.19979969832701328</v>
      </c>
      <c r="Y168" s="86">
        <f>MSY!C209</f>
        <v>0.78901242846328024</v>
      </c>
      <c r="Z168" s="86">
        <f>MSY!D209</f>
        <v>1.7274135323628526</v>
      </c>
      <c r="AA168" s="86">
        <f>MSY!E209</f>
        <v>1.611990110628386</v>
      </c>
      <c r="AB168" s="86">
        <f>MSY!F209</f>
        <v>2.7845735311345661</v>
      </c>
      <c r="AC168" s="86">
        <f>MSY!G209</f>
        <v>1.2718802318456945</v>
      </c>
      <c r="AD168" s="24">
        <f t="shared" si="9"/>
        <v>0.20020030167298675</v>
      </c>
      <c r="AE168" s="24">
        <f t="shared" si="10"/>
        <v>0.1502003016729867</v>
      </c>
      <c r="AH168">
        <f t="shared" si="8"/>
        <v>1.65</v>
      </c>
      <c r="AI168">
        <f t="shared" si="11"/>
        <v>2.7845735311345661</v>
      </c>
    </row>
    <row r="169" spans="23:35" x14ac:dyDescent="0.3">
      <c r="W169" s="86">
        <f>MSY!A210</f>
        <v>1.66</v>
      </c>
      <c r="X169" s="86">
        <f>MSY!B210</f>
        <v>0.1992964024360577</v>
      </c>
      <c r="Y169" s="86">
        <f>MSY!C210</f>
        <v>0.78900101099028941</v>
      </c>
      <c r="Z169" s="86">
        <f>MSY!D210</f>
        <v>1.7230621737767335</v>
      </c>
      <c r="AA169" s="86">
        <f>MSY!E210</f>
        <v>1.6035831716018922</v>
      </c>
      <c r="AB169" s="86">
        <f>MSY!F210</f>
        <v>2.7630735054921454</v>
      </c>
      <c r="AC169" s="86">
        <f>MSY!G210</f>
        <v>1.2652287436009078</v>
      </c>
      <c r="AD169" s="24">
        <f t="shared" si="9"/>
        <v>0.20070359756394232</v>
      </c>
      <c r="AE169" s="24">
        <f t="shared" si="10"/>
        <v>0.15070359756394228</v>
      </c>
      <c r="AH169">
        <f t="shared" si="8"/>
        <v>1.66</v>
      </c>
      <c r="AI169">
        <f t="shared" si="11"/>
        <v>2.7630735054921454</v>
      </c>
    </row>
    <row r="170" spans="23:35" x14ac:dyDescent="0.3">
      <c r="W170" s="86">
        <f>MSY!A211</f>
        <v>1.67</v>
      </c>
      <c r="X170" s="86">
        <f>MSY!B211</f>
        <v>0.1987979496699018</v>
      </c>
      <c r="Y170" s="86">
        <f>MSY!C211</f>
        <v>0.78898811485104847</v>
      </c>
      <c r="Z170" s="86">
        <f>MSY!D211</f>
        <v>1.7187526875226944</v>
      </c>
      <c r="AA170" s="86">
        <f>MSY!E211</f>
        <v>1.5952151758593354</v>
      </c>
      <c r="AB170" s="86">
        <f>MSY!F211</f>
        <v>2.7417803706852202</v>
      </c>
      <c r="AC170" s="86">
        <f>MSY!G211</f>
        <v>1.2586058143830408</v>
      </c>
      <c r="AD170" s="24">
        <f t="shared" si="9"/>
        <v>0.20120205033009822</v>
      </c>
      <c r="AE170" s="24">
        <f t="shared" si="10"/>
        <v>0.15120205033009818</v>
      </c>
      <c r="AH170">
        <f t="shared" si="8"/>
        <v>1.67</v>
      </c>
      <c r="AI170">
        <f t="shared" si="11"/>
        <v>2.7417803706852202</v>
      </c>
    </row>
    <row r="171" spans="23:35" x14ac:dyDescent="0.3">
      <c r="W171" s="86">
        <f>MSY!A212</f>
        <v>1.68</v>
      </c>
      <c r="X171" s="86">
        <f>MSY!B212</f>
        <v>0.19830426309513469</v>
      </c>
      <c r="Y171" s="86">
        <f>MSY!C212</f>
        <v>0.7889737774185257</v>
      </c>
      <c r="Z171" s="86">
        <f>MSY!D212</f>
        <v>1.714484408455512</v>
      </c>
      <c r="AA171" s="86">
        <f>MSY!E212</f>
        <v>1.5868857289217611</v>
      </c>
      <c r="AB171" s="86">
        <f>MSY!F212</f>
        <v>2.7206908402369194</v>
      </c>
      <c r="AC171" s="86">
        <f>MSY!G212</f>
        <v>1.2520112278789524</v>
      </c>
      <c r="AD171" s="24">
        <f t="shared" si="9"/>
        <v>0.20169573690486534</v>
      </c>
      <c r="AE171" s="24">
        <f t="shared" si="10"/>
        <v>0.15169573690486529</v>
      </c>
      <c r="AH171">
        <f t="shared" si="8"/>
        <v>1.68</v>
      </c>
      <c r="AI171">
        <f t="shared" si="11"/>
        <v>2.7206908402369194</v>
      </c>
    </row>
    <row r="172" spans="23:35" x14ac:dyDescent="0.3">
      <c r="W172" s="86">
        <f>MSY!A213</f>
        <v>1.69</v>
      </c>
      <c r="X172" s="86">
        <f>MSY!B213</f>
        <v>0.19781526745400385</v>
      </c>
      <c r="Y172" s="86">
        <f>MSY!C213</f>
        <v>0.78895803506104578</v>
      </c>
      <c r="Z172" s="86">
        <f>MSY!D213</f>
        <v>1.7102566859172459</v>
      </c>
      <c r="AA172" s="86">
        <f>MSY!E213</f>
        <v>1.5785944422745837</v>
      </c>
      <c r="AB172" s="86">
        <f>MSY!F213</f>
        <v>2.6998016992519127</v>
      </c>
      <c r="AC172" s="86">
        <f>MSY!G213</f>
        <v>1.2454447693352431</v>
      </c>
      <c r="AD172" s="24">
        <f t="shared" si="9"/>
        <v>0.20218473254599617</v>
      </c>
      <c r="AE172" s="24">
        <f t="shared" si="10"/>
        <v>0.15218473254599613</v>
      </c>
      <c r="AH172">
        <f t="shared" si="8"/>
        <v>1.69</v>
      </c>
      <c r="AI172">
        <f t="shared" si="11"/>
        <v>2.6998016992519127</v>
      </c>
    </row>
    <row r="173" spans="23:35" x14ac:dyDescent="0.3">
      <c r="W173" s="86">
        <f>MSY!A214</f>
        <v>1.7</v>
      </c>
      <c r="X173" s="86">
        <f>MSY!B214</f>
        <v>0.1973308891185466</v>
      </c>
      <c r="Y173" s="86">
        <f>MSY!C214</f>
        <v>0.78894092317404563</v>
      </c>
      <c r="Z173" s="86">
        <f>MSY!D214</f>
        <v>1.7060688833406736</v>
      </c>
      <c r="AA173" s="86">
        <f>MSY!E214</f>
        <v>1.5703409332517617</v>
      </c>
      <c r="AB173" s="86">
        <f>MSY!F214</f>
        <v>2.6791098024569844</v>
      </c>
      <c r="AC173" s="86">
        <f>MSY!G214</f>
        <v>1.2389062255776373</v>
      </c>
      <c r="AD173" s="24">
        <f t="shared" si="9"/>
        <v>0.20266911088145342</v>
      </c>
      <c r="AE173" s="24">
        <f t="shared" si="10"/>
        <v>0.15266911088145338</v>
      </c>
      <c r="AH173">
        <f t="shared" si="8"/>
        <v>1.7</v>
      </c>
      <c r="AI173">
        <f t="shared" si="11"/>
        <v>2.6791098024569844</v>
      </c>
    </row>
    <row r="174" spans="23:35" x14ac:dyDescent="0.3">
      <c r="W174" s="86">
        <f>MSY!A215</f>
        <v>1.71</v>
      </c>
      <c r="X174" s="86">
        <f>MSY!B215</f>
        <v>0.19685105604622252</v>
      </c>
      <c r="Y174" s="86">
        <f>MSY!C215</f>
        <v>0.78892247621064227</v>
      </c>
      <c r="Z174" s="86">
        <f>MSY!D215</f>
        <v>1.7019203778656991</v>
      </c>
      <c r="AA174" s="86">
        <f>MSY!E215</f>
        <v>1.562124824922632</v>
      </c>
      <c r="AB174" s="86">
        <f>MSY!F215</f>
        <v>2.6586120723057149</v>
      </c>
      <c r="AC174" s="86">
        <f>MSY!G215</f>
        <v>1.2323953850280789</v>
      </c>
      <c r="AD174" s="24">
        <f t="shared" si="9"/>
        <v>0.2031489439537775</v>
      </c>
      <c r="AE174" s="24">
        <f t="shared" si="10"/>
        <v>0.15314894395377746</v>
      </c>
      <c r="AH174">
        <f t="shared" si="8"/>
        <v>1.71</v>
      </c>
      <c r="AI174">
        <f t="shared" si="11"/>
        <v>2.6586120723057149</v>
      </c>
    </row>
    <row r="175" spans="23:35" x14ac:dyDescent="0.3">
      <c r="W175" s="86">
        <f>MSY!A216</f>
        <v>1.72</v>
      </c>
      <c r="X175" s="86">
        <f>MSY!B216</f>
        <v>0.19637569773699026</v>
      </c>
      <c r="Y175" s="86">
        <f>MSY!C216</f>
        <v>0.78890272771107861</v>
      </c>
      <c r="Z175" s="86">
        <f>MSY!D216</f>
        <v>1.6978105599682518</v>
      </c>
      <c r="AA175" s="86">
        <f>MSY!E216</f>
        <v>1.5539457459813475</v>
      </c>
      <c r="AB175" s="86">
        <f>MSY!F216</f>
        <v>2.6383054971448745</v>
      </c>
      <c r="AC175" s="86">
        <f>MSY!G216</f>
        <v>1.2259120377197119</v>
      </c>
      <c r="AD175" s="24">
        <f t="shared" si="9"/>
        <v>0.20362430226300976</v>
      </c>
      <c r="AE175" s="24">
        <f t="shared" si="10"/>
        <v>0.15362430226300972</v>
      </c>
      <c r="AH175">
        <f t="shared" si="8"/>
        <v>1.72</v>
      </c>
      <c r="AI175">
        <f t="shared" si="11"/>
        <v>2.6383054971448745</v>
      </c>
    </row>
    <row r="176" spans="23:35" x14ac:dyDescent="0.3">
      <c r="W176" s="86">
        <f>MSY!A217</f>
        <v>1.73</v>
      </c>
      <c r="X176" s="86">
        <f>MSY!B217</f>
        <v>0.19590474519177409</v>
      </c>
      <c r="Y176" s="86">
        <f>MSY!C217</f>
        <v>0.7888817103310809</v>
      </c>
      <c r="Z176" s="86">
        <f>MSY!D217</f>
        <v>1.6937388331011989</v>
      </c>
      <c r="AA176" s="86">
        <f>MSY!E217</f>
        <v>1.5458033306388357</v>
      </c>
      <c r="AB176" s="86">
        <f>MSY!F217</f>
        <v>2.6181871294401682</v>
      </c>
      <c r="AC176" s="86">
        <f>MSY!G217</f>
        <v>1.219455975309846</v>
      </c>
      <c r="AD176" s="24">
        <f t="shared" si="9"/>
        <v>0.20409525480822593</v>
      </c>
      <c r="AE176" s="24">
        <f t="shared" si="10"/>
        <v>0.15409525480822589</v>
      </c>
      <c r="AH176">
        <f t="shared" si="8"/>
        <v>1.73</v>
      </c>
      <c r="AI176">
        <f t="shared" si="11"/>
        <v>2.6181871294401682</v>
      </c>
    </row>
    <row r="177" spans="23:35" x14ac:dyDescent="0.3">
      <c r="W177" s="86">
        <f>MSY!A218</f>
        <v>1.74</v>
      </c>
      <c r="X177" s="86">
        <f>MSY!B218</f>
        <v>0.19543813087226836</v>
      </c>
      <c r="Y177" s="86">
        <f>MSY!C218</f>
        <v>0.78885945586918504</v>
      </c>
      <c r="Z177" s="86">
        <f>MSY!D218</f>
        <v>1.6897046133468265</v>
      </c>
      <c r="AA177" s="86">
        <f>MSY!E218</f>
        <v>1.5376972185172355</v>
      </c>
      <c r="AB177" s="86">
        <f>MSY!F218</f>
        <v>2.5982540840591559</v>
      </c>
      <c r="AC177" s="86">
        <f>MSY!G218</f>
        <v>1.2130269910910658</v>
      </c>
      <c r="AD177" s="24">
        <f t="shared" si="9"/>
        <v>0.20456186912773167</v>
      </c>
      <c r="AE177" s="24">
        <f t="shared" si="10"/>
        <v>0.15456186912773162</v>
      </c>
      <c r="AH177">
        <f t="shared" si="8"/>
        <v>1.74</v>
      </c>
      <c r="AI177">
        <f t="shared" si="11"/>
        <v>2.5982540840591559</v>
      </c>
    </row>
    <row r="178" spans="23:35" x14ac:dyDescent="0.3">
      <c r="W178" s="86">
        <f>MSY!A219</f>
        <v>1.75</v>
      </c>
      <c r="X178" s="86">
        <f>MSY!B219</f>
        <v>0.19497578866203025</v>
      </c>
      <c r="Y178" s="86">
        <f>MSY!C219</f>
        <v>0.78883599529306825</v>
      </c>
      <c r="Z178" s="86">
        <f>MSY!D219</f>
        <v>1.6857073290804574</v>
      </c>
      <c r="AA178" s="86">
        <f>MSY!E219</f>
        <v>1.5296270545467363</v>
      </c>
      <c r="AB178" s="86">
        <f>MSY!F219</f>
        <v>2.578503536609186</v>
      </c>
      <c r="AC178" s="86">
        <f>MSY!G219</f>
        <v>1.2066248800005792</v>
      </c>
      <c r="AD178" s="24">
        <f t="shared" si="9"/>
        <v>0.20502421133796978</v>
      </c>
      <c r="AE178" s="24">
        <f t="shared" si="10"/>
        <v>0.15502421133796973</v>
      </c>
      <c r="AH178">
        <f t="shared" si="8"/>
        <v>1.75</v>
      </c>
      <c r="AI178">
        <f t="shared" si="11"/>
        <v>2.578503536609186</v>
      </c>
    </row>
    <row r="179" spans="23:35" x14ac:dyDescent="0.3">
      <c r="W179" s="86">
        <f>MSY!A220</f>
        <v>1.76</v>
      </c>
      <c r="X179" s="86">
        <f>MSY!B220</f>
        <v>0.19451765382881223</v>
      </c>
      <c r="Y179" s="86">
        <f>MSY!C220</f>
        <v>0.78881135876493236</v>
      </c>
      <c r="Z179" s="86">
        <f>MSY!D220</f>
        <v>1.6817464206447885</v>
      </c>
      <c r="AA179" s="86">
        <f>MSY!E220</f>
        <v>1.5215924888647556</v>
      </c>
      <c r="AB179" s="86">
        <f>MSY!F220</f>
        <v>2.558932721828298</v>
      </c>
      <c r="AC179" s="86">
        <f>MSY!G220</f>
        <v>1.200249438627923</v>
      </c>
      <c r="AD179" s="24">
        <f t="shared" si="9"/>
        <v>0.2054823461711878</v>
      </c>
      <c r="AE179" s="24">
        <f t="shared" si="10"/>
        <v>0.15548234617118775</v>
      </c>
      <c r="AH179">
        <f t="shared" si="8"/>
        <v>1.76</v>
      </c>
      <c r="AI179">
        <f t="shared" si="11"/>
        <v>2.558932721828298</v>
      </c>
    </row>
    <row r="180" spans="23:35" x14ac:dyDescent="0.3">
      <c r="W180" s="86">
        <f>MSY!A221</f>
        <v>1.77</v>
      </c>
      <c r="X180" s="86">
        <f>MSY!B221</f>
        <v>0.19406366298808897</v>
      </c>
      <c r="Y180" s="86">
        <f>MSY!C221</f>
        <v>0.78878557566597496</v>
      </c>
      <c r="Z180" s="86">
        <f>MSY!D221</f>
        <v>1.6778213400345534</v>
      </c>
      <c r="AA180" s="86">
        <f>MSY!E221</f>
        <v>1.5135931767174018</v>
      </c>
      <c r="AB180" s="86">
        <f>MSY!F221</f>
        <v>2.5395389320271478</v>
      </c>
      <c r="AC180" s="86">
        <f>MSY!G221</f>
        <v>1.1939004652211276</v>
      </c>
      <c r="AD180" s="24">
        <f t="shared" si="9"/>
        <v>0.20593633701191105</v>
      </c>
      <c r="AE180" s="24">
        <f t="shared" si="10"/>
        <v>0.15593633701191101</v>
      </c>
      <c r="AH180">
        <f t="shared" si="8"/>
        <v>1.77</v>
      </c>
      <c r="AI180">
        <f t="shared" si="11"/>
        <v>2.5395389320271478</v>
      </c>
    </row>
    <row r="181" spans="23:35" x14ac:dyDescent="0.3">
      <c r="W181" s="86">
        <f>MSY!A222</f>
        <v>1.78</v>
      </c>
      <c r="X181" s="86">
        <f>MSY!B222</f>
        <v>0.19361375406773551</v>
      </c>
      <c r="Y181" s="86">
        <f>MSY!C222</f>
        <v>0.78875867461998772</v>
      </c>
      <c r="Z181" s="86">
        <f>MSY!D222</f>
        <v>1.6739315505911414</v>
      </c>
      <c r="AA181" s="86">
        <f>MSY!E222</f>
        <v>1.5056287783631765</v>
      </c>
      <c r="AB181" s="86">
        <f>MSY!F222</f>
        <v>2.5203195155801179</v>
      </c>
      <c r="AC181" s="86">
        <f>MSY!G222</f>
        <v>1.1875777596914503</v>
      </c>
      <c r="AD181" s="24">
        <f t="shared" si="9"/>
        <v>0.20638624593226451</v>
      </c>
      <c r="AE181" s="24">
        <f t="shared" si="10"/>
        <v>0.15638624593226447</v>
      </c>
      <c r="AH181">
        <f t="shared" si="8"/>
        <v>1.78</v>
      </c>
      <c r="AI181">
        <f t="shared" si="11"/>
        <v>2.5203195155801179</v>
      </c>
    </row>
    <row r="182" spans="23:35" x14ac:dyDescent="0.3">
      <c r="W182" s="86">
        <f>MSY!A223</f>
        <v>1.79</v>
      </c>
      <c r="X182" s="86">
        <f>MSY!B223</f>
        <v>0.19316786627381274</v>
      </c>
      <c r="Y182" s="86">
        <f>MSY!C223</f>
        <v>0.78873068351611819</v>
      </c>
      <c r="Z182" s="86">
        <f>MSY!D223</f>
        <v>1.6700765267067863</v>
      </c>
      <c r="AA182" s="86">
        <f>MSY!E223</f>
        <v>1.4976989589788237</v>
      </c>
      <c r="AB182" s="86">
        <f>MSY!F223</f>
        <v>2.5012718754637233</v>
      </c>
      <c r="AC182" s="86">
        <f>MSY!G223</f>
        <v>1.1812811236167462</v>
      </c>
      <c r="AD182" s="24">
        <f t="shared" si="9"/>
        <v>0.20683213372618728</v>
      </c>
      <c r="AE182" s="24">
        <f t="shared" si="10"/>
        <v>0.15683213372618723</v>
      </c>
      <c r="AH182">
        <f t="shared" si="8"/>
        <v>1.79</v>
      </c>
      <c r="AI182">
        <f t="shared" si="11"/>
        <v>2.5012718754637233</v>
      </c>
    </row>
    <row r="183" spans="23:35" x14ac:dyDescent="0.3">
      <c r="W183" s="86">
        <f>MSY!A224</f>
        <v>1.8</v>
      </c>
      <c r="X183" s="86">
        <f>MSY!B224</f>
        <v>0.1927259400574225</v>
      </c>
      <c r="Y183" s="86">
        <f>MSY!C224</f>
        <v>0.78870162953082934</v>
      </c>
      <c r="Z183" s="86">
        <f>MSY!D224</f>
        <v>1.6662557535380051</v>
      </c>
      <c r="AA183" s="86">
        <f>MSY!E224</f>
        <v>1.4898033885673163</v>
      </c>
      <c r="AB183" s="86">
        <f>MSY!F224</f>
        <v>2.4823934678407071</v>
      </c>
      <c r="AC183" s="86">
        <f>MSY!G224</f>
        <v>1.1750103602435937</v>
      </c>
      <c r="AD183" s="24">
        <f t="shared" si="9"/>
        <v>0.20727405994257753</v>
      </c>
      <c r="AE183" s="24">
        <f t="shared" si="10"/>
        <v>0.15727405994257748</v>
      </c>
      <c r="AH183">
        <f t="shared" si="8"/>
        <v>1.8</v>
      </c>
      <c r="AI183">
        <f t="shared" si="11"/>
        <v>2.4823934678407071</v>
      </c>
    </row>
    <row r="184" spans="23:35" x14ac:dyDescent="0.3">
      <c r="W184" s="86">
        <f>MSY!A225</f>
        <v>1.81</v>
      </c>
      <c r="X184" s="86">
        <f>MSY!B225</f>
        <v>0.19228791708259099</v>
      </c>
      <c r="Y184" s="86">
        <f>MSY!C225</f>
        <v>0.78867153914908716</v>
      </c>
      <c r="Z184" s="86">
        <f>MSY!D225</f>
        <v>1.6624687267279277</v>
      </c>
      <c r="AA184" s="86">
        <f>MSY!E225</f>
        <v>1.4819417418678889</v>
      </c>
      <c r="AB184" s="86">
        <f>MSY!F225</f>
        <v>2.4636818006880765</v>
      </c>
      <c r="AC184" s="86">
        <f>MSY!G225</f>
        <v>1.1687652744882271</v>
      </c>
      <c r="AD184" s="24">
        <f t="shared" si="9"/>
        <v>0.20771208291740903</v>
      </c>
      <c r="AE184" s="24">
        <f t="shared" si="10"/>
        <v>0.15771208291740899</v>
      </c>
      <c r="AH184">
        <f t="shared" si="8"/>
        <v>1.81</v>
      </c>
      <c r="AI184">
        <f t="shared" si="11"/>
        <v>2.4636818006880765</v>
      </c>
    </row>
    <row r="185" spans="23:35" x14ac:dyDescent="0.3">
      <c r="W185" s="86">
        <f>MSY!A226</f>
        <v>1.82</v>
      </c>
      <c r="X185" s="86">
        <f>MSY!B226</f>
        <v>0.19185374019514573</v>
      </c>
      <c r="Y185" s="86">
        <f>MSY!C226</f>
        <v>0.78864043818481255</v>
      </c>
      <c r="Z185" s="86">
        <f>MSY!D226</f>
        <v>1.6587149521372142</v>
      </c>
      <c r="AA185" s="86">
        <f>MSY!E226</f>
        <v>1.4741136982680922</v>
      </c>
      <c r="AB185" s="86">
        <f>MSY!F226</f>
        <v>2.4451344324675701</v>
      </c>
      <c r="AC185" s="86">
        <f>MSY!G226</f>
        <v>1.1625456729363828</v>
      </c>
      <c r="AD185" s="24">
        <f t="shared" si="9"/>
        <v>0.20814625980485429</v>
      </c>
      <c r="AE185" s="24">
        <f t="shared" si="10"/>
        <v>0.15814625980485425</v>
      </c>
      <c r="AH185">
        <f t="shared" si="8"/>
        <v>1.82</v>
      </c>
      <c r="AI185">
        <f t="shared" si="11"/>
        <v>2.4451344324675701</v>
      </c>
    </row>
    <row r="186" spans="23:35" x14ac:dyDescent="0.3">
      <c r="W186" s="86">
        <f>MSY!A227</f>
        <v>1.83</v>
      </c>
      <c r="X186" s="86">
        <f>MSY!B227</f>
        <v>0.19142335339254885</v>
      </c>
      <c r="Y186" s="86">
        <f>MSY!C227</f>
        <v>0.78860835180062205</v>
      </c>
      <c r="Z186" s="86">
        <f>MSY!D227</f>
        <v>1.6549939455832434</v>
      </c>
      <c r="AA186" s="86">
        <f>MSY!E227</f>
        <v>1.4663189417178015</v>
      </c>
      <c r="AB186" s="86">
        <f>MSY!F227</f>
        <v>2.4267489708369903</v>
      </c>
      <c r="AC186" s="86">
        <f>MSY!G227</f>
        <v>1.1563513638421079</v>
      </c>
      <c r="AD186" s="24">
        <f t="shared" si="9"/>
        <v>0.20857664660745118</v>
      </c>
      <c r="AE186" s="24">
        <f t="shared" si="10"/>
        <v>0.15857664660745113</v>
      </c>
      <c r="AH186">
        <f t="shared" si="8"/>
        <v>1.83</v>
      </c>
      <c r="AI186">
        <f t="shared" si="11"/>
        <v>2.4267489708369903</v>
      </c>
    </row>
    <row r="187" spans="23:35" x14ac:dyDescent="0.3">
      <c r="W187" s="86">
        <f>MSY!A228</f>
        <v>1.84</v>
      </c>
      <c r="X187" s="86">
        <f>MSY!B228</f>
        <v>0.19099670179465358</v>
      </c>
      <c r="Y187" s="86">
        <f>MSY!C228</f>
        <v>0.78857530452688818</v>
      </c>
      <c r="Z187" s="86">
        <f>MSY!D228</f>
        <v>1.6513052325872795</v>
      </c>
      <c r="AA187" s="86">
        <f>MSY!E228</f>
        <v>1.4585571606451313</v>
      </c>
      <c r="AB187" s="86">
        <f>MSY!F228</f>
        <v>2.4085230714009507</v>
      </c>
      <c r="AC187" s="86">
        <f>MSY!G228</f>
        <v>1.1501821571256077</v>
      </c>
      <c r="AD187" s="24">
        <f t="shared" si="9"/>
        <v>0.20900329820534644</v>
      </c>
      <c r="AE187" s="24">
        <f t="shared" si="10"/>
        <v>0.15900329820534639</v>
      </c>
      <c r="AH187">
        <f t="shared" si="8"/>
        <v>1.84</v>
      </c>
      <c r="AI187">
        <f t="shared" si="11"/>
        <v>2.4085230714009507</v>
      </c>
    </row>
    <row r="188" spans="23:35" x14ac:dyDescent="0.3">
      <c r="W188" s="86">
        <f>MSY!A229</f>
        <v>1.85</v>
      </c>
      <c r="X188" s="86">
        <f>MSY!B229</f>
        <v>0.19057373161535066</v>
      </c>
      <c r="Y188" s="86">
        <f>MSY!C229</f>
        <v>0.78854132028014834</v>
      </c>
      <c r="Z188" s="86">
        <f>MSY!D229</f>
        <v>1.6476483481293362</v>
      </c>
      <c r="AA188" s="86">
        <f>MSY!E229</f>
        <v>1.4508280478742193</v>
      </c>
      <c r="AB188" s="86">
        <f>MSY!F229</f>
        <v>2.3904544364996672</v>
      </c>
      <c r="AC188" s="86">
        <f>MSY!G229</f>
        <v>1.1440378643702072</v>
      </c>
      <c r="AD188" s="24">
        <f t="shared" si="9"/>
        <v>0.20942626838464937</v>
      </c>
      <c r="AE188" s="24">
        <f t="shared" si="10"/>
        <v>0.15942626838464932</v>
      </c>
      <c r="AH188">
        <f t="shared" si="8"/>
        <v>1.85</v>
      </c>
      <c r="AI188">
        <f t="shared" si="11"/>
        <v>2.3904544364996672</v>
      </c>
    </row>
    <row r="189" spans="23:35" x14ac:dyDescent="0.3">
      <c r="W189" s="86">
        <f>MSY!A230</f>
        <v>1.86</v>
      </c>
      <c r="X189" s="86">
        <f>MSY!B230</f>
        <v>0.19015439013507379</v>
      </c>
      <c r="Y189" s="86">
        <f>MSY!C230</f>
        <v>0.78850642238088287</v>
      </c>
      <c r="Z189" s="86">
        <f>MSY!D230</f>
        <v>1.6440228364104659</v>
      </c>
      <c r="AA189" s="86">
        <f>MSY!E230</f>
        <v>1.4431313005448252</v>
      </c>
      <c r="AB189" s="86">
        <f>MSY!F230</f>
        <v>2.3725408140344277</v>
      </c>
      <c r="AC189" s="86">
        <f>MSY!G230</f>
        <v>1.1379182988184708</v>
      </c>
      <c r="AD189" s="24">
        <f t="shared" si="9"/>
        <v>0.20984560986492623</v>
      </c>
      <c r="AE189" s="24">
        <f t="shared" si="10"/>
        <v>0.15984560986492619</v>
      </c>
      <c r="AH189">
        <f t="shared" si="8"/>
        <v>1.86</v>
      </c>
      <c r="AI189">
        <f t="shared" si="11"/>
        <v>2.3725408140344277</v>
      </c>
    </row>
    <row r="190" spans="23:35" x14ac:dyDescent="0.3">
      <c r="W190" s="86">
        <f>MSY!A231</f>
        <v>1.87</v>
      </c>
      <c r="X190" s="86">
        <f>MSY!B231</f>
        <v>0.18973862567413327</v>
      </c>
      <c r="Y190" s="86">
        <f>MSY!C231</f>
        <v>0.78847063357069458</v>
      </c>
      <c r="Z190" s="86">
        <f>MSY!D231</f>
        <v>1.6404282506222096</v>
      </c>
      <c r="AA190" s="86">
        <f>MSY!E231</f>
        <v>1.4354666200336967</v>
      </c>
      <c r="AB190" s="86">
        <f>MSY!F231</f>
        <v>2.3547799963284533</v>
      </c>
      <c r="AC190" s="86">
        <f>MSY!G231</f>
        <v>1.1318232753675523</v>
      </c>
      <c r="AD190" s="24">
        <f t="shared" si="9"/>
        <v>0.21026137432586675</v>
      </c>
      <c r="AE190" s="24">
        <f t="shared" si="10"/>
        <v>0.16026137432586671</v>
      </c>
      <c r="AH190">
        <f t="shared" si="8"/>
        <v>1.87</v>
      </c>
      <c r="AI190">
        <f t="shared" si="11"/>
        <v>2.3547799963284533</v>
      </c>
    </row>
    <row r="191" spans="23:35" x14ac:dyDescent="0.3">
      <c r="W191" s="86">
        <f>MSY!A232</f>
        <v>1.88</v>
      </c>
      <c r="X191" s="86">
        <f>MSY!B232</f>
        <v>0.18932638756684964</v>
      </c>
      <c r="Y191" s="86">
        <f>MSY!C232</f>
        <v>0.78843397602890408</v>
      </c>
      <c r="Z191" s="86">
        <f>MSY!D232</f>
        <v>1.636864152722963</v>
      </c>
      <c r="AA191" s="86">
        <f>MSY!E232</f>
        <v>1.4278337118776612</v>
      </c>
      <c r="AB191" s="86">
        <f>MSY!F232</f>
        <v>2.3371698190219115</v>
      </c>
      <c r="AC191" s="86">
        <f>MSY!G232</f>
        <v>1.1257526105638131</v>
      </c>
      <c r="AD191" s="24">
        <f t="shared" si="9"/>
        <v>0.21067361243315039</v>
      </c>
      <c r="AE191" s="24">
        <f t="shared" si="10"/>
        <v>0.16067361243315034</v>
      </c>
      <c r="AH191">
        <f t="shared" si="8"/>
        <v>1.88</v>
      </c>
      <c r="AI191">
        <f t="shared" si="11"/>
        <v>2.3371698190219115</v>
      </c>
    </row>
    <row r="192" spans="23:35" x14ac:dyDescent="0.3">
      <c r="W192" s="86">
        <f>MSY!A233</f>
        <v>1.89</v>
      </c>
      <c r="X192" s="86">
        <f>MSY!B233</f>
        <v>0.18891762613645882</v>
      </c>
      <c r="Y192" s="86">
        <f>MSY!C233</f>
        <v>0.78839647138859448</v>
      </c>
      <c r="Z192" s="86">
        <f>MSY!D233</f>
        <v>1.6333301132210143</v>
      </c>
      <c r="AA192" s="86">
        <f>MSY!E233</f>
        <v>1.4202322856984069</v>
      </c>
      <c r="AB192" s="86">
        <f>MSY!F233</f>
        <v>2.3197081599999185</v>
      </c>
      <c r="AC192" s="86">
        <f>MSY!G233</f>
        <v>1.1197061225967821</v>
      </c>
      <c r="AD192" s="24">
        <f t="shared" si="9"/>
        <v>0.2110823738635412</v>
      </c>
      <c r="AE192" s="24">
        <f t="shared" si="10"/>
        <v>0.16108237386354116</v>
      </c>
      <c r="AH192">
        <f t="shared" si="8"/>
        <v>1.89</v>
      </c>
      <c r="AI192">
        <f t="shared" si="11"/>
        <v>2.3197081599999185</v>
      </c>
    </row>
    <row r="193" spans="23:35" x14ac:dyDescent="0.3">
      <c r="W193" s="86">
        <f>MSY!A234</f>
        <v>1.9</v>
      </c>
      <c r="X193" s="86">
        <f>MSY!B234</f>
        <v>0.18851229267076222</v>
      </c>
      <c r="Y193" s="86">
        <f>MSY!C234</f>
        <v>0.78835814075211508</v>
      </c>
      <c r="Z193" s="86">
        <f>MSY!D234</f>
        <v>1.6298257109640206</v>
      </c>
      <c r="AA193" s="86">
        <f>MSY!E234</f>
        <v>1.4126620551288953</v>
      </c>
      <c r="AB193" s="86">
        <f>MSY!F234</f>
        <v>2.3023929383523463</v>
      </c>
      <c r="AC193" s="86">
        <f>MSY!G234</f>
        <v>1.1136836312924778</v>
      </c>
      <c r="AD193" s="24">
        <f t="shared" si="9"/>
        <v>0.2114877073292378</v>
      </c>
      <c r="AE193" s="24">
        <f t="shared" si="10"/>
        <v>0.16148770732923776</v>
      </c>
      <c r="AH193">
        <f t="shared" si="8"/>
        <v>1.9</v>
      </c>
      <c r="AI193">
        <f t="shared" si="11"/>
        <v>2.3023929383523463</v>
      </c>
    </row>
    <row r="194" spans="23:35" x14ac:dyDescent="0.3">
      <c r="W194" s="86">
        <f>MSY!A235</f>
        <v>1.91</v>
      </c>
      <c r="X194" s="86">
        <f>MSY!B235</f>
        <v>0.18811033939849681</v>
      </c>
      <c r="Y194" s="86">
        <f>MSY!C235</f>
        <v>0.78831900470607597</v>
      </c>
      <c r="Z194" s="86">
        <f>MSY!D235</f>
        <v>1.6263505329347105</v>
      </c>
      <c r="AA194" s="86">
        <f>MSY!E235</f>
        <v>1.4051227377413826</v>
      </c>
      <c r="AB194" s="86">
        <f>MSY!F235</f>
        <v>2.2852221133643771</v>
      </c>
      <c r="AC194" s="86">
        <f>MSY!G235</f>
        <v>1.1076849581061634</v>
      </c>
      <c r="AD194" s="24">
        <f t="shared" si="9"/>
        <v>0.21188966060150322</v>
      </c>
      <c r="AE194" s="24">
        <f t="shared" si="10"/>
        <v>0.16188966060150317</v>
      </c>
      <c r="AH194">
        <f t="shared" ref="AH194:AH257" si="12">W194</f>
        <v>1.91</v>
      </c>
      <c r="AI194">
        <f t="shared" si="11"/>
        <v>2.2852221133643771</v>
      </c>
    </row>
    <row r="195" spans="23:35" x14ac:dyDescent="0.3">
      <c r="W195" s="86">
        <f>MSY!A236</f>
        <v>1.92</v>
      </c>
      <c r="X195" s="86">
        <f>MSY!B236</f>
        <v>0.18771171946639917</v>
      </c>
      <c r="Y195" s="86">
        <f>MSY!C236</f>
        <v>0.78827908333584451</v>
      </c>
      <c r="Z195" s="86">
        <f>MSY!D236</f>
        <v>1.6229041740525865</v>
      </c>
      <c r="AA195" s="86">
        <f>MSY!E236</f>
        <v>1.3976140549769982</v>
      </c>
      <c r="AB195" s="86">
        <f>MSY!F236</f>
        <v>2.2681936835367313</v>
      </c>
      <c r="AC195" s="86">
        <f>MSY!G236</f>
        <v>1.1017099261145606</v>
      </c>
      <c r="AD195" s="24">
        <f t="shared" si="9"/>
        <v>0.21228828053360085</v>
      </c>
      <c r="AE195" s="24">
        <f t="shared" si="10"/>
        <v>0.16228828053360081</v>
      </c>
      <c r="AH195">
        <f t="shared" si="12"/>
        <v>1.92</v>
      </c>
      <c r="AI195">
        <f t="shared" si="11"/>
        <v>2.2681936835367313</v>
      </c>
    </row>
    <row r="196" spans="23:35" x14ac:dyDescent="0.3">
      <c r="W196" s="86">
        <f>MSY!A237</f>
        <v>1.93</v>
      </c>
      <c r="X196" s="86">
        <f>MSY!B237</f>
        <v>0.18731638691694127</v>
      </c>
      <c r="Y196" s="86">
        <f>MSY!C237</f>
        <v>0.78823839623956682</v>
      </c>
      <c r="Z196" s="86">
        <f>MSY!D237</f>
        <v>1.6194862369814336</v>
      </c>
      <c r="AA196" s="86">
        <f>MSY!E237</f>
        <v>1.3901357320768462</v>
      </c>
      <c r="AB196" s="86">
        <f>MSY!F237</f>
        <v>2.2513056856345619</v>
      </c>
      <c r="AC196" s="86">
        <f>MSY!G237</f>
        <v>1.0957583600075693</v>
      </c>
      <c r="AD196" s="24">
        <f t="shared" ref="AD196:AD259" si="13">ABS(X196-$C$28/100)</f>
        <v>0.21268361308305875</v>
      </c>
      <c r="AE196" s="24">
        <f t="shared" ref="AE196:AE259" si="14">ABS(X196-$C$29/100)</f>
        <v>0.1626836130830587</v>
      </c>
      <c r="AH196">
        <f t="shared" si="12"/>
        <v>1.93</v>
      </c>
      <c r="AI196">
        <f t="shared" ref="AI196:AI259" si="15">AB196</f>
        <v>2.2513056856345619</v>
      </c>
    </row>
    <row r="197" spans="23:35" x14ac:dyDescent="0.3">
      <c r="W197" s="86">
        <f>MSY!A238</f>
        <v>1.94</v>
      </c>
      <c r="X197" s="86">
        <f>MSY!B238</f>
        <v>0.18692429666671428</v>
      </c>
      <c r="Y197" s="86">
        <f>MSY!C238</f>
        <v>0.78819696254173366</v>
      </c>
      <c r="Z197" s="86">
        <f>MSY!D238</f>
        <v>1.6160963319424324</v>
      </c>
      <c r="AA197" s="86">
        <f>MSY!E238</f>
        <v>1.3826874980145949</v>
      </c>
      <c r="AB197" s="86">
        <f>MSY!F238</f>
        <v>2.2345561937640461</v>
      </c>
      <c r="AC197" s="86">
        <f>MSY!G238</f>
        <v>1.0898300860795331</v>
      </c>
      <c r="AD197" s="24">
        <f t="shared" si="13"/>
        <v>0.21307570333328574</v>
      </c>
      <c r="AE197" s="24">
        <f t="shared" si="14"/>
        <v>0.16307570333328569</v>
      </c>
      <c r="AH197">
        <f t="shared" si="12"/>
        <v>1.94</v>
      </c>
      <c r="AI197">
        <f t="shared" si="15"/>
        <v>2.2345561937640461</v>
      </c>
    </row>
    <row r="198" spans="23:35" x14ac:dyDescent="0.3">
      <c r="W198" s="86">
        <f>MSY!A239</f>
        <v>1.95</v>
      </c>
      <c r="X198" s="86">
        <f>MSY!B239</f>
        <v>0.18653540448543784</v>
      </c>
      <c r="Y198" s="86">
        <f>MSY!C239</f>
        <v>0.78815480090630219</v>
      </c>
      <c r="Z198" s="86">
        <f>MSY!D239</f>
        <v>1.6127340765326794</v>
      </c>
      <c r="AA198" s="86">
        <f>MSY!E239</f>
        <v>1.3752690854305021</v>
      </c>
      <c r="AB198" s="86">
        <f>MSY!F239</f>
        <v>2.2179433184757036</v>
      </c>
      <c r="AC198" s="86">
        <f>MSY!G239</f>
        <v>1.0839249322200697</v>
      </c>
      <c r="AD198" s="24">
        <f t="shared" si="13"/>
        <v>0.21346459551456218</v>
      </c>
      <c r="AE198" s="24">
        <f t="shared" si="14"/>
        <v>0.16346459551456213</v>
      </c>
      <c r="AH198">
        <f t="shared" si="12"/>
        <v>1.95</v>
      </c>
      <c r="AI198">
        <f t="shared" si="15"/>
        <v>2.2179433184757036</v>
      </c>
    </row>
    <row r="199" spans="23:35" x14ac:dyDescent="0.3">
      <c r="W199" s="86">
        <f>MSY!A240</f>
        <v>1.96</v>
      </c>
      <c r="X199" s="86">
        <f>MSY!B240</f>
        <v>0.18614966697557628</v>
      </c>
      <c r="Y199" s="86">
        <f>MSY!C240</f>
        <v>0.78811192954939779</v>
      </c>
      <c r="Z199" s="86">
        <f>MSY!D240</f>
        <v>1.6093990955489532</v>
      </c>
      <c r="AA199" s="86">
        <f>MSY!E240</f>
        <v>1.3678802305668711</v>
      </c>
      <c r="AB199" s="86">
        <f>MSY!F240</f>
        <v>2.2014652058936162</v>
      </c>
      <c r="AC199" s="86">
        <f>MSY!G240</f>
        <v>1.0780427279045319</v>
      </c>
      <c r="AD199" s="24">
        <f t="shared" si="13"/>
        <v>0.21385033302442374</v>
      </c>
      <c r="AE199" s="24">
        <f t="shared" si="14"/>
        <v>0.1638503330244237</v>
      </c>
      <c r="AH199">
        <f t="shared" si="12"/>
        <v>1.96</v>
      </c>
      <c r="AI199">
        <f t="shared" si="15"/>
        <v>2.2014652058936162</v>
      </c>
    </row>
    <row r="200" spans="23:35" x14ac:dyDescent="0.3">
      <c r="W200" s="86">
        <f>MSY!A241</f>
        <v>1.97</v>
      </c>
      <c r="X200" s="86">
        <f>MSY!B241</f>
        <v>0.18576704155253804</v>
      </c>
      <c r="Y200" s="86">
        <f>MSY!C241</f>
        <v>0.78806836625160415</v>
      </c>
      <c r="Z200" s="86">
        <f>MSY!D241</f>
        <v>1.6060910208165253</v>
      </c>
      <c r="AA200" s="86">
        <f>MSY!E241</f>
        <v>1.3605206732048689</v>
      </c>
      <c r="AB200" s="86">
        <f>MSY!F241</f>
        <v>2.185120036869594</v>
      </c>
      <c r="AC200" s="86">
        <f>MSY!G241</f>
        <v>1.0721833041840936</v>
      </c>
      <c r="AD200" s="24">
        <f t="shared" si="13"/>
        <v>0.21423295844746199</v>
      </c>
      <c r="AE200" s="24">
        <f t="shared" si="14"/>
        <v>0.16423295844746194</v>
      </c>
      <c r="AH200">
        <f t="shared" si="12"/>
        <v>1.97</v>
      </c>
      <c r="AI200">
        <f t="shared" si="15"/>
        <v>2.185120036869594</v>
      </c>
    </row>
    <row r="201" spans="23:35" x14ac:dyDescent="0.3">
      <c r="W201" s="86">
        <f>MSY!A242</f>
        <v>1.98</v>
      </c>
      <c r="X201" s="86">
        <f>MSY!B242</f>
        <v>0.18538748642544212</v>
      </c>
      <c r="Y201" s="86">
        <f>MSY!C242</f>
        <v>0.78802412836986357</v>
      </c>
      <c r="Z201" s="86">
        <f>MSY!D242</f>
        <v>1.6028094910228712</v>
      </c>
      <c r="AA201" s="86">
        <f>MSY!E242</f>
        <v>1.3531901566027025</v>
      </c>
      <c r="AB201" s="86">
        <f>MSY!F242</f>
        <v>2.1689060261615367</v>
      </c>
      <c r="AC201" s="86">
        <f>MSY!G242</f>
        <v>1.0663464936755238</v>
      </c>
      <c r="AD201" s="24">
        <f t="shared" si="13"/>
        <v>0.21461251357455791</v>
      </c>
      <c r="AE201" s="24">
        <f t="shared" si="14"/>
        <v>0.16461251357455786</v>
      </c>
      <c r="AH201">
        <f t="shared" si="12"/>
        <v>1.98</v>
      </c>
      <c r="AI201">
        <f t="shared" si="15"/>
        <v>2.1689060261615367</v>
      </c>
    </row>
    <row r="202" spans="23:35" x14ac:dyDescent="0.3">
      <c r="W202" s="86">
        <f>MSY!A243</f>
        <v>1.99</v>
      </c>
      <c r="X202" s="86">
        <f>MSY!B243</f>
        <v>0.18501096057842967</v>
      </c>
      <c r="Y202" s="86">
        <f>MSY!C243</f>
        <v>0.78797923284899629</v>
      </c>
      <c r="Z202" s="86">
        <f>MSY!D243</f>
        <v>1.599554151556096</v>
      </c>
      <c r="AA202" s="86">
        <f>MSY!E243</f>
        <v>1.3458884274350862</v>
      </c>
      <c r="AB202" s="86">
        <f>MSY!F243</f>
        <v>2.1528214216350974</v>
      </c>
      <c r="AC202" s="86">
        <f>MSY!G243</f>
        <v>1.0605321305506412</v>
      </c>
      <c r="AD202" s="24">
        <f t="shared" si="13"/>
        <v>0.21498903942157035</v>
      </c>
      <c r="AE202" s="24">
        <f t="shared" si="14"/>
        <v>0.16498903942157031</v>
      </c>
      <c r="AH202">
        <f t="shared" si="12"/>
        <v>1.99</v>
      </c>
      <c r="AI202">
        <f t="shared" si="15"/>
        <v>2.1528214216350974</v>
      </c>
    </row>
    <row r="203" spans="23:35" x14ac:dyDescent="0.3">
      <c r="W203" s="86">
        <f>MSY!A244</f>
        <v>2</v>
      </c>
      <c r="X203" s="86">
        <f>MSY!B244</f>
        <v>0.18463742375250583</v>
      </c>
      <c r="Y203" s="86">
        <f>MSY!C244</f>
        <v>0.7879336962328567</v>
      </c>
      <c r="Z203" s="86">
        <f>MSY!D244</f>
        <v>1.5963246543479441</v>
      </c>
      <c r="AA203" s="86">
        <f>MSY!E244</f>
        <v>1.3386152357340162</v>
      </c>
      <c r="AB203" s="86">
        <f>MSY!F244</f>
        <v>2.1368645034879949</v>
      </c>
      <c r="AC203" s="86">
        <f>MSY!G244</f>
        <v>1.0547400505255202</v>
      </c>
      <c r="AD203" s="24">
        <f t="shared" si="13"/>
        <v>0.21536257624749419</v>
      </c>
      <c r="AE203" s="24">
        <f t="shared" si="14"/>
        <v>0.16536257624749415</v>
      </c>
      <c r="AH203">
        <f t="shared" si="12"/>
        <v>2</v>
      </c>
      <c r="AI203">
        <f t="shared" si="15"/>
        <v>2.1368645034879949</v>
      </c>
    </row>
    <row r="204" spans="23:35" x14ac:dyDescent="0.3">
      <c r="W204" s="86">
        <f>MSY!A245</f>
        <v>2.0099999999999998</v>
      </c>
      <c r="X204" s="86">
        <f>MSY!B245</f>
        <v>0.18426683642789146</v>
      </c>
      <c r="Y204" s="86">
        <f>MSY!C245</f>
        <v>0.78788753467513917</v>
      </c>
      <c r="Z204" s="86">
        <f>MSY!D245</f>
        <v>1.5931206577212162</v>
      </c>
      <c r="AA204" s="86">
        <f>MSY!E245</f>
        <v>1.3313703348307646</v>
      </c>
      <c r="AB204" s="86">
        <f>MSY!F245</f>
        <v>2.1210335834961036</v>
      </c>
      <c r="AC204" s="86">
        <f>MSY!G245</f>
        <v>1.0489700908494257</v>
      </c>
      <c r="AD204" s="24">
        <f t="shared" si="13"/>
        <v>0.21573316357210856</v>
      </c>
      <c r="AE204" s="24">
        <f t="shared" si="14"/>
        <v>0.16573316357210852</v>
      </c>
      <c r="AH204">
        <f t="shared" si="12"/>
        <v>2.0099999999999998</v>
      </c>
      <c r="AI204">
        <f t="shared" si="15"/>
        <v>2.1210335834961036</v>
      </c>
    </row>
    <row r="205" spans="23:35" x14ac:dyDescent="0.3">
      <c r="W205" s="86">
        <f>MSY!A246</f>
        <v>2.02</v>
      </c>
      <c r="X205" s="86">
        <f>MSY!B246</f>
        <v>0.18389915980687038</v>
      </c>
      <c r="Y205" s="86">
        <f>MSY!C246</f>
        <v>0.7878407639498427</v>
      </c>
      <c r="Z205" s="86">
        <f>MSY!D246</f>
        <v>1.5899418262414722</v>
      </c>
      <c r="AA205" s="86">
        <f>MSY!E246</f>
        <v>1.3241534812991143</v>
      </c>
      <c r="AB205" s="86">
        <f>MSY!F246</f>
        <v>2.1053270042807166</v>
      </c>
      <c r="AC205" s="86">
        <f>MSY!G246</f>
        <v>1.0432220902935379</v>
      </c>
      <c r="AD205" s="24">
        <f t="shared" si="13"/>
        <v>0.21610084019312964</v>
      </c>
      <c r="AE205" s="24">
        <f t="shared" si="14"/>
        <v>0.1661008401931296</v>
      </c>
      <c r="AH205">
        <f t="shared" si="12"/>
        <v>2.02</v>
      </c>
      <c r="AI205">
        <f t="shared" si="15"/>
        <v>2.1053270042807166</v>
      </c>
    </row>
    <row r="206" spans="23:35" x14ac:dyDescent="0.3">
      <c r="W206" s="86">
        <f>MSY!A247</f>
        <v>2.0299999999999998</v>
      </c>
      <c r="X206" s="86">
        <f>MSY!B247</f>
        <v>0.18353435579711447</v>
      </c>
      <c r="Y206" s="86">
        <f>MSY!C247</f>
        <v>0.78779339946141114</v>
      </c>
      <c r="Z206" s="86">
        <f>MSY!D247</f>
        <v>1.5867878305728642</v>
      </c>
      <c r="AA206" s="86">
        <f>MSY!E247</f>
        <v>1.3169644348997684</v>
      </c>
      <c r="AB206" s="86">
        <f>MSY!F247</f>
        <v>2.0897431385962215</v>
      </c>
      <c r="AC206" s="86">
        <f>MSY!G247</f>
        <v>1.0374958891394648</v>
      </c>
      <c r="AD206" s="24">
        <f t="shared" si="13"/>
        <v>0.21646564420288555</v>
      </c>
      <c r="AE206" s="24">
        <f t="shared" si="14"/>
        <v>0.16646564420288551</v>
      </c>
      <c r="AH206">
        <f t="shared" si="12"/>
        <v>2.0299999999999998</v>
      </c>
      <c r="AI206">
        <f t="shared" si="15"/>
        <v>2.0897431385962215</v>
      </c>
    </row>
    <row r="207" spans="23:35" x14ac:dyDescent="0.3">
      <c r="W207" s="86">
        <f>MSY!A248</f>
        <v>2.04</v>
      </c>
      <c r="X207" s="86">
        <f>MSY!B248</f>
        <v>0.18317238699547211</v>
      </c>
      <c r="Y207" s="86">
        <f>MSY!C248</f>
        <v>0.78774545625456127</v>
      </c>
      <c r="Z207" s="86">
        <f>MSY!D248</f>
        <v>1.5836583473379755</v>
      </c>
      <c r="AA207" s="86">
        <f>MSY!E248</f>
        <v>1.3098029585259265</v>
      </c>
      <c r="AB207" s="86">
        <f>MSY!F248</f>
        <v>2.0742803886375594</v>
      </c>
      <c r="AC207" s="86">
        <f>MSY!G248</f>
        <v>1.0317913291675802</v>
      </c>
      <c r="AD207" s="24">
        <f t="shared" si="13"/>
        <v>0.21682761300452791</v>
      </c>
      <c r="AE207" s="24">
        <f t="shared" si="14"/>
        <v>0.16682761300452786</v>
      </c>
      <c r="AH207">
        <f t="shared" si="12"/>
        <v>2.04</v>
      </c>
      <c r="AI207">
        <f t="shared" si="15"/>
        <v>2.0742803886375594</v>
      </c>
    </row>
    <row r="208" spans="23:35" x14ac:dyDescent="0.3">
      <c r="W208" s="86">
        <f>MSY!A249</f>
        <v>2.0499999999999998</v>
      </c>
      <c r="X208" s="86">
        <f>MSY!B249</f>
        <v>0.18281321667220407</v>
      </c>
      <c r="Y208" s="86">
        <f>MSY!C249</f>
        <v>0.78769694902380227</v>
      </c>
      <c r="Z208" s="86">
        <f>MSY!D249</f>
        <v>1.5805530589815293</v>
      </c>
      <c r="AA208" s="86">
        <f>MSY!E249</f>
        <v>1.3026688181499901</v>
      </c>
      <c r="AB208" s="86">
        <f>MSY!F249</f>
        <v>2.0589371853668204</v>
      </c>
      <c r="AC208" s="86">
        <f>MSY!G249</f>
        <v>1.0261082536451895</v>
      </c>
      <c r="AD208" s="24">
        <f t="shared" si="13"/>
        <v>0.21718678332779595</v>
      </c>
      <c r="AE208" s="24">
        <f t="shared" si="14"/>
        <v>0.16718678332779591</v>
      </c>
      <c r="AH208">
        <f t="shared" si="12"/>
        <v>2.0499999999999998</v>
      </c>
      <c r="AI208">
        <f t="shared" si="15"/>
        <v>2.0589371853668204</v>
      </c>
    </row>
    <row r="209" spans="23:35" x14ac:dyDescent="0.3">
      <c r="W209" s="86">
        <f>MSY!A250</f>
        <v>2.06</v>
      </c>
      <c r="X209" s="86">
        <f>MSY!B250</f>
        <v>0.18245680875565323</v>
      </c>
      <c r="Y209" s="86">
        <f>MSY!C250</f>
        <v>0.78764789212266639</v>
      </c>
      <c r="Z209" s="86">
        <f>MSY!D250</f>
        <v>1.5774716536378461</v>
      </c>
      <c r="AA209" s="86">
        <f>MSY!E250</f>
        <v>1.2955617827713644</v>
      </c>
      <c r="AB209" s="86">
        <f>MSY!F250</f>
        <v>2.0437119878583401</v>
      </c>
      <c r="AC209" s="86">
        <f>MSY!G250</f>
        <v>1.020446507314549</v>
      </c>
      <c r="AD209" s="24">
        <f t="shared" si="13"/>
        <v>0.21754319124434679</v>
      </c>
      <c r="AE209" s="24">
        <f t="shared" si="14"/>
        <v>0.16754319124434675</v>
      </c>
      <c r="AH209">
        <f t="shared" si="12"/>
        <v>2.06</v>
      </c>
      <c r="AI209">
        <f t="shared" si="15"/>
        <v>2.0437119878583401</v>
      </c>
    </row>
    <row r="210" spans="23:35" x14ac:dyDescent="0.3">
      <c r="W210" s="86">
        <f>MSY!A251</f>
        <v>2.0699999999999998</v>
      </c>
      <c r="X210" s="86">
        <f>MSY!B251</f>
        <v>0.18210312781733473</v>
      </c>
      <c r="Y210" s="86">
        <f>MSY!C251</f>
        <v>0.78759829957265814</v>
      </c>
      <c r="Z210" s="86">
        <f>MSY!D251</f>
        <v>1.5744138250019377</v>
      </c>
      <c r="AA210" s="86">
        <f>MSY!E251</f>
        <v>1.2884816243653672</v>
      </c>
      <c r="AB210" s="86">
        <f>MSY!F251</f>
        <v>2.0286032826617877</v>
      </c>
      <c r="AC210" s="86">
        <f>MSY!G251</f>
        <v>1.0148059363807795</v>
      </c>
      <c r="AD210" s="24">
        <f t="shared" si="13"/>
        <v>0.21789687218266529</v>
      </c>
      <c r="AE210" s="24">
        <f t="shared" si="14"/>
        <v>0.16789687218266525</v>
      </c>
      <c r="AH210">
        <f t="shared" si="12"/>
        <v>2.0699999999999998</v>
      </c>
      <c r="AI210">
        <f t="shared" si="15"/>
        <v>2.0286032826617877</v>
      </c>
    </row>
    <row r="211" spans="23:35" x14ac:dyDescent="0.3">
      <c r="W211" s="86">
        <f>MSY!A252</f>
        <v>2.08</v>
      </c>
      <c r="X211" s="86">
        <f>MSY!B252</f>
        <v>0.18175213905743073</v>
      </c>
      <c r="Y211" s="86">
        <f>MSY!C252</f>
        <v>0.78754818507192936</v>
      </c>
      <c r="Z211" s="86">
        <f>MSY!D252</f>
        <v>1.5713792722040998</v>
      </c>
      <c r="AA211" s="86">
        <f>MSY!E252</f>
        <v>1.2814281178331477</v>
      </c>
      <c r="AB211" s="86">
        <f>MSY!F252</f>
        <v>2.0136095831825211</v>
      </c>
      <c r="AC211" s="86">
        <f>MSY!G252</f>
        <v>1.0091863884996339</v>
      </c>
      <c r="AD211" s="24">
        <f t="shared" si="13"/>
        <v>0.21824786094256929</v>
      </c>
      <c r="AE211" s="24">
        <f t="shared" si="14"/>
        <v>0.16824786094256924</v>
      </c>
      <c r="AH211">
        <f t="shared" si="12"/>
        <v>2.08</v>
      </c>
      <c r="AI211">
        <f t="shared" si="15"/>
        <v>2.0136095831825211</v>
      </c>
    </row>
    <row r="212" spans="23:35" x14ac:dyDescent="0.3">
      <c r="W212" s="86">
        <f>MSY!A253</f>
        <v>2.09</v>
      </c>
      <c r="X212" s="86">
        <f>MSY!B253</f>
        <v>0.18140380829068042</v>
      </c>
      <c r="Y212" s="86">
        <f>MSY!C253</f>
        <v>0.78749756200369181</v>
      </c>
      <c r="Z212" s="86">
        <f>MSY!D253</f>
        <v>1.5683676996879192</v>
      </c>
      <c r="AA212" s="86">
        <f>MSY!E253</f>
        <v>1.2744010409526676</v>
      </c>
      <c r="AB212" s="86">
        <f>MSY!F253</f>
        <v>1.9987294290788249</v>
      </c>
      <c r="AC212" s="86">
        <f>MSY!G253</f>
        <v>1.0035877127651927</v>
      </c>
      <c r="AD212" s="24">
        <f t="shared" si="13"/>
        <v>0.2185961917093196</v>
      </c>
      <c r="AE212" s="24">
        <f t="shared" si="14"/>
        <v>0.16859619170931955</v>
      </c>
      <c r="AH212">
        <f t="shared" si="12"/>
        <v>2.09</v>
      </c>
      <c r="AI212">
        <f t="shared" si="15"/>
        <v>1.9987294290788249</v>
      </c>
    </row>
    <row r="213" spans="23:35" x14ac:dyDescent="0.3">
      <c r="W213" s="86">
        <f>MSY!A254</f>
        <v>2.1</v>
      </c>
      <c r="X213" s="86">
        <f>MSY!B254</f>
        <v>0.1810581019326501</v>
      </c>
      <c r="Y213" s="86">
        <f>MSY!C254</f>
        <v>0.78744644344437909</v>
      </c>
      <c r="Z213" s="86">
        <f>MSY!D254</f>
        <v>1.5653788170915699</v>
      </c>
      <c r="AA213" s="86">
        <f>MSY!E254</f>
        <v>1.2674001743306704</v>
      </c>
      <c r="AB213" s="86">
        <f>MSY!F254</f>
        <v>1.9839613856753942</v>
      </c>
      <c r="AC213" s="86">
        <f>MSY!G254</f>
        <v>0.99800975969747241</v>
      </c>
      <c r="AD213" s="24">
        <f t="shared" si="13"/>
        <v>0.21894189806734993</v>
      </c>
      <c r="AE213" s="24">
        <f t="shared" si="14"/>
        <v>0.16894189806734988</v>
      </c>
      <c r="AH213">
        <f t="shared" si="12"/>
        <v>2.1</v>
      </c>
      <c r="AI213">
        <f t="shared" si="15"/>
        <v>1.9839613856753942</v>
      </c>
    </row>
    <row r="214" spans="23:35" x14ac:dyDescent="0.3">
      <c r="W214" s="86">
        <f>MSY!A255</f>
        <v>2.11</v>
      </c>
      <c r="X214" s="86">
        <f>MSY!B255</f>
        <v>0.18071498698637242</v>
      </c>
      <c r="Y214" s="86">
        <f>MSY!C255</f>
        <v>0.78739484217155842</v>
      </c>
      <c r="Z214" s="86">
        <f>MSY!D255</f>
        <v>1.562412339132299</v>
      </c>
      <c r="AA214" s="86">
        <f>MSY!E255</f>
        <v>1.2604253013556297</v>
      </c>
      <c r="AB214" s="86">
        <f>MSY!F255</f>
        <v>1.9693040433925821</v>
      </c>
      <c r="AC214" s="86">
        <f>MSY!G255</f>
        <v>0.99245238122995505</v>
      </c>
      <c r="AD214" s="24">
        <f t="shared" si="13"/>
        <v>0.2192850130136276</v>
      </c>
      <c r="AE214" s="24">
        <f t="shared" si="14"/>
        <v>0.16928501301362756</v>
      </c>
      <c r="AH214">
        <f t="shared" si="12"/>
        <v>2.11</v>
      </c>
      <c r="AI214">
        <f t="shared" si="15"/>
        <v>1.9693040433925821</v>
      </c>
    </row>
    <row r="215" spans="23:35" x14ac:dyDescent="0.3">
      <c r="W215" s="86">
        <f>MSY!A256</f>
        <v>2.12</v>
      </c>
      <c r="X215" s="86">
        <f>MSY!B256</f>
        <v>0.18037443102934322</v>
      </c>
      <c r="Y215" s="86">
        <f>MSY!C256</f>
        <v>0.78734277067161385</v>
      </c>
      <c r="Z215" s="86">
        <f>MSY!D256</f>
        <v>1.5594679854940059</v>
      </c>
      <c r="AA215" s="86">
        <f>MSY!E256</f>
        <v>1.2534762081516555</v>
      </c>
      <c r="AB215" s="86">
        <f>MSY!F256</f>
        <v>1.9547560171909275</v>
      </c>
      <c r="AC215" s="86">
        <f>MSY!G256</f>
        <v>0.98691543069707299</v>
      </c>
      <c r="AD215" s="24">
        <f t="shared" si="13"/>
        <v>0.2196255689706568</v>
      </c>
      <c r="AE215" s="24">
        <f t="shared" si="14"/>
        <v>0.16962556897065675</v>
      </c>
      <c r="AH215">
        <f t="shared" si="12"/>
        <v>2.12</v>
      </c>
      <c r="AI215">
        <f t="shared" si="15"/>
        <v>1.9547560171909275</v>
      </c>
    </row>
    <row r="216" spans="23:35" x14ac:dyDescent="0.3">
      <c r="W216" s="86">
        <f>MSY!A257</f>
        <v>2.13</v>
      </c>
      <c r="X216" s="86">
        <f>MSY!B257</f>
        <v>0.180036402200865</v>
      </c>
      <c r="Y216" s="86">
        <f>MSY!C257</f>
        <v>0.78729024114719393</v>
      </c>
      <c r="Z216" s="86">
        <f>MSY!D257</f>
        <v>1.5565454807178158</v>
      </c>
      <c r="AA216" s="86">
        <f>MSY!E257</f>
        <v>1.2465526835333356</v>
      </c>
      <c r="AB216" s="86">
        <f>MSY!F257</f>
        <v>1.9403159460304791</v>
      </c>
      <c r="AC216" s="86">
        <f>MSY!G257</f>
        <v>0.98139876282164151</v>
      </c>
      <c r="AD216" s="24">
        <f t="shared" si="13"/>
        <v>0.21996359779913502</v>
      </c>
      <c r="AE216" s="24">
        <f t="shared" si="14"/>
        <v>0.16996359779913497</v>
      </c>
      <c r="AH216">
        <f t="shared" si="12"/>
        <v>2.13</v>
      </c>
      <c r="AI216">
        <f t="shared" si="15"/>
        <v>1.9403159460304791</v>
      </c>
    </row>
    <row r="217" spans="23:35" x14ac:dyDescent="0.3">
      <c r="W217" s="86">
        <f>MSY!A258</f>
        <v>2.14</v>
      </c>
      <c r="X217" s="86">
        <f>MSY!B258</f>
        <v>0.17970086918972533</v>
      </c>
      <c r="Y217" s="86">
        <f>MSY!C258</f>
        <v>0.78723726552444329</v>
      </c>
      <c r="Z217" s="86">
        <f>MSY!D258</f>
        <v>1.5536445540955519</v>
      </c>
      <c r="AA217" s="86">
        <f>MSY!E258</f>
        <v>1.239654518961482</v>
      </c>
      <c r="AB217" s="86">
        <f>MSY!F258</f>
        <v>1.9259824923444477</v>
      </c>
      <c r="AC217" s="86">
        <f>MSY!G258</f>
        <v>0.97590223370225626</v>
      </c>
      <c r="AD217" s="24">
        <f t="shared" si="13"/>
        <v>0.22029913081027469</v>
      </c>
      <c r="AE217" s="24">
        <f t="shared" si="14"/>
        <v>0.17029913081027465</v>
      </c>
      <c r="AH217">
        <f t="shared" si="12"/>
        <v>2.14</v>
      </c>
      <c r="AI217">
        <f t="shared" si="15"/>
        <v>1.9259824923444477</v>
      </c>
    </row>
    <row r="218" spans="23:35" x14ac:dyDescent="0.3">
      <c r="W218" s="86">
        <f>MSY!A259</f>
        <v>2.15</v>
      </c>
      <c r="X218" s="86">
        <f>MSY!B259</f>
        <v>0.17936780122220169</v>
      </c>
      <c r="Y218" s="86">
        <f>MSY!C259</f>
        <v>0.78718385546002245</v>
      </c>
      <c r="Z218" s="86">
        <f>MSY!D259</f>
        <v>1.5507649395660283</v>
      </c>
      <c r="AA218" s="86">
        <f>MSY!E259</f>
        <v>1.2327815084997822</v>
      </c>
      <c r="AB218" s="86">
        <f>MSY!F259</f>
        <v>1.9117543415267819</v>
      </c>
      <c r="AC218" s="86">
        <f>MSY!G259</f>
        <v>0.97042570080068102</v>
      </c>
      <c r="AD218" s="24">
        <f t="shared" si="13"/>
        <v>0.22063219877779833</v>
      </c>
      <c r="AE218" s="24">
        <f t="shared" si="14"/>
        <v>0.17063219877779828</v>
      </c>
      <c r="AH218">
        <f t="shared" si="12"/>
        <v>2.15</v>
      </c>
      <c r="AI218">
        <f t="shared" si="15"/>
        <v>1.9117543415267819</v>
      </c>
    </row>
    <row r="219" spans="23:35" x14ac:dyDescent="0.3">
      <c r="W219" s="86">
        <f>MSY!A260</f>
        <v>2.16</v>
      </c>
      <c r="X219" s="86">
        <f>MSY!B260</f>
        <v>0.17903716805038003</v>
      </c>
      <c r="Y219" s="86">
        <f>MSY!C260</f>
        <v>0.78713002234791696</v>
      </c>
      <c r="Z219" s="86">
        <f>MSY!D260</f>
        <v>1.5479063756140548</v>
      </c>
      <c r="AA219" s="86">
        <f>MSY!E260</f>
        <v>1.2259334487722937</v>
      </c>
      <c r="AB219" s="86">
        <f>MSY!F260</f>
        <v>1.8976302014331596</v>
      </c>
      <c r="AC219" s="86">
        <f>MSY!G260</f>
        <v>0.96496902292919451</v>
      </c>
      <c r="AD219" s="24">
        <f t="shared" si="13"/>
        <v>0.22096283194961999</v>
      </c>
      <c r="AE219" s="24">
        <f t="shared" si="14"/>
        <v>0.17096283194961995</v>
      </c>
      <c r="AH219">
        <f t="shared" si="12"/>
        <v>2.16</v>
      </c>
      <c r="AI219">
        <f t="shared" si="15"/>
        <v>1.8976302014331596</v>
      </c>
    </row>
    <row r="220" spans="23:35" x14ac:dyDescent="0.3">
      <c r="W220" s="86">
        <f>MSY!A261</f>
        <v>2.17</v>
      </c>
      <c r="X220" s="86">
        <f>MSY!B261</f>
        <v>0.17870893994078052</v>
      </c>
      <c r="Y220" s="86">
        <f>MSY!C261</f>
        <v>0.78707577732605394</v>
      </c>
      <c r="Z220" s="86">
        <f>MSY!D261</f>
        <v>1.545068605172099</v>
      </c>
      <c r="AA220" s="86">
        <f>MSY!E261</f>
        <v>1.219110138921818</v>
      </c>
      <c r="AB220" s="86">
        <f>MSY!F261</f>
        <v>1.8836088018950969</v>
      </c>
      <c r="AC220" s="86">
        <f>MSY!G261</f>
        <v>0.95953206023796345</v>
      </c>
      <c r="AD220" s="24">
        <f t="shared" si="13"/>
        <v>0.2212910600592195</v>
      </c>
      <c r="AE220" s="24">
        <f t="shared" si="14"/>
        <v>0.17129106005921946</v>
      </c>
      <c r="AH220">
        <f t="shared" si="12"/>
        <v>2.17</v>
      </c>
      <c r="AI220">
        <f t="shared" si="15"/>
        <v>1.8836088018950969</v>
      </c>
    </row>
    <row r="221" spans="23:35" x14ac:dyDescent="0.3">
      <c r="W221" s="86">
        <f>MSY!A262</f>
        <v>2.1800000000000002</v>
      </c>
      <c r="X221" s="86">
        <f>MSY!B262</f>
        <v>0.17838308766327837</v>
      </c>
      <c r="Y221" s="86">
        <f>MSY!C262</f>
        <v>0.78702113128272311</v>
      </c>
      <c r="Z221" s="86">
        <f>MSY!D262</f>
        <v>1.5422513755244986</v>
      </c>
      <c r="AA221" s="86">
        <f>MSY!E262</f>
        <v>1.2123113805690775</v>
      </c>
      <c r="AB221" s="86">
        <f>MSY!F262</f>
        <v>1.8696888942466638</v>
      </c>
      <c r="AC221" s="86">
        <f>MSY!G262</f>
        <v>0.95411467420239526</v>
      </c>
      <c r="AD221" s="24">
        <f t="shared" si="13"/>
        <v>0.22161691233672165</v>
      </c>
      <c r="AE221" s="24">
        <f t="shared" si="14"/>
        <v>0.17161691233672161</v>
      </c>
      <c r="AH221">
        <f t="shared" si="12"/>
        <v>2.1800000000000002</v>
      </c>
      <c r="AI221">
        <f t="shared" si="15"/>
        <v>1.8696888942466638</v>
      </c>
    </row>
    <row r="222" spans="23:35" x14ac:dyDescent="0.3">
      <c r="W222" s="86">
        <f>MSY!A263</f>
        <v>2.19</v>
      </c>
      <c r="X222" s="86">
        <f>MSY!B263</f>
        <v>0.17805958248031289</v>
      </c>
      <c r="Y222" s="86">
        <f>MSY!C263</f>
        <v>0.78696609486281166</v>
      </c>
      <c r="Z222" s="86">
        <f>MSY!D263</f>
        <v>1.5394544382141657</v>
      </c>
      <c r="AA222" s="86">
        <f>MSY!E263</f>
        <v>1.2055369777727212</v>
      </c>
      <c r="AB222" s="86">
        <f>MSY!F263</f>
        <v>1.8558692508635077</v>
      </c>
      <c r="AC222" s="86">
        <f>MSY!G263</f>
        <v>0.94871672761051451</v>
      </c>
      <c r="AD222" s="24">
        <f t="shared" si="13"/>
        <v>0.22194041751968713</v>
      </c>
      <c r="AE222" s="24">
        <f t="shared" si="14"/>
        <v>0.17194041751968708</v>
      </c>
      <c r="AH222">
        <f t="shared" si="12"/>
        <v>2.19</v>
      </c>
      <c r="AI222">
        <f t="shared" si="15"/>
        <v>1.8558692508635077</v>
      </c>
    </row>
    <row r="223" spans="23:35" x14ac:dyDescent="0.3">
      <c r="W223" s="86">
        <f>MSY!A264</f>
        <v>2.2000000000000002</v>
      </c>
      <c r="X223" s="86">
        <f>MSY!B264</f>
        <v>0.1777383961363744</v>
      </c>
      <c r="Y223" s="86">
        <f>MSY!C264</f>
        <v>0.78691067847386331</v>
      </c>
      <c r="Z223" s="86">
        <f>MSY!D264</f>
        <v>1.5366775489516933</v>
      </c>
      <c r="AA223" s="86">
        <f>MSY!E264</f>
        <v>1.1987867369901046</v>
      </c>
      <c r="AB223" s="86">
        <f>MSY!F264</f>
        <v>1.8421486647137522</v>
      </c>
      <c r="AC223" s="86">
        <f>MSY!G264</f>
        <v>0.94333808455035195</v>
      </c>
      <c r="AD223" s="24">
        <f t="shared" si="13"/>
        <v>0.22226160386362562</v>
      </c>
      <c r="AE223" s="24">
        <f t="shared" si="14"/>
        <v>0.17226160386362557</v>
      </c>
      <c r="AH223">
        <f t="shared" si="12"/>
        <v>2.2000000000000002</v>
      </c>
      <c r="AI223">
        <f t="shared" si="15"/>
        <v>1.8421486647137522</v>
      </c>
    </row>
    <row r="224" spans="23:35" x14ac:dyDescent="0.3">
      <c r="W224" s="86">
        <f>MSY!A265</f>
        <v>2.21</v>
      </c>
      <c r="X224" s="86">
        <f>MSY!B265</f>
        <v>0.17741950084776195</v>
      </c>
      <c r="Y224" s="86">
        <f>MSY!C265</f>
        <v>0.78685489229195915</v>
      </c>
      <c r="Z224" s="86">
        <f>MSY!D265</f>
        <v>1.5339204675268041</v>
      </c>
      <c r="AA224" s="86">
        <f>MSY!E265</f>
        <v>1.1920604670388606</v>
      </c>
      <c r="AB224" s="86">
        <f>MSY!F265</f>
        <v>1.8285259489204693</v>
      </c>
      <c r="AC224" s="86">
        <f>MSY!G265</f>
        <v>0.93797861039736519</v>
      </c>
      <c r="AD224" s="24">
        <f t="shared" si="13"/>
        <v>0.22258049915223807</v>
      </c>
      <c r="AE224" s="24">
        <f t="shared" si="14"/>
        <v>0.17258049915223803</v>
      </c>
      <c r="AH224">
        <f t="shared" si="12"/>
        <v>2.21</v>
      </c>
      <c r="AI224">
        <f t="shared" si="15"/>
        <v>1.8285259489204693</v>
      </c>
    </row>
    <row r="225" spans="23:35" x14ac:dyDescent="0.3">
      <c r="W225" s="86">
        <f>MSY!A266</f>
        <v>2.2200000000000002</v>
      </c>
      <c r="X225" s="86">
        <f>MSY!B266</f>
        <v>0.17710286929260316</v>
      </c>
      <c r="Y225" s="86">
        <f>MSY!C266</f>
        <v>0.78679874626743673</v>
      </c>
      <c r="Z225" s="86">
        <f>MSY!D266</f>
        <v>1.5311829577220635</v>
      </c>
      <c r="AA225" s="86">
        <f>MSY!E266</f>
        <v>1.1853579790592104</v>
      </c>
      <c r="AB225" s="86">
        <f>MSY!F266</f>
        <v>1.8149999363353293</v>
      </c>
      <c r="AC225" s="86">
        <f>MSY!G266</f>
        <v>0.93263817180188924</v>
      </c>
      <c r="AD225" s="24">
        <f t="shared" si="13"/>
        <v>0.22289713070739686</v>
      </c>
      <c r="AE225" s="24">
        <f t="shared" si="14"/>
        <v>0.17289713070739682</v>
      </c>
      <c r="AH225">
        <f t="shared" si="12"/>
        <v>2.2200000000000002</v>
      </c>
      <c r="AI225">
        <f t="shared" si="15"/>
        <v>1.8149999363353293</v>
      </c>
    </row>
    <row r="226" spans="23:35" x14ac:dyDescent="0.3">
      <c r="W226" s="86">
        <f>MSY!A267</f>
        <v>2.23</v>
      </c>
      <c r="X226" s="86">
        <f>MSY!B267</f>
        <v>0.17678847460112776</v>
      </c>
      <c r="Y226" s="86">
        <f>MSY!C267</f>
        <v>0.78674225013043819</v>
      </c>
      <c r="Z226" s="86">
        <f>MSY!D267</f>
        <v>1.5284647872287889</v>
      </c>
      <c r="AA226" s="86">
        <f>MSY!E267</f>
        <v>1.178679086477016</v>
      </c>
      <c r="AB226" s="86">
        <f>MSY!F267</f>
        <v>1.8015694791231156</v>
      </c>
      <c r="AC226" s="86">
        <f>MSY!G267</f>
        <v>0.9273166366766169</v>
      </c>
      <c r="AD226" s="24">
        <f t="shared" si="13"/>
        <v>0.22321152539887226</v>
      </c>
      <c r="AE226" s="24">
        <f t="shared" si="14"/>
        <v>0.17321152539887222</v>
      </c>
      <c r="AH226">
        <f t="shared" si="12"/>
        <v>2.23</v>
      </c>
      <c r="AI226">
        <f t="shared" si="15"/>
        <v>1.8015694791231156</v>
      </c>
    </row>
    <row r="227" spans="23:35" x14ac:dyDescent="0.3">
      <c r="W227" s="86">
        <f>MSY!A268</f>
        <v>2.2400000000000002</v>
      </c>
      <c r="X227" s="86">
        <f>MSY!B268</f>
        <v>0.17647629034618892</v>
      </c>
      <c r="Y227" s="86">
        <f>MSY!C268</f>
        <v>0.78668541339631171</v>
      </c>
      <c r="Z227" s="86">
        <f>MSY!D268</f>
        <v>1.5257657275650984</v>
      </c>
      <c r="AA227" s="86">
        <f>MSY!E268</f>
        <v>1.1720236049675585</v>
      </c>
      <c r="AB227" s="86">
        <f>MSY!F268</f>
        <v>1.7882334483567965</v>
      </c>
      <c r="AC227" s="86">
        <f>MSY!G268</f>
        <v>0.92201387418413927</v>
      </c>
      <c r="AD227" s="24">
        <f t="shared" si="13"/>
        <v>0.2235237096538111</v>
      </c>
      <c r="AE227" s="24">
        <f t="shared" si="14"/>
        <v>0.17352370965381106</v>
      </c>
      <c r="AH227">
        <f t="shared" si="12"/>
        <v>2.2400000000000002</v>
      </c>
      <c r="AI227">
        <f t="shared" si="15"/>
        <v>1.7882334483567965</v>
      </c>
    </row>
    <row r="228" spans="23:35" x14ac:dyDescent="0.3">
      <c r="W228" s="86">
        <f>MSY!A269</f>
        <v>2.25</v>
      </c>
      <c r="X228" s="86">
        <f>MSY!B269</f>
        <v>0.17616629053402327</v>
      </c>
      <c r="Y228" s="86">
        <f>MSY!C269</f>
        <v>0.78662824537085341</v>
      </c>
      <c r="Z228" s="86">
        <f>MSY!D269</f>
        <v>1.5230855539960251</v>
      </c>
      <c r="AA228" s="86">
        <f>MSY!E269</f>
        <v>1.1653913524200179</v>
      </c>
      <c r="AB228" s="86">
        <f>MSY!F269</f>
        <v>1.7749907336228199</v>
      </c>
      <c r="AC228" s="86">
        <f>MSY!G269</f>
        <v>0.91672975472452456</v>
      </c>
      <c r="AD228" s="24">
        <f t="shared" si="13"/>
        <v>0.22383370946597675</v>
      </c>
      <c r="AE228" s="24">
        <f t="shared" si="14"/>
        <v>0.1738337094659767</v>
      </c>
      <c r="AH228">
        <f t="shared" si="12"/>
        <v>2.25</v>
      </c>
      <c r="AI228">
        <f t="shared" si="15"/>
        <v>1.7749907336228199</v>
      </c>
    </row>
    <row r="229" spans="23:35" x14ac:dyDescent="0.3">
      <c r="W229" s="86">
        <f>MSY!A270</f>
        <v>2.2599999999999998</v>
      </c>
      <c r="X229" s="86">
        <f>MSY!B270</f>
        <v>0.17585844959524363</v>
      </c>
      <c r="Y229" s="86">
        <f>MSY!C270</f>
        <v>0.78657075515540464</v>
      </c>
      <c r="Z229" s="86">
        <f>MSY!D270</f>
        <v>1.5204240454556424</v>
      </c>
      <c r="AA229" s="86">
        <f>MSY!E270</f>
        <v>1.1587821489026358</v>
      </c>
      <c r="AB229" s="86">
        <f>MSY!F270</f>
        <v>1.761840242636328</v>
      </c>
      <c r="AC229" s="86">
        <f>MSY!G270</f>
        <v>0.91146414992294877</v>
      </c>
      <c r="AD229" s="24">
        <f t="shared" si="13"/>
        <v>0.22414155040475639</v>
      </c>
      <c r="AE229" s="24">
        <f t="shared" si="14"/>
        <v>0.17414155040475635</v>
      </c>
      <c r="AH229">
        <f t="shared" si="12"/>
        <v>2.2599999999999998</v>
      </c>
      <c r="AI229">
        <f t="shared" si="15"/>
        <v>1.761840242636328</v>
      </c>
    </row>
    <row r="230" spans="23:35" x14ac:dyDescent="0.3">
      <c r="W230" s="86">
        <f>MSY!A271</f>
        <v>2.27</v>
      </c>
      <c r="X230" s="86">
        <f>MSY!B271</f>
        <v>0.1755527423760572</v>
      </c>
      <c r="Y230" s="86">
        <f>MSY!C271</f>
        <v>0.78651295165180735</v>
      </c>
      <c r="Z230" s="86">
        <f>MSY!D271</f>
        <v>1.5177809844711392</v>
      </c>
      <c r="AA230" s="86">
        <f>MSY!E271</f>
        <v>1.1521958166285564</v>
      </c>
      <c r="AB230" s="86">
        <f>MSY!F271</f>
        <v>1.7487809008660185</v>
      </c>
      <c r="AC230" s="86">
        <f>MSY!G271</f>
        <v>0.90621693261739045</v>
      </c>
      <c r="AD230" s="24">
        <f t="shared" si="13"/>
        <v>0.22444725762394283</v>
      </c>
      <c r="AE230" s="24">
        <f t="shared" si="14"/>
        <v>0.17444725762394278</v>
      </c>
      <c r="AH230">
        <f t="shared" si="12"/>
        <v>2.27</v>
      </c>
      <c r="AI230">
        <f t="shared" si="15"/>
        <v>1.7487809008660185</v>
      </c>
    </row>
    <row r="231" spans="23:35" x14ac:dyDescent="0.3">
      <c r="W231" s="86">
        <f>MSY!A272</f>
        <v>2.2799999999999998</v>
      </c>
      <c r="X231" s="86">
        <f>MSY!B272</f>
        <v>0.17524914412970322</v>
      </c>
      <c r="Y231" s="86">
        <f>MSY!C272</f>
        <v>0.78645484356722251</v>
      </c>
      <c r="Z231" s="86">
        <f>MSY!D272</f>
        <v>1.5151561570887917</v>
      </c>
      <c r="AA231" s="86">
        <f>MSY!E272</f>
        <v>1.1456321799223257</v>
      </c>
      <c r="AB231" s="86">
        <f>MSY!F272</f>
        <v>1.7358116511683661</v>
      </c>
      <c r="AC231" s="86">
        <f>MSY!G272</f>
        <v>0.90098797684638876</v>
      </c>
      <c r="AD231" s="24">
        <f t="shared" si="13"/>
        <v>0.22475085587029681</v>
      </c>
      <c r="AE231" s="24">
        <f t="shared" si="14"/>
        <v>0.17475085587029676</v>
      </c>
      <c r="AH231">
        <f t="shared" si="12"/>
        <v>2.2799999999999998</v>
      </c>
      <c r="AI231">
        <f t="shared" si="15"/>
        <v>1.7358116511683661</v>
      </c>
    </row>
    <row r="232" spans="23:35" x14ac:dyDescent="0.3">
      <c r="W232" s="86">
        <f>MSY!A273</f>
        <v>2.29</v>
      </c>
      <c r="X232" s="86">
        <f>MSY!B273</f>
        <v>0.17494763050810253</v>
      </c>
      <c r="Y232" s="86">
        <f>MSY!C273</f>
        <v>0.7863964394188121</v>
      </c>
      <c r="Z232" s="86">
        <f>MSY!D273</f>
        <v>1.5125493528017686</v>
      </c>
      <c r="AA232" s="86">
        <f>MSY!E273</f>
        <v>1.139091065187027</v>
      </c>
      <c r="AB232" s="86">
        <f>MSY!F273</f>
        <v>1.7229314534309148</v>
      </c>
      <c r="AC232" s="86">
        <f>MSY!G273</f>
        <v>0.89577715783685996</v>
      </c>
      <c r="AD232" s="24">
        <f t="shared" si="13"/>
        <v>0.2250523694918975</v>
      </c>
      <c r="AE232" s="24">
        <f t="shared" si="14"/>
        <v>0.17505236949189745</v>
      </c>
      <c r="AH232">
        <f t="shared" si="12"/>
        <v>2.29</v>
      </c>
      <c r="AI232">
        <f t="shared" si="15"/>
        <v>1.7229314534309148</v>
      </c>
    </row>
    <row r="233" spans="23:35" x14ac:dyDescent="0.3">
      <c r="W233" s="86">
        <f>MSY!A274</f>
        <v>2.2999999999999998</v>
      </c>
      <c r="X233" s="86">
        <f>MSY!B274</f>
        <v>0.17464817755371459</v>
      </c>
      <c r="Y233" s="86">
        <f>MSY!C274</f>
        <v>0.78633774753829766</v>
      </c>
      <c r="Z233" s="86">
        <f>MSY!D274</f>
        <v>1.5099603644797286</v>
      </c>
      <c r="AA233" s="86">
        <f>MSY!E274</f>
        <v>1.1325723008720565</v>
      </c>
      <c r="AB233" s="86">
        <f>MSY!F274</f>
        <v>1.7101392842244152</v>
      </c>
      <c r="AC233" s="86">
        <f>MSY!G274</f>
        <v>0.89058435199200003</v>
      </c>
      <c r="AD233" s="24">
        <f t="shared" si="13"/>
        <v>0.22535182244628543</v>
      </c>
      <c r="AE233" s="24">
        <f t="shared" si="14"/>
        <v>0.17535182244628539</v>
      </c>
      <c r="AH233">
        <f t="shared" si="12"/>
        <v>2.2999999999999998</v>
      </c>
      <c r="AI233">
        <f t="shared" si="15"/>
        <v>1.7101392842244152</v>
      </c>
    </row>
    <row r="234" spans="23:35" x14ac:dyDescent="0.3">
      <c r="W234" s="86">
        <f>MSY!A275</f>
        <v>2.31</v>
      </c>
      <c r="X234" s="86">
        <f>MSY!B275</f>
        <v>0.17435076169159369</v>
      </c>
      <c r="Y234" s="86">
        <f>MSY!C275</f>
        <v>0.78627877607638619</v>
      </c>
      <c r="Z234" s="86">
        <f>MSY!D275</f>
        <v>1.5073889883001403</v>
      </c>
      <c r="AA234" s="86">
        <f>MSY!E275</f>
        <v>1.1260757174414884</v>
      </c>
      <c r="AB234" s="86">
        <f>MSY!F275</f>
        <v>1.6974341364634797</v>
      </c>
      <c r="AC234" s="86">
        <f>MSY!G275</f>
        <v>0.88540943687923201</v>
      </c>
      <c r="AD234" s="24">
        <f t="shared" si="13"/>
        <v>0.22564923830840633</v>
      </c>
      <c r="AE234" s="24">
        <f t="shared" si="14"/>
        <v>0.17564923830840629</v>
      </c>
      <c r="AH234">
        <f t="shared" si="12"/>
        <v>2.31</v>
      </c>
      <c r="AI234">
        <f t="shared" si="15"/>
        <v>1.6974341364634797</v>
      </c>
    </row>
    <row r="235" spans="23:35" x14ac:dyDescent="0.3">
      <c r="W235" s="86">
        <f>MSY!A276</f>
        <v>2.3199999999999998</v>
      </c>
      <c r="X235" s="86">
        <f>MSY!B276</f>
        <v>0.17405535972164157</v>
      </c>
      <c r="Y235" s="86">
        <f>MSY!C276</f>
        <v>0.78621953300708092</v>
      </c>
      <c r="Z235" s="86">
        <f>MSY!D276</f>
        <v>1.5048350236813013</v>
      </c>
      <c r="AA235" s="86">
        <f>MSY!E276</f>
        <v>1.1196011473430747</v>
      </c>
      <c r="AB235" s="86">
        <f>MSY!F276</f>
        <v>1.6848150190756279</v>
      </c>
      <c r="AC235" s="86">
        <f>MSY!G276</f>
        <v>0.8802522912182642</v>
      </c>
      <c r="AD235" s="24">
        <f t="shared" si="13"/>
        <v>0.22594464027835845</v>
      </c>
      <c r="AE235" s="24">
        <f t="shared" si="14"/>
        <v>0.17594464027835841</v>
      </c>
      <c r="AH235">
        <f t="shared" si="12"/>
        <v>2.3199999999999998</v>
      </c>
      <c r="AI235">
        <f t="shared" si="15"/>
        <v>1.6848150190756279</v>
      </c>
    </row>
    <row r="236" spans="23:35" x14ac:dyDescent="0.3">
      <c r="W236" s="86">
        <f>MSY!A277</f>
        <v>2.33</v>
      </c>
      <c r="X236" s="86">
        <f>MSY!B277</f>
        <v>0.17376194881104792</v>
      </c>
      <c r="Y236" s="86">
        <f>MSY!C277</f>
        <v>0.78616002613187375</v>
      </c>
      <c r="Z236" s="86">
        <f>MSY!D277</f>
        <v>1.5022982732169794</v>
      </c>
      <c r="AA236" s="86">
        <f>MSY!E277</f>
        <v>1.1131484249778008</v>
      </c>
      <c r="AB236" s="86">
        <f>MSY!F277</f>
        <v>1.6722809566783503</v>
      </c>
      <c r="AC236" s="86">
        <f>MSY!G277</f>
        <v>0.8751127948692019</v>
      </c>
      <c r="AD236" s="24">
        <f t="shared" si="13"/>
        <v>0.2262380511889521</v>
      </c>
      <c r="AE236" s="24">
        <f t="shared" si="14"/>
        <v>0.17623805118895206</v>
      </c>
      <c r="AH236">
        <f t="shared" si="12"/>
        <v>2.33</v>
      </c>
      <c r="AI236">
        <f t="shared" si="15"/>
        <v>1.6722809566783503</v>
      </c>
    </row>
    <row r="237" spans="23:35" x14ac:dyDescent="0.3">
      <c r="W237" s="86">
        <f>MSY!A278</f>
        <v>2.34</v>
      </c>
      <c r="X237" s="86">
        <f>MSY!B278</f>
        <v>0.173470506486915</v>
      </c>
      <c r="Y237" s="86">
        <f>MSY!C278</f>
        <v>0.78610026308382142</v>
      </c>
      <c r="Z237" s="86">
        <f>MSY!D278</f>
        <v>1.4997785426126495</v>
      </c>
      <c r="AA237" s="86">
        <f>MSY!E278</f>
        <v>1.1067173866700302</v>
      </c>
      <c r="AB237" s="86">
        <f>MSY!F278</f>
        <v>1.6598309892640579</v>
      </c>
      <c r="AC237" s="86">
        <f>MSY!G278</f>
        <v>0.86999082882075007</v>
      </c>
      <c r="AD237" s="24">
        <f t="shared" si="13"/>
        <v>0.22652949351308502</v>
      </c>
      <c r="AE237" s="24">
        <f t="shared" si="14"/>
        <v>0.17652949351308497</v>
      </c>
      <c r="AH237">
        <f t="shared" si="12"/>
        <v>2.34</v>
      </c>
      <c r="AI237">
        <f t="shared" si="15"/>
        <v>1.6598309892640579</v>
      </c>
    </row>
    <row r="238" spans="23:35" x14ac:dyDescent="0.3">
      <c r="W238" s="86">
        <f>MSY!A279</f>
        <v>2.35</v>
      </c>
      <c r="X238" s="86">
        <f>MSY!B279</f>
        <v>0.17318101062906152</v>
      </c>
      <c r="Y238" s="86">
        <f>MSY!C279</f>
        <v>0.78604025133151478</v>
      </c>
      <c r="Z238" s="86">
        <f>MSY!D279</f>
        <v>1.497275640623275</v>
      </c>
      <c r="AA238" s="86">
        <f>MSY!E279</f>
        <v>1.1003078706382086</v>
      </c>
      <c r="AB238" s="86">
        <f>MSY!F279</f>
        <v>1.6474641718926553</v>
      </c>
      <c r="AC238" s="86">
        <f>MSY!G279</f>
        <v>0.86488627517850136</v>
      </c>
      <c r="AD238" s="24">
        <f t="shared" si="13"/>
        <v>0.2268189893709385</v>
      </c>
      <c r="AE238" s="24">
        <f t="shared" si="14"/>
        <v>0.17681898937093846</v>
      </c>
      <c r="AH238">
        <f t="shared" si="12"/>
        <v>2.35</v>
      </c>
      <c r="AI238">
        <f t="shared" si="15"/>
        <v>1.6474641718926553</v>
      </c>
    </row>
    <row r="239" spans="23:35" x14ac:dyDescent="0.3">
      <c r="W239" s="86">
        <f>MSY!A280</f>
        <v>2.36</v>
      </c>
      <c r="X239" s="86">
        <f>MSY!B280</f>
        <v>0.17289343946299918</v>
      </c>
      <c r="Y239" s="86">
        <f>MSY!C280</f>
        <v>0.78597999818293751</v>
      </c>
      <c r="Z239" s="86">
        <f>MSY!D280</f>
        <v>1.4947893789925872</v>
      </c>
      <c r="AA239" s="86">
        <f>MSY!E280</f>
        <v>1.0939197169661152</v>
      </c>
      <c r="AB239" s="86">
        <f>MSY!F280</f>
        <v>1.6351795743915261</v>
      </c>
      <c r="AC239" s="86">
        <f>MSY!G280</f>
        <v>0.85979901715330675</v>
      </c>
      <c r="AD239" s="24">
        <f t="shared" si="13"/>
        <v>0.22710656053700085</v>
      </c>
      <c r="AE239" s="24">
        <f t="shared" si="14"/>
        <v>0.1771065605370008</v>
      </c>
      <c r="AH239">
        <f t="shared" si="12"/>
        <v>2.36</v>
      </c>
      <c r="AI239">
        <f t="shared" si="15"/>
        <v>1.6351795743915261</v>
      </c>
    </row>
    <row r="240" spans="23:35" x14ac:dyDescent="0.3">
      <c r="W240" s="86">
        <f>MSY!A281</f>
        <v>2.37</v>
      </c>
      <c r="X240" s="86">
        <f>MSY!B281</f>
        <v>0.17260777155307835</v>
      </c>
      <c r="Y240" s="86">
        <f>MSY!C281</f>
        <v>0.7859195107892275</v>
      </c>
      <c r="Z240" s="86">
        <f>MSY!D281</f>
        <v>1.4923195723938236</v>
      </c>
      <c r="AA240" s="86">
        <f>MSY!E281</f>
        <v>1.0875527675746484</v>
      </c>
      <c r="AB240" s="86">
        <f>MSY!F281</f>
        <v>1.6229762810627189</v>
      </c>
      <c r="AC240" s="86">
        <f>MSY!G281</f>
        <v>0.85472893904973812</v>
      </c>
      <c r="AD240" s="24">
        <f t="shared" si="13"/>
        <v>0.22739222844692167</v>
      </c>
      <c r="AE240" s="24">
        <f t="shared" si="14"/>
        <v>0.17739222844692162</v>
      </c>
      <c r="AH240">
        <f t="shared" si="12"/>
        <v>2.37</v>
      </c>
      <c r="AI240">
        <f t="shared" si="15"/>
        <v>1.6229762810627189</v>
      </c>
    </row>
    <row r="241" spans="23:35" x14ac:dyDescent="0.3">
      <c r="W241" s="86">
        <f>MSY!A282</f>
        <v>2.38</v>
      </c>
      <c r="X241" s="86">
        <f>MSY!B282</f>
        <v>0.17232398579579764</v>
      </c>
      <c r="Y241" s="86">
        <f>MSY!C282</f>
        <v>0.78585879614832999</v>
      </c>
      <c r="Z241" s="86">
        <f>MSY!D282</f>
        <v>1.489866038371884</v>
      </c>
      <c r="AA241" s="86">
        <f>MSY!E282</f>
        <v>1.081206866194137</v>
      </c>
      <c r="AB241" s="86">
        <f>MSY!F282</f>
        <v>1.6108533903971385</v>
      </c>
      <c r="AC241" s="86">
        <f>MSY!G282</f>
        <v>0.84967592625463295</v>
      </c>
      <c r="AD241" s="24">
        <f t="shared" si="13"/>
        <v>0.22767601420420239</v>
      </c>
      <c r="AE241" s="24">
        <f t="shared" si="14"/>
        <v>0.17767601420420234</v>
      </c>
      <c r="AH241">
        <f t="shared" si="12"/>
        <v>2.38</v>
      </c>
      <c r="AI241">
        <f t="shared" si="15"/>
        <v>1.6108533903971385</v>
      </c>
    </row>
    <row r="242" spans="23:35" x14ac:dyDescent="0.3">
      <c r="W242" s="86">
        <f>MSY!A283</f>
        <v>2.39</v>
      </c>
      <c r="X242" s="86">
        <f>MSY!B283</f>
        <v>0.17204206141327241</v>
      </c>
      <c r="Y242" s="86">
        <f>MSY!C283</f>
        <v>0.78579786110856054</v>
      </c>
      <c r="Z242" s="86">
        <f>MSY!D283</f>
        <v>1.4874285972868628</v>
      </c>
      <c r="AA242" s="86">
        <f>MSY!E283</f>
        <v>1.0748818583371653</v>
      </c>
      <c r="AB242" s="86">
        <f>MSY!F283</f>
        <v>1.5988100147955462</v>
      </c>
      <c r="AC242" s="86">
        <f>MSY!G283</f>
        <v>0.84463986522573931</v>
      </c>
      <c r="AD242" s="24">
        <f t="shared" si="13"/>
        <v>0.22795793858672761</v>
      </c>
      <c r="AE242" s="24">
        <f t="shared" si="14"/>
        <v>0.17795793858672757</v>
      </c>
      <c r="AH242">
        <f t="shared" si="12"/>
        <v>2.39</v>
      </c>
      <c r="AI242">
        <f t="shared" si="15"/>
        <v>1.5988100147955462</v>
      </c>
    </row>
    <row r="243" spans="23:35" x14ac:dyDescent="0.3">
      <c r="W243" s="86">
        <f>MSY!A284</f>
        <v>2.4</v>
      </c>
      <c r="X243" s="86">
        <f>MSY!B284</f>
        <v>0.1717619779468591</v>
      </c>
      <c r="Y243" s="86">
        <f>MSY!C284</f>
        <v>0.78573671237206877</v>
      </c>
      <c r="Z243" s="86">
        <f>MSY!D284</f>
        <v>1.4850070722589244</v>
      </c>
      <c r="AA243" s="86">
        <f>MSY!E284</f>
        <v>1.0685775912719031</v>
      </c>
      <c r="AB243" s="86">
        <f>MSY!F284</f>
        <v>1.5868452802961823</v>
      </c>
      <c r="AC243" s="86">
        <f>MSY!G284</f>
        <v>0.8396206434804494</v>
      </c>
      <c r="AD243" s="24">
        <f t="shared" si="13"/>
        <v>0.22823802205314092</v>
      </c>
      <c r="AE243" s="24">
        <f t="shared" si="14"/>
        <v>0.17823802205314088</v>
      </c>
      <c r="AH243">
        <f t="shared" si="12"/>
        <v>2.4</v>
      </c>
      <c r="AI243">
        <f t="shared" si="15"/>
        <v>1.5868452802961823</v>
      </c>
    </row>
    <row r="244" spans="23:35" x14ac:dyDescent="0.3">
      <c r="W244" s="86">
        <f>MSY!A285</f>
        <v>2.41</v>
      </c>
      <c r="X244" s="86">
        <f>MSY!B285</f>
        <v>0.17148371525092945</v>
      </c>
      <c r="Y244" s="86">
        <f>MSY!C285</f>
        <v>0.78567535649821485</v>
      </c>
      <c r="Z244" s="86">
        <f>MSY!D285</f>
        <v>1.4826012891144777</v>
      </c>
      <c r="AA244" s="86">
        <f>MSY!E285</f>
        <v>1.0622939139959238</v>
      </c>
      <c r="AB244" s="86">
        <f>MSY!F285</f>
        <v>1.5749583263088207</v>
      </c>
      <c r="AC244" s="86">
        <f>MSY!G285</f>
        <v>0.83461814958463143</v>
      </c>
      <c r="AD244" s="24">
        <f t="shared" si="13"/>
        <v>0.22851628474907057</v>
      </c>
      <c r="AE244" s="24">
        <f t="shared" si="14"/>
        <v>0.17851628474907053</v>
      </c>
      <c r="AH244">
        <f t="shared" si="12"/>
        <v>2.41</v>
      </c>
      <c r="AI244">
        <f t="shared" si="15"/>
        <v>1.5749583263088207</v>
      </c>
    </row>
    <row r="245" spans="23:35" x14ac:dyDescent="0.3">
      <c r="W245" s="86">
        <f>MSY!A286</f>
        <v>2.42</v>
      </c>
      <c r="X245" s="86">
        <f>MSY!B286</f>
        <v>0.17120725348679094</v>
      </c>
      <c r="Y245" s="86">
        <f>MSY!C286</f>
        <v>0.78561379990685309</v>
      </c>
      <c r="Z245" s="86">
        <f>MSY!D286</f>
        <v>1.4802110763336149</v>
      </c>
      <c r="AA245" s="86">
        <f>MSY!E286</f>
        <v>1.0560306772104933</v>
      </c>
      <c r="AB245" s="86">
        <f>MSY!F286</f>
        <v>1.5631483053550606</v>
      </c>
      <c r="AC245" s="86">
        <f>MSY!G286</f>
        <v>0.82963227314154298</v>
      </c>
      <c r="AD245" s="24">
        <f t="shared" si="13"/>
        <v>0.22879274651320908</v>
      </c>
      <c r="AE245" s="24">
        <f t="shared" si="14"/>
        <v>0.17879274651320903</v>
      </c>
      <c r="AH245">
        <f t="shared" si="12"/>
        <v>2.42</v>
      </c>
      <c r="AI245">
        <f t="shared" si="15"/>
        <v>1.5631483053550606</v>
      </c>
    </row>
    <row r="246" spans="23:35" x14ac:dyDescent="0.3">
      <c r="W246" s="86">
        <f>MSY!A287</f>
        <v>2.4300000000000002</v>
      </c>
      <c r="X246" s="86">
        <f>MSY!B287</f>
        <v>0.17093257311675078</v>
      </c>
      <c r="Y246" s="86">
        <f>MSY!C287</f>
        <v>0.78555204888153252</v>
      </c>
      <c r="Z246" s="86">
        <f>MSY!D287</f>
        <v>1.4778362649987888</v>
      </c>
      <c r="AA246" s="86">
        <f>MSY!E287</f>
        <v>1.049787733295348</v>
      </c>
      <c r="AB246" s="86">
        <f>MSY!F287</f>
        <v>1.551414382814742</v>
      </c>
      <c r="AC246" s="86">
        <f>MSY!G287</f>
        <v>0.82466290478086046</v>
      </c>
      <c r="AD246" s="24">
        <f t="shared" si="13"/>
        <v>0.22906742688324924</v>
      </c>
      <c r="AE246" s="24">
        <f t="shared" si="14"/>
        <v>0.1790674268832492</v>
      </c>
      <c r="AH246">
        <f t="shared" si="12"/>
        <v>2.4300000000000002</v>
      </c>
      <c r="AI246">
        <f t="shared" si="15"/>
        <v>1.551414382814742</v>
      </c>
    </row>
    <row r="247" spans="23:35" x14ac:dyDescent="0.3">
      <c r="W247" s="86">
        <f>MSY!A288</f>
        <v>2.44</v>
      </c>
      <c r="X247" s="86">
        <f>MSY!B288</f>
        <v>0.17065965489831747</v>
      </c>
      <c r="Y247" s="86">
        <f>MSY!C288</f>
        <v>0.78549010957261378</v>
      </c>
      <c r="Z247" s="86">
        <f>MSY!D288</f>
        <v>1.4754766887446824</v>
      </c>
      <c r="AA247" s="86">
        <f>MSY!E288</f>
        <v>1.043564936283919</v>
      </c>
      <c r="AB247" s="86">
        <f>MSY!F288</f>
        <v>1.5397557366782524</v>
      </c>
      <c r="AC247" s="86">
        <f>MSY!G288</f>
        <v>0.81970993614779331</v>
      </c>
      <c r="AD247" s="24">
        <f t="shared" si="13"/>
        <v>0.22934034510168255</v>
      </c>
      <c r="AE247" s="24">
        <f t="shared" si="14"/>
        <v>0.17934034510168251</v>
      </c>
      <c r="AH247">
        <f t="shared" si="12"/>
        <v>2.44</v>
      </c>
      <c r="AI247">
        <f t="shared" si="15"/>
        <v>1.5397557366782524</v>
      </c>
    </row>
    <row r="248" spans="23:35" x14ac:dyDescent="0.3">
      <c r="W248" s="86">
        <f>MSY!A289</f>
        <v>2.4500000000000002</v>
      </c>
      <c r="X248" s="86">
        <f>MSY!B289</f>
        <v>0.17038847987853742</v>
      </c>
      <c r="Y248" s="86">
        <f>MSY!C289</f>
        <v>0.785427988000302</v>
      </c>
      <c r="Z248" s="86">
        <f>MSY!D289</f>
        <v>1.4731321837092435</v>
      </c>
      <c r="AA248" s="86">
        <f>MSY!E289</f>
        <v>1.0373621418390053</v>
      </c>
      <c r="AB248" s="86">
        <f>MSY!F289</f>
        <v>1.528171557304592</v>
      </c>
      <c r="AC248" s="86">
        <f>MSY!G289</f>
        <v>0.81477325989229388</v>
      </c>
      <c r="AD248" s="24">
        <f t="shared" si="13"/>
        <v>0.2296115201214626</v>
      </c>
      <c r="AE248" s="24">
        <f t="shared" si="14"/>
        <v>0.17961152012146256</v>
      </c>
      <c r="AH248">
        <f t="shared" si="12"/>
        <v>2.4500000000000002</v>
      </c>
      <c r="AI248">
        <f t="shared" si="15"/>
        <v>1.528171557304592</v>
      </c>
    </row>
    <row r="249" spans="23:35" x14ac:dyDescent="0.3">
      <c r="W249" s="86">
        <f>MSY!A290</f>
        <v>2.46</v>
      </c>
      <c r="X249" s="86">
        <f>MSY!B290</f>
        <v>0.17011902938846288</v>
      </c>
      <c r="Y249" s="86">
        <f>MSY!C290</f>
        <v>0.78536569005760648</v>
      </c>
      <c r="Z249" s="86">
        <f>MSY!D290</f>
        <v>1.4708025884858575</v>
      </c>
      <c r="AA249" s="86">
        <f>MSY!E290</f>
        <v>1.0311792072288957</v>
      </c>
      <c r="AB249" s="86">
        <f>MSY!F290</f>
        <v>1.5166610471850543</v>
      </c>
      <c r="AC249" s="86">
        <f>MSY!G290</f>
        <v>0.80985276965837727</v>
      </c>
      <c r="AD249" s="24">
        <f t="shared" si="13"/>
        <v>0.22988097061153714</v>
      </c>
      <c r="AE249" s="24">
        <f t="shared" si="14"/>
        <v>0.1798809706115371</v>
      </c>
      <c r="AH249">
        <f t="shared" si="12"/>
        <v>2.46</v>
      </c>
      <c r="AI249">
        <f t="shared" si="15"/>
        <v>1.5166610471850543</v>
      </c>
    </row>
    <row r="250" spans="23:35" x14ac:dyDescent="0.3">
      <c r="W250" s="86">
        <f>MSY!A291</f>
        <v>2.4700000000000002</v>
      </c>
      <c r="X250" s="86">
        <f>MSY!B291</f>
        <v>0.16985128503774724</v>
      </c>
      <c r="Y250" s="86">
        <f>MSY!C291</f>
        <v>0.78530322151321796</v>
      </c>
      <c r="Z250" s="86">
        <f>MSY!D291</f>
        <v>1.4684877440766186</v>
      </c>
      <c r="AA250" s="86">
        <f>MSY!E291</f>
        <v>1.0250159913039141</v>
      </c>
      <c r="AB250" s="86">
        <f>MSY!F291</f>
        <v>1.5052234207123438</v>
      </c>
      <c r="AC250" s="86">
        <f>MSY!G291</f>
        <v>0.80494836007352832</v>
      </c>
      <c r="AD250" s="24">
        <f t="shared" si="13"/>
        <v>0.23014871496225278</v>
      </c>
      <c r="AE250" s="24">
        <f t="shared" si="14"/>
        <v>0.18014871496225274</v>
      </c>
      <c r="AH250">
        <f t="shared" si="12"/>
        <v>2.4700000000000002</v>
      </c>
      <c r="AI250">
        <f t="shared" si="15"/>
        <v>1.5052234207123438</v>
      </c>
    </row>
    <row r="251" spans="23:35" x14ac:dyDescent="0.3">
      <c r="W251" s="86">
        <f>MSY!A292</f>
        <v>2.48</v>
      </c>
      <c r="X251" s="86">
        <f>MSY!B292</f>
        <v>0.16958522870936446</v>
      </c>
      <c r="Y251" s="86">
        <f>MSY!C292</f>
        <v>0.78524058801431784</v>
      </c>
      <c r="Z251" s="86">
        <f>MSY!D292</f>
        <v>1.4661874938466761</v>
      </c>
      <c r="AA251" s="86">
        <f>MSY!E292</f>
        <v>1.0188723544733884</v>
      </c>
      <c r="AB251" s="86">
        <f>MSY!F292</f>
        <v>1.4938579039549995</v>
      </c>
      <c r="AC251" s="86">
        <f>MSY!G292</f>
        <v>0.80005992673821602</v>
      </c>
      <c r="AD251" s="24">
        <f t="shared" si="13"/>
        <v>0.23041477129063556</v>
      </c>
      <c r="AE251" s="24">
        <f t="shared" si="14"/>
        <v>0.18041477129063552</v>
      </c>
      <c r="AH251">
        <f t="shared" si="12"/>
        <v>2.48</v>
      </c>
      <c r="AI251">
        <f t="shared" si="15"/>
        <v>1.4938579039549995</v>
      </c>
    </row>
    <row r="252" spans="23:35" x14ac:dyDescent="0.3">
      <c r="W252" s="86">
        <f>MSY!A293</f>
        <v>2.4900000000000002</v>
      </c>
      <c r="X252" s="86">
        <f>MSY!B293</f>
        <v>0.16932084255444962</v>
      </c>
      <c r="Y252" s="86">
        <f>MSY!C293</f>
        <v>0.78517779508931074</v>
      </c>
      <c r="Z252" s="86">
        <f>MSY!D293</f>
        <v>1.4639016834796263</v>
      </c>
      <c r="AA252" s="86">
        <f>MSY!E293</f>
        <v>1.0127481586830365</v>
      </c>
      <c r="AB252" s="86">
        <f>MSY!F293</f>
        <v>1.4825637344369889</v>
      </c>
      <c r="AC252" s="86">
        <f>MSY!G293</f>
        <v>0.79518736621550601</v>
      </c>
      <c r="AD252" s="24">
        <f t="shared" si="13"/>
        <v>0.2306791574455504</v>
      </c>
      <c r="AE252" s="24">
        <f t="shared" si="14"/>
        <v>0.18067915744555035</v>
      </c>
      <c r="AH252">
        <f t="shared" si="12"/>
        <v>2.4900000000000002</v>
      </c>
      <c r="AI252">
        <f t="shared" si="15"/>
        <v>1.4825637344369889</v>
      </c>
    </row>
    <row r="253" spans="23:35" x14ac:dyDescent="0.3">
      <c r="W253" s="86">
        <f>MSY!A294</f>
        <v>2.5</v>
      </c>
      <c r="X253" s="86">
        <f>MSY!B294</f>
        <v>0.16905810898725607</v>
      </c>
      <c r="Y253" s="86">
        <f>MSY!C294</f>
        <v>0.78511484815048893</v>
      </c>
      <c r="Z253" s="86">
        <f>MSY!D294</f>
        <v>1.4616301609339153</v>
      </c>
      <c r="AA253" s="86">
        <f>MSY!E294</f>
        <v>1.0066432673927375</v>
      </c>
      <c r="AB253" s="86">
        <f>MSY!F294</f>
        <v>1.4713401609222891</v>
      </c>
      <c r="AC253" s="86">
        <f>MSY!G294</f>
        <v>0.79033057602076107</v>
      </c>
      <c r="AD253" s="24">
        <f t="shared" si="13"/>
        <v>0.23094189101274396</v>
      </c>
      <c r="AE253" s="24">
        <f t="shared" si="14"/>
        <v>0.18094189101274391</v>
      </c>
      <c r="AH253">
        <f t="shared" si="12"/>
        <v>2.5</v>
      </c>
      <c r="AI253">
        <f t="shared" si="15"/>
        <v>1.4713401609222891</v>
      </c>
    </row>
    <row r="254" spans="23:35" x14ac:dyDescent="0.3">
      <c r="W254" s="86">
        <f>MSY!A295</f>
        <v>2.5099999999999998</v>
      </c>
      <c r="X254" s="86">
        <f>MSY!B295</f>
        <v>0.16879701068022879</v>
      </c>
      <c r="Y254" s="86">
        <f>MSY!C295</f>
        <v>0.78505175249663095</v>
      </c>
      <c r="Z254" s="86">
        <f>MSY!D295</f>
        <v>1.4593727764002422</v>
      </c>
      <c r="AA254" s="86">
        <f>MSY!E295</f>
        <v>1.0005575455547351</v>
      </c>
      <c r="AB254" s="86">
        <f>MSY!F295</f>
        <v>1.4601864432044256</v>
      </c>
      <c r="AC254" s="86">
        <f>MSY!G295</f>
        <v>0.78548945461147246</v>
      </c>
      <c r="AD254" s="24">
        <f t="shared" si="13"/>
        <v>0.23120298931977123</v>
      </c>
      <c r="AE254" s="24">
        <f t="shared" si="14"/>
        <v>0.18120298931977119</v>
      </c>
      <c r="AH254">
        <f t="shared" si="12"/>
        <v>2.5099999999999998</v>
      </c>
      <c r="AI254">
        <f t="shared" si="15"/>
        <v>1.4601864432044256</v>
      </c>
    </row>
    <row r="255" spans="23:35" x14ac:dyDescent="0.3">
      <c r="W255" s="86">
        <f>MSY!A296</f>
        <v>2.52</v>
      </c>
      <c r="X255" s="86">
        <f>MSY!B296</f>
        <v>0.16853753055918699</v>
      </c>
      <c r="Y255" s="86">
        <f>MSY!C296</f>
        <v>0.78498851331553121</v>
      </c>
      <c r="Z255" s="86">
        <f>MSY!D296</f>
        <v>1.457129382259911</v>
      </c>
      <c r="AA255" s="86">
        <f>MSY!E296</f>
        <v>0.9944908595921782</v>
      </c>
      <c r="AB255" s="86">
        <f>MSY!F296</f>
        <v>1.4491018519006784</v>
      </c>
      <c r="AC255" s="86">
        <f>MSY!G296</f>
        <v>0.78066390137714869</v>
      </c>
      <c r="AD255" s="24">
        <f t="shared" si="13"/>
        <v>0.23146246944081303</v>
      </c>
      <c r="AE255" s="24">
        <f t="shared" si="14"/>
        <v>0.18146246944081298</v>
      </c>
      <c r="AH255">
        <f t="shared" si="12"/>
        <v>2.52</v>
      </c>
      <c r="AI255">
        <f t="shared" si="15"/>
        <v>1.4491018519006784</v>
      </c>
    </row>
    <row r="256" spans="23:35" x14ac:dyDescent="0.3">
      <c r="W256" s="86">
        <f>MSY!A297</f>
        <v>2.5299999999999998</v>
      </c>
      <c r="X256" s="86">
        <f>MSY!B297</f>
        <v>0.16827965179861709</v>
      </c>
      <c r="Y256" s="86">
        <f>MSY!C297</f>
        <v>0.7849251356864686</v>
      </c>
      <c r="Z256" s="86">
        <f>MSY!D297</f>
        <v>1.4548998330441343</v>
      </c>
      <c r="AA256" s="86">
        <f>MSY!E297</f>
        <v>0.98844307737808923</v>
      </c>
      <c r="AB256" s="86">
        <f>MSY!F297</f>
        <v>1.4380856682510124</v>
      </c>
      <c r="AC256" s="86">
        <f>MSY!G297</f>
        <v>0.77585381662934727</v>
      </c>
      <c r="AD256" s="24">
        <f t="shared" si="13"/>
        <v>0.23172034820138293</v>
      </c>
      <c r="AE256" s="24">
        <f t="shared" si="14"/>
        <v>0.18172034820138289</v>
      </c>
      <c r="AH256">
        <f t="shared" si="12"/>
        <v>2.5299999999999998</v>
      </c>
      <c r="AI256">
        <f t="shared" si="15"/>
        <v>1.4380856682510124</v>
      </c>
    </row>
    <row r="257" spans="23:35" x14ac:dyDescent="0.3">
      <c r="W257" s="86">
        <f>MSY!A298</f>
        <v>2.54</v>
      </c>
      <c r="X257" s="86">
        <f>MSY!B298</f>
        <v>0.16802335781707023</v>
      </c>
      <c r="Y257" s="86">
        <f>MSY!C298</f>
        <v>0.78486162458261022</v>
      </c>
      <c r="Z257" s="86">
        <f>MSY!D298</f>
        <v>1.4526839853942415</v>
      </c>
      <c r="AA257" s="86">
        <f>MSY!E298</f>
        <v>0.98241406821467125</v>
      </c>
      <c r="AB257" s="86">
        <f>MSY!F298</f>
        <v>1.4271371839214588</v>
      </c>
      <c r="AC257" s="86">
        <f>MSY!G298</f>
        <v>0.77105910159177815</v>
      </c>
      <c r="AD257" s="24">
        <f t="shared" si="13"/>
        <v>0.23197664218292979</v>
      </c>
      <c r="AE257" s="24">
        <f t="shared" si="14"/>
        <v>0.18197664218292975</v>
      </c>
      <c r="AH257">
        <f t="shared" si="12"/>
        <v>2.54</v>
      </c>
      <c r="AI257">
        <f t="shared" si="15"/>
        <v>1.4271371839214588</v>
      </c>
    </row>
    <row r="258" spans="23:35" x14ac:dyDescent="0.3">
      <c r="W258" s="86">
        <f>MSY!A299</f>
        <v>2.5499999999999998</v>
      </c>
      <c r="X258" s="86">
        <f>MSY!B299</f>
        <v>0.16776863227266239</v>
      </c>
      <c r="Y258" s="86">
        <f>MSY!C299</f>
        <v>0.78479798487335695</v>
      </c>
      <c r="Z258" s="86">
        <f>MSY!D299</f>
        <v>1.4504816980227742</v>
      </c>
      <c r="AA258" s="86">
        <f>MSY!E299</f>
        <v>0.97640370281297684</v>
      </c>
      <c r="AB258" s="86">
        <f>MSY!F299</f>
        <v>1.4162557008118908</v>
      </c>
      <c r="AC258" s="86">
        <f>MSY!G299</f>
        <v>0.76627965839050827</v>
      </c>
      <c r="AD258" s="24">
        <f t="shared" si="13"/>
        <v>0.23223136772733763</v>
      </c>
      <c r="AE258" s="24">
        <f t="shared" si="14"/>
        <v>0.18223136772733758</v>
      </c>
      <c r="AH258">
        <f t="shared" ref="AH258:AH321" si="16">W258</f>
        <v>2.5499999999999998</v>
      </c>
      <c r="AI258">
        <f t="shared" si="15"/>
        <v>1.4162557008118908</v>
      </c>
    </row>
    <row r="259" spans="23:35" x14ac:dyDescent="0.3">
      <c r="W259" s="86">
        <f>MSY!A300</f>
        <v>2.56</v>
      </c>
      <c r="X259" s="86">
        <f>MSY!B300</f>
        <v>0.16751545905867593</v>
      </c>
      <c r="Y259" s="86">
        <f>MSY!C300</f>
        <v>0.78473422132663029</v>
      </c>
      <c r="Z259" s="86">
        <f>MSY!D300</f>
        <v>1.4482928316754575</v>
      </c>
      <c r="AA259" s="86">
        <f>MSY!E300</f>
        <v>0.9704118532729612</v>
      </c>
      <c r="AB259" s="86">
        <f>MSY!F300</f>
        <v>1.4054405308681255</v>
      </c>
      <c r="AC259" s="86">
        <f>MSY!G300</f>
        <v>0.76151539004428936</v>
      </c>
      <c r="AD259" s="24">
        <f t="shared" si="13"/>
        <v>0.23248454094132409</v>
      </c>
      <c r="AE259" s="24">
        <f t="shared" si="14"/>
        <v>0.18248454094132405</v>
      </c>
      <c r="AH259">
        <f t="shared" si="16"/>
        <v>2.56</v>
      </c>
      <c r="AI259">
        <f t="shared" si="15"/>
        <v>1.4054405308681255</v>
      </c>
    </row>
    <row r="260" spans="23:35" x14ac:dyDescent="0.3">
      <c r="W260" s="86">
        <f>MSY!A301</f>
        <v>2.57</v>
      </c>
      <c r="X260" s="86">
        <f>MSY!B301</f>
        <v>0.16726382229925751</v>
      </c>
      <c r="Y260" s="86">
        <f>MSY!C301</f>
        <v>0.78467033861110136</v>
      </c>
      <c r="Z260" s="86">
        <f>MSY!D301</f>
        <v>1.4461172490940069</v>
      </c>
      <c r="AA260" s="86">
        <f>MSY!E301</f>
        <v>0.96443839306385704</v>
      </c>
      <c r="AB260" s="86">
        <f>MSY!F301</f>
        <v>1.3946909958981495</v>
      </c>
      <c r="AC260" s="86">
        <f>MSY!G301</f>
        <v>0.75676620045496312</v>
      </c>
      <c r="AD260" s="24">
        <f t="shared" ref="AD260:AD323" si="17">ABS(X260-$C$28/100)</f>
        <v>0.23273617770074251</v>
      </c>
      <c r="AE260" s="24">
        <f t="shared" ref="AE260:AE323" si="18">ABS(X260-$C$29/100)</f>
        <v>0.18273617770074246</v>
      </c>
      <c r="AH260">
        <f t="shared" si="16"/>
        <v>2.57</v>
      </c>
      <c r="AI260">
        <f t="shared" ref="AI260:AI323" si="19">AB260</f>
        <v>1.3946909958981495</v>
      </c>
    </row>
    <row r="261" spans="23:35" x14ac:dyDescent="0.3">
      <c r="W261" s="86">
        <f>MSY!A302</f>
        <v>2.58</v>
      </c>
      <c r="X261" s="86">
        <f>MSY!B302</f>
        <v>0.16701370634521115</v>
      </c>
      <c r="Y261" s="86">
        <f>MSY!C302</f>
        <v>0.78460634129836448</v>
      </c>
      <c r="Z261" s="86">
        <f>MSY!D302</f>
        <v>1.4439548149797552</v>
      </c>
      <c r="AA261" s="86">
        <f>MSY!E302</f>
        <v>0.95848319700489171</v>
      </c>
      <c r="AB261" s="86">
        <f>MSY!F302</f>
        <v>1.3840064273924026</v>
      </c>
      <c r="AC261" s="86">
        <f>MSY!G302</f>
        <v>0.75203199439796764</v>
      </c>
      <c r="AD261" s="24">
        <f t="shared" si="17"/>
        <v>0.23298629365478887</v>
      </c>
      <c r="AE261" s="24">
        <f t="shared" si="18"/>
        <v>0.18298629365478883</v>
      </c>
      <c r="AH261">
        <f t="shared" si="16"/>
        <v>2.58</v>
      </c>
      <c r="AI261">
        <f t="shared" si="19"/>
        <v>1.3840064273924026</v>
      </c>
    </row>
    <row r="262" spans="23:35" x14ac:dyDescent="0.3">
      <c r="W262" s="86">
        <f>MSY!A303</f>
        <v>2.59</v>
      </c>
      <c r="X262" s="86">
        <f>MSY!B303</f>
        <v>0.16676509576988452</v>
      </c>
      <c r="Y262" s="86">
        <f>MSY!C303</f>
        <v>0.78454223386505872</v>
      </c>
      <c r="Z262" s="86">
        <f>MSY!D303</f>
        <v>1.4418053959580865</v>
      </c>
      <c r="AA262" s="86">
        <f>MSY!E303</f>
        <v>0.95254614124635395</v>
      </c>
      <c r="AB262" s="86">
        <f>MSY!F303</f>
        <v>1.3733861663480467</v>
      </c>
      <c r="AC262" s="86">
        <f>MSY!G303</f>
        <v>0.74731267751295627</v>
      </c>
      <c r="AD262" s="24">
        <f t="shared" si="17"/>
        <v>0.2332349042301155</v>
      </c>
      <c r="AE262" s="24">
        <f t="shared" si="18"/>
        <v>0.18323490423011546</v>
      </c>
      <c r="AH262">
        <f t="shared" si="16"/>
        <v>2.59</v>
      </c>
      <c r="AI262">
        <f t="shared" si="19"/>
        <v>1.3733861663480467</v>
      </c>
    </row>
    <row r="263" spans="23:35" x14ac:dyDescent="0.3">
      <c r="W263" s="86">
        <f>MSY!A304</f>
        <v>2.6</v>
      </c>
      <c r="X263" s="86">
        <f>MSY!B304</f>
        <v>0.16651797536514457</v>
      </c>
      <c r="Y263" s="86">
        <f>MSY!C304</f>
        <v>0.78447802069493422</v>
      </c>
      <c r="Z263" s="86">
        <f>MSY!D304</f>
        <v>1.4396688605436432</v>
      </c>
      <c r="AA263" s="86">
        <f>MSY!E304</f>
        <v>0.94662710325096822</v>
      </c>
      <c r="AB263" s="86">
        <f>MSY!F304</f>
        <v>1.3628295630970511</v>
      </c>
      <c r="AC263" s="86">
        <f>MSY!G304</f>
        <v>0.74260815629449872</v>
      </c>
      <c r="AD263" s="24">
        <f t="shared" si="17"/>
        <v>0.23348202463485546</v>
      </c>
      <c r="AE263" s="24">
        <f t="shared" si="18"/>
        <v>0.18348202463485541</v>
      </c>
      <c r="AH263">
        <f t="shared" si="16"/>
        <v>2.6</v>
      </c>
      <c r="AI263">
        <f t="shared" si="19"/>
        <v>1.3628295630970511</v>
      </c>
    </row>
    <row r="264" spans="23:35" x14ac:dyDescent="0.3">
      <c r="W264" s="86">
        <f>MSY!A305</f>
        <v>2.61</v>
      </c>
      <c r="X264" s="86">
        <f>MSY!B305</f>
        <v>0.16627233013744183</v>
      </c>
      <c r="Y264" s="86">
        <f>MSY!C305</f>
        <v>0.78441370608087135</v>
      </c>
      <c r="Z264" s="86">
        <f>MSY!D305</f>
        <v>1.437545079106298</v>
      </c>
      <c r="AA264" s="86">
        <f>MSY!E305</f>
        <v>0.94072596177560741</v>
      </c>
      <c r="AB264" s="86">
        <f>MSY!F305</f>
        <v>1.3523359771380639</v>
      </c>
      <c r="AC264" s="86">
        <f>MSY!G305</f>
        <v>0.73791833808289631</v>
      </c>
      <c r="AD264" s="24">
        <f t="shared" si="17"/>
        <v>0.23372766986255819</v>
      </c>
      <c r="AE264" s="24">
        <f t="shared" si="18"/>
        <v>0.18372766986255815</v>
      </c>
      <c r="AH264">
        <f t="shared" si="16"/>
        <v>2.61</v>
      </c>
      <c r="AI264">
        <f t="shared" si="19"/>
        <v>1.3523359771380639</v>
      </c>
    </row>
    <row r="265" spans="23:35" x14ac:dyDescent="0.3">
      <c r="W265" s="86">
        <f>MSY!A306</f>
        <v>2.62</v>
      </c>
      <c r="X265" s="86">
        <f>MSY!B306</f>
        <v>0.16602814530395976</v>
      </c>
      <c r="Y265" s="86">
        <f>MSY!C306</f>
        <v>0.78434929422684785</v>
      </c>
      <c r="Z265" s="86">
        <f>MSY!D306</f>
        <v>1.4354339238378635</v>
      </c>
      <c r="AA265" s="86">
        <f>MSY!E306</f>
        <v>0.93484259685330684</v>
      </c>
      <c r="AB265" s="86">
        <f>MSY!F306</f>
        <v>1.3419047769719201</v>
      </c>
      <c r="AC265" s="86">
        <f>MSY!G306</f>
        <v>0.73324313105508487</v>
      </c>
      <c r="AD265" s="24">
        <f t="shared" si="17"/>
        <v>0.23397185469604026</v>
      </c>
      <c r="AE265" s="24">
        <f t="shared" si="18"/>
        <v>0.18397185469604022</v>
      </c>
      <c r="AH265">
        <f t="shared" si="16"/>
        <v>2.62</v>
      </c>
      <c r="AI265">
        <f t="shared" si="19"/>
        <v>1.3419047769719201</v>
      </c>
    </row>
    <row r="266" spans="23:35" x14ac:dyDescent="0.3">
      <c r="W266" s="86">
        <f>MSY!A307</f>
        <v>2.63</v>
      </c>
      <c r="X266" s="86">
        <f>MSY!B307</f>
        <v>0.16578540628884772</v>
      </c>
      <c r="Y266" s="86">
        <f>MSY!C307</f>
        <v>0.78428478924985801</v>
      </c>
      <c r="Z266" s="86">
        <f>MSY!D307</f>
        <v>1.4333352687195227</v>
      </c>
      <c r="AA266" s="86">
        <f>MSY!E307</f>
        <v>0.92897688977559023</v>
      </c>
      <c r="AB266" s="86">
        <f>MSY!F307</f>
        <v>1.3315353399407219</v>
      </c>
      <c r="AC266" s="86">
        <f>MSY!G307</f>
        <v>0.72858244421563734</v>
      </c>
      <c r="AD266" s="24">
        <f t="shared" si="17"/>
        <v>0.2342145937111523</v>
      </c>
      <c r="AE266" s="24">
        <f t="shared" si="18"/>
        <v>0.18421459371115226</v>
      </c>
      <c r="AH266">
        <f t="shared" si="16"/>
        <v>2.63</v>
      </c>
      <c r="AI266">
        <f t="shared" si="19"/>
        <v>1.3315353399407219</v>
      </c>
    </row>
    <row r="267" spans="23:35" x14ac:dyDescent="0.3">
      <c r="W267" s="86">
        <f>MSY!A308</f>
        <v>2.64</v>
      </c>
      <c r="X267" s="86">
        <f>MSY!B308</f>
        <v>0.16554409871953504</v>
      </c>
      <c r="Y267" s="86">
        <f>MSY!C308</f>
        <v>0.78422019518178721</v>
      </c>
      <c r="Z267" s="86">
        <f>MSY!D308</f>
        <v>1.4312489894899612</v>
      </c>
      <c r="AA267" s="86">
        <f>MSY!E308</f>
        <v>0.92312872307508542</v>
      </c>
      <c r="AB267" s="86">
        <f>MSY!F308</f>
        <v>1.3212270520703742</v>
      </c>
      <c r="AC267" s="86">
        <f>MSY!G308</f>
        <v>0.72393618738785748</v>
      </c>
      <c r="AD267" s="24">
        <f t="shared" si="17"/>
        <v>0.23445590128046498</v>
      </c>
      <c r="AE267" s="24">
        <f t="shared" si="18"/>
        <v>0.18445590128046493</v>
      </c>
      <c r="AH267">
        <f t="shared" si="16"/>
        <v>2.64</v>
      </c>
      <c r="AI267">
        <f t="shared" si="19"/>
        <v>1.3212270520703742</v>
      </c>
    </row>
    <row r="268" spans="23:35" x14ac:dyDescent="0.3">
      <c r="W268" s="86">
        <f>MSY!A309</f>
        <v>2.65</v>
      </c>
      <c r="X268" s="86">
        <f>MSY!B309</f>
        <v>0.1653042084231251</v>
      </c>
      <c r="Y268" s="86">
        <f>MSY!C309</f>
        <v>0.78415551597123967</v>
      </c>
      <c r="Z268" s="86">
        <f>MSY!D309</f>
        <v>1.4291749636141919</v>
      </c>
      <c r="AA268" s="86">
        <f>MSY!E309</f>
        <v>0.91729798050846212</v>
      </c>
      <c r="AB268" s="86">
        <f>MSY!F309</f>
        <v>1.310979307916553</v>
      </c>
      <c r="AC268" s="86">
        <f>MSY!G309</f>
        <v>0.7193042712049893</v>
      </c>
      <c r="AD268" s="24">
        <f t="shared" si="17"/>
        <v>0.23469579157687492</v>
      </c>
      <c r="AE268" s="24">
        <f t="shared" si="18"/>
        <v>0.18469579157687488</v>
      </c>
      <c r="AH268">
        <f t="shared" si="16"/>
        <v>2.65</v>
      </c>
      <c r="AI268">
        <f t="shared" si="19"/>
        <v>1.310979307916553</v>
      </c>
    </row>
    <row r="269" spans="23:35" x14ac:dyDescent="0.3">
      <c r="W269" s="86">
        <f>MSY!A310</f>
        <v>2.66</v>
      </c>
      <c r="X269" s="86">
        <f>MSY!B310</f>
        <v>0.16506572142286566</v>
      </c>
      <c r="Y269" s="86">
        <f>MSY!C310</f>
        <v>0.78409075548532026</v>
      </c>
      <c r="Z269" s="86">
        <f>MSY!D310</f>
        <v>1.4271130702530392</v>
      </c>
      <c r="AA269" s="86">
        <f>MSY!E310</f>
        <v>0.91148454703962589</v>
      </c>
      <c r="AB269" s="86">
        <f>MSY!F310</f>
        <v>1.3007915104139214</v>
      </c>
      <c r="AC269" s="86">
        <f>MSY!G310</f>
        <v>0.71468660710149523</v>
      </c>
      <c r="AD269" s="24">
        <f t="shared" si="17"/>
        <v>0.23493427857713436</v>
      </c>
      <c r="AE269" s="24">
        <f t="shared" si="18"/>
        <v>0.18493427857713432</v>
      </c>
      <c r="AH269">
        <f t="shared" si="16"/>
        <v>2.66</v>
      </c>
      <c r="AI269">
        <f t="shared" si="19"/>
        <v>1.3007915104139214</v>
      </c>
    </row>
    <row r="270" spans="23:35" x14ac:dyDescent="0.3">
      <c r="W270" s="86">
        <f>MSY!A311</f>
        <v>2.67</v>
      </c>
      <c r="X270" s="86">
        <f>MSY!B311</f>
        <v>0.16482862393469544</v>
      </c>
      <c r="Y270" s="86">
        <f>MSY!C311</f>
        <v>0.78402591751137751</v>
      </c>
      <c r="Z270" s="86">
        <f>MSY!D311</f>
        <v>1.42506319023328</v>
      </c>
      <c r="AA270" s="86">
        <f>MSY!E311</f>
        <v>0.90568830882321893</v>
      </c>
      <c r="AB270" s="86">
        <f>MSY!F311</f>
        <v>1.2906630707286006</v>
      </c>
      <c r="AC270" s="86">
        <f>MSY!G311</f>
        <v>0.71008310730445201</v>
      </c>
      <c r="AD270" s="24">
        <f t="shared" si="17"/>
        <v>0.23517137606530458</v>
      </c>
      <c r="AE270" s="24">
        <f t="shared" si="18"/>
        <v>0.18517137606530454</v>
      </c>
      <c r="AH270">
        <f t="shared" si="16"/>
        <v>2.67</v>
      </c>
      <c r="AI270">
        <f t="shared" si="19"/>
        <v>1.2906630707286006</v>
      </c>
    </row>
    <row r="271" spans="23:35" x14ac:dyDescent="0.3">
      <c r="W271" s="86">
        <f>MSY!A312</f>
        <v>2.68</v>
      </c>
      <c r="X271" s="86">
        <f>MSY!B312</f>
        <v>0.16459290236386337</v>
      </c>
      <c r="Y271" s="86">
        <f>MSY!C312</f>
        <v>0.78396100575870165</v>
      </c>
      <c r="Z271" s="86">
        <f>MSY!D312</f>
        <v>1.4230252060184156</v>
      </c>
      <c r="AA271" s="86">
        <f>MSY!E312</f>
        <v>0.89990915318838116</v>
      </c>
      <c r="AB271" s="86">
        <f>MSY!F312</f>
        <v>1.280593408113754</v>
      </c>
      <c r="AC271" s="86">
        <f>MSY!G312</f>
        <v>0.70549368482502484</v>
      </c>
      <c r="AD271" s="24">
        <f t="shared" si="17"/>
        <v>0.23540709763613665</v>
      </c>
      <c r="AE271" s="24">
        <f t="shared" si="18"/>
        <v>0.18540709763613661</v>
      </c>
      <c r="AH271">
        <f t="shared" si="16"/>
        <v>2.68</v>
      </c>
      <c r="AI271">
        <f t="shared" si="19"/>
        <v>1.280593408113754</v>
      </c>
    </row>
    <row r="272" spans="23:35" x14ac:dyDescent="0.3">
      <c r="W272" s="86">
        <f>MSY!A313</f>
        <v>2.69</v>
      </c>
      <c r="X272" s="86">
        <f>MSY!B313</f>
        <v>0.16435854330162039</v>
      </c>
      <c r="Y272" s="86">
        <f>MSY!C313</f>
        <v>0.78389602386018264</v>
      </c>
      <c r="Z272" s="86">
        <f>MSY!D313</f>
        <v>1.4209990016800698</v>
      </c>
      <c r="AA272" s="86">
        <f>MSY!E313</f>
        <v>0.89414696862280341</v>
      </c>
      <c r="AB272" s="86">
        <f>MSY!F313</f>
        <v>1.2705819497682644</v>
      </c>
      <c r="AC272" s="86">
        <f>MSY!G313</f>
        <v>0.7009182534500511</v>
      </c>
      <c r="AD272" s="24">
        <f t="shared" si="17"/>
        <v>0.23564145669837963</v>
      </c>
      <c r="AE272" s="24">
        <f t="shared" si="18"/>
        <v>0.18564145669837959</v>
      </c>
      <c r="AH272">
        <f t="shared" si="16"/>
        <v>2.69</v>
      </c>
      <c r="AI272">
        <f t="shared" si="19"/>
        <v>1.2705819497682644</v>
      </c>
    </row>
    <row r="273" spans="23:35" x14ac:dyDescent="0.3">
      <c r="W273" s="86">
        <f>MSY!A314</f>
        <v>2.7</v>
      </c>
      <c r="X273" s="86">
        <f>MSY!B314</f>
        <v>0.1641255335219802</v>
      </c>
      <c r="Y273" s="86">
        <f>MSY!C314</f>
        <v>0.78383097537392954</v>
      </c>
      <c r="Z273" s="86">
        <f>MSY!D314</f>
        <v>1.418984462869983</v>
      </c>
      <c r="AA273" s="86">
        <f>MSY!E314</f>
        <v>0.88840164475702521</v>
      </c>
      <c r="AB273" s="86">
        <f>MSY!F314</f>
        <v>1.2606281306983569</v>
      </c>
      <c r="AC273" s="86">
        <f>MSY!G314</f>
        <v>0.69635672773370227</v>
      </c>
      <c r="AD273" s="24">
        <f t="shared" si="17"/>
        <v>0.23587446647801982</v>
      </c>
      <c r="AE273" s="24">
        <f t="shared" si="18"/>
        <v>0.18587446647801978</v>
      </c>
      <c r="AH273">
        <f t="shared" si="16"/>
        <v>2.7</v>
      </c>
      <c r="AI273">
        <f t="shared" si="19"/>
        <v>1.2606281306983569</v>
      </c>
    </row>
    <row r="274" spans="23:35" x14ac:dyDescent="0.3">
      <c r="W274" s="86">
        <f>MSY!A315</f>
        <v>2.71</v>
      </c>
      <c r="X274" s="86">
        <f>MSY!B315</f>
        <v>0.16389385997854836</v>
      </c>
      <c r="Y274" s="86">
        <f>MSY!C315</f>
        <v>0.78376586378484969</v>
      </c>
      <c r="Z274" s="86">
        <f>MSY!D315</f>
        <v>1.4169814767925988</v>
      </c>
      <c r="AA274" s="86">
        <f>MSY!E315</f>
        <v>0.8826730723490015</v>
      </c>
      <c r="AB274" s="86">
        <f>MSY!F315</f>
        <v>1.2507313935821485</v>
      </c>
      <c r="AC274" s="86">
        <f>MSY!G315</f>
        <v>0.69180902298924229</v>
      </c>
      <c r="AD274" s="24">
        <f t="shared" si="17"/>
        <v>0.23610614002145167</v>
      </c>
      <c r="AE274" s="24">
        <f t="shared" si="18"/>
        <v>0.18610614002145162</v>
      </c>
      <c r="AH274">
        <f t="shared" si="16"/>
        <v>2.71</v>
      </c>
      <c r="AI274">
        <f t="shared" si="19"/>
        <v>1.2507313935821485</v>
      </c>
    </row>
    <row r="275" spans="23:35" x14ac:dyDescent="0.3">
      <c r="W275" s="86">
        <f>MSY!A316</f>
        <v>2.72</v>
      </c>
      <c r="X275" s="86">
        <f>MSY!B316</f>
        <v>0.1636635098014185</v>
      </c>
      <c r="Y275" s="86">
        <f>MSY!C316</f>
        <v>0.78370069250619334</v>
      </c>
      <c r="Z275" s="86">
        <f>MSY!D316</f>
        <v>1.4149899321782269</v>
      </c>
      <c r="AA275" s="86">
        <f>MSY!E316</f>
        <v>0.87696114326893582</v>
      </c>
      <c r="AB275" s="86">
        <f>MSY!F316</f>
        <v>1.2408911886370519</v>
      </c>
      <c r="AC275" s="86">
        <f>MSY!G316</f>
        <v>0.68727505528088806</v>
      </c>
      <c r="AD275" s="24">
        <f t="shared" si="17"/>
        <v>0.23633649019858152</v>
      </c>
      <c r="AE275" s="24">
        <f t="shared" si="18"/>
        <v>0.18633649019858148</v>
      </c>
      <c r="AH275">
        <f t="shared" si="16"/>
        <v>2.72</v>
      </c>
      <c r="AI275">
        <f t="shared" si="19"/>
        <v>1.2408911886370519</v>
      </c>
    </row>
    <row r="276" spans="23:35" x14ac:dyDescent="0.3">
      <c r="W276" s="86">
        <f>MSY!A317</f>
        <v>2.73</v>
      </c>
      <c r="X276" s="86">
        <f>MSY!B317</f>
        <v>0.16343447029413258</v>
      </c>
      <c r="Y276" s="86">
        <f>MSY!C317</f>
        <v>0.7836354648810574</v>
      </c>
      <c r="Z276" s="86">
        <f>MSY!D317</f>
        <v>1.4130097192567646</v>
      </c>
      <c r="AA276" s="86">
        <f>MSY!E317</f>
        <v>0.87126575048434818</v>
      </c>
      <c r="AB276" s="86">
        <f>MSY!F317</f>
        <v>1.2311069734899232</v>
      </c>
      <c r="AC276" s="86">
        <f>MSY!G317</f>
        <v>0.68275474141574555</v>
      </c>
      <c r="AD276" s="24">
        <f t="shared" si="17"/>
        <v>0.23656552970586744</v>
      </c>
      <c r="AE276" s="24">
        <f t="shared" si="18"/>
        <v>0.1865655297058674</v>
      </c>
      <c r="AH276">
        <f t="shared" si="16"/>
        <v>2.73</v>
      </c>
      <c r="AI276">
        <f t="shared" si="19"/>
        <v>1.2311069734899232</v>
      </c>
    </row>
    <row r="277" spans="23:35" x14ac:dyDescent="0.3">
      <c r="W277" s="86">
        <f>MSY!A318</f>
        <v>2.74</v>
      </c>
      <c r="X277" s="86">
        <f>MSY!B318</f>
        <v>0.16320672893070454</v>
      </c>
      <c r="Y277" s="86">
        <f>MSY!C318</f>
        <v>0.78357018418385938</v>
      </c>
      <c r="Z277" s="86">
        <f>MSY!D318</f>
        <v>1.4110407297319632</v>
      </c>
      <c r="AA277" s="86">
        <f>MSY!E318</f>
        <v>0.8655867880453969</v>
      </c>
      <c r="AB277" s="86">
        <f>MSY!F318</f>
        <v>1.2213782130499229</v>
      </c>
      <c r="AC277" s="86">
        <f>MSY!G318</f>
        <v>0.67824799893584686</v>
      </c>
      <c r="AD277" s="24">
        <f t="shared" si="17"/>
        <v>0.23679327106929549</v>
      </c>
      <c r="AE277" s="24">
        <f t="shared" si="18"/>
        <v>0.18679327106929544</v>
      </c>
      <c r="AH277">
        <f t="shared" si="16"/>
        <v>2.74</v>
      </c>
      <c r="AI277">
        <f t="shared" si="19"/>
        <v>1.2213782130499229</v>
      </c>
    </row>
    <row r="278" spans="23:35" x14ac:dyDescent="0.3">
      <c r="W278" s="86">
        <f>MSY!A319</f>
        <v>2.75</v>
      </c>
      <c r="X278" s="86">
        <f>MSY!B319</f>
        <v>0.16298027335270607</v>
      </c>
      <c r="Y278" s="86">
        <f>MSY!C319</f>
        <v>0.78350485362177114</v>
      </c>
      <c r="Z278" s="86">
        <f>MSY!D319</f>
        <v>1.4090828567562323</v>
      </c>
      <c r="AA278" s="86">
        <f>MSY!E319</f>
        <v>0.85992415107044484</v>
      </c>
      <c r="AB278" s="86">
        <f>MSY!F319</f>
        <v>1.2117043793840203</v>
      </c>
      <c r="AC278" s="86">
        <f>MSY!G319</f>
        <v>0.67375474611027475</v>
      </c>
      <c r="AD278" s="24">
        <f t="shared" si="17"/>
        <v>0.23701972664729395</v>
      </c>
      <c r="AE278" s="24">
        <f t="shared" si="18"/>
        <v>0.18701972664729391</v>
      </c>
      <c r="AH278">
        <f t="shared" si="16"/>
        <v>2.75</v>
      </c>
      <c r="AI278">
        <f t="shared" si="19"/>
        <v>1.2117043793840203</v>
      </c>
    </row>
    <row r="279" spans="23:35" x14ac:dyDescent="0.3">
      <c r="W279" s="86">
        <f>MSY!A320</f>
        <v>2.76</v>
      </c>
      <c r="X279" s="86">
        <f>MSY!B320</f>
        <v>0.16275509136641192</v>
      </c>
      <c r="Y279" s="86">
        <f>MSY!C320</f>
        <v>0.78343947633612288</v>
      </c>
      <c r="Z279" s="86">
        <f>MSY!D320</f>
        <v>1.4071359949059596</v>
      </c>
      <c r="AA279" s="86">
        <f>MSY!E320</f>
        <v>0.85427773573184729</v>
      </c>
      <c r="AB279" s="86">
        <f>MSY!F320</f>
        <v>1.2020849515950434</v>
      </c>
      <c r="AC279" s="86">
        <f>MSY!G320</f>
        <v>0.66927490192736716</v>
      </c>
      <c r="AD279" s="24">
        <f t="shared" si="17"/>
        <v>0.2372449086335881</v>
      </c>
      <c r="AE279" s="24">
        <f t="shared" si="18"/>
        <v>0.18724490863358806</v>
      </c>
      <c r="AH279">
        <f t="shared" si="16"/>
        <v>2.76</v>
      </c>
      <c r="AI279">
        <f t="shared" si="19"/>
        <v>1.2020849515950434</v>
      </c>
    </row>
    <row r="280" spans="23:35" x14ac:dyDescent="0.3">
      <c r="W280" s="86">
        <f>MSY!A321</f>
        <v>2.77</v>
      </c>
      <c r="X280" s="86">
        <f>MSY!B321</f>
        <v>0.16253117094000463</v>
      </c>
      <c r="Y280" s="86">
        <f>MSY!C321</f>
        <v>0.78337405540377336</v>
      </c>
      <c r="Z280" s="86">
        <f>MSY!D321</f>
        <v>1.4052000401573428</v>
      </c>
      <c r="AA280" s="86">
        <f>MSY!E321</f>
        <v>0.84864743924199293</v>
      </c>
      <c r="AB280" s="86">
        <f>MSY!F321</f>
        <v>1.1925194157022745</v>
      </c>
      <c r="AC280" s="86">
        <f>MSY!G321</f>
        <v>0.6648083860870273</v>
      </c>
      <c r="AD280" s="24">
        <f t="shared" si="17"/>
        <v>0.23746882905999539</v>
      </c>
      <c r="AE280" s="24">
        <f t="shared" si="18"/>
        <v>0.18746882905999535</v>
      </c>
      <c r="AH280">
        <f t="shared" si="16"/>
        <v>2.77</v>
      </c>
      <c r="AI280">
        <f t="shared" si="19"/>
        <v>1.1925194157022745</v>
      </c>
    </row>
    <row r="281" spans="23:35" x14ac:dyDescent="0.3">
      <c r="W281" s="86">
        <f>MSY!A322</f>
        <v>2.78</v>
      </c>
      <c r="X281" s="86">
        <f>MSY!B322</f>
        <v>0.16230850020083601</v>
      </c>
      <c r="Y281" s="86">
        <f>MSY!C322</f>
        <v>0.78330859383844686</v>
      </c>
      <c r="Z281" s="86">
        <f>MSY!D322</f>
        <v>1.4032748898627134</v>
      </c>
      <c r="AA281" s="86">
        <f>MSY!E322</f>
        <v>0.84303315983955041</v>
      </c>
      <c r="AB281" s="86">
        <f>MSY!F322</f>
        <v>1.1830072645244603</v>
      </c>
      <c r="AC281" s="86">
        <f>MSY!G322</f>
        <v>0.66035511899310084</v>
      </c>
      <c r="AD281" s="24">
        <f t="shared" si="17"/>
        <v>0.23769149979916401</v>
      </c>
      <c r="AE281" s="24">
        <f t="shared" si="18"/>
        <v>0.18769149979916397</v>
      </c>
      <c r="AH281">
        <f t="shared" si="16"/>
        <v>2.78</v>
      </c>
      <c r="AI281">
        <f t="shared" si="19"/>
        <v>1.1830072645244603</v>
      </c>
    </row>
    <row r="282" spans="23:35" x14ac:dyDescent="0.3">
      <c r="W282" s="86">
        <f>MSY!A323</f>
        <v>2.79</v>
      </c>
      <c r="X282" s="86">
        <f>MSY!B323</f>
        <v>0.16208706743274495</v>
      </c>
      <c r="Y282" s="86">
        <f>MSY!C323</f>
        <v>0.78324309459204078</v>
      </c>
      <c r="Z282" s="86">
        <f>MSY!D323</f>
        <v>1.4013604427273478</v>
      </c>
      <c r="AA282" s="86">
        <f>MSY!E323</f>
        <v>0.83743479677595223</v>
      </c>
      <c r="AB282" s="86">
        <f>MSY!F323</f>
        <v>1.173547997565235</v>
      </c>
      <c r="AC282" s="86">
        <f>MSY!G323</f>
        <v>0.65591502174585359</v>
      </c>
      <c r="AD282" s="24">
        <f t="shared" si="17"/>
        <v>0.23791293256725507</v>
      </c>
      <c r="AE282" s="24">
        <f t="shared" si="18"/>
        <v>0.18791293256725503</v>
      </c>
      <c r="AH282">
        <f t="shared" si="16"/>
        <v>2.79</v>
      </c>
      <c r="AI282">
        <f t="shared" si="19"/>
        <v>1.173547997565235</v>
      </c>
    </row>
    <row r="283" spans="23:35" x14ac:dyDescent="0.3">
      <c r="W283" s="86">
        <f>MSY!A324</f>
        <v>2.8</v>
      </c>
      <c r="X283" s="86">
        <f>MSY!B324</f>
        <v>0.16186686107342985</v>
      </c>
      <c r="Y283" s="86">
        <f>MSY!C324</f>
        <v>0.78317756055590304</v>
      </c>
      <c r="Z283" s="86">
        <f>MSY!D324</f>
        <v>1.3994565987867493</v>
      </c>
      <c r="AA283" s="86">
        <f>MSY!E324</f>
        <v>0.83185225030209409</v>
      </c>
      <c r="AB283" s="86">
        <f>MSY!F324</f>
        <v>1.1641411209008723</v>
      </c>
      <c r="AC283" s="86">
        <f>MSY!G324</f>
        <v>0.65148801613453255</v>
      </c>
      <c r="AD283" s="24">
        <f t="shared" si="17"/>
        <v>0.23813313892657018</v>
      </c>
      <c r="AE283" s="24">
        <f t="shared" si="18"/>
        <v>0.18813313892657013</v>
      </c>
      <c r="AH283">
        <f t="shared" si="16"/>
        <v>2.8</v>
      </c>
      <c r="AI283">
        <f t="shared" si="19"/>
        <v>1.1641411209008723</v>
      </c>
    </row>
    <row r="284" spans="23:35" x14ac:dyDescent="0.3">
      <c r="W284" s="86">
        <f>MSY!A325</f>
        <v>2.81</v>
      </c>
      <c r="X284" s="86">
        <f>MSY!B325</f>
        <v>0.16164786971187375</v>
      </c>
      <c r="Y284" s="86">
        <f>MSY!C325</f>
        <v>0.78311199456207869</v>
      </c>
      <c r="Z284" s="86">
        <f>MSY!D325</f>
        <v>1.3975632593843874</v>
      </c>
      <c r="AA284" s="86">
        <f>MSY!E325</f>
        <v>0.82628542165523911</v>
      </c>
      <c r="AB284" s="86">
        <f>MSY!F325</f>
        <v>1.1547861470702989</v>
      </c>
      <c r="AC284" s="86">
        <f>MSY!G325</f>
        <v>0.64707402463000252</v>
      </c>
      <c r="AD284" s="24">
        <f t="shared" si="17"/>
        <v>0.23835213028812627</v>
      </c>
      <c r="AE284" s="24">
        <f t="shared" si="18"/>
        <v>0.18835213028812622</v>
      </c>
      <c r="AH284">
        <f t="shared" si="16"/>
        <v>2.81</v>
      </c>
      <c r="AI284">
        <f t="shared" si="19"/>
        <v>1.1547861470702989</v>
      </c>
    </row>
    <row r="285" spans="23:35" x14ac:dyDescent="0.3">
      <c r="W285" s="86">
        <f>MSY!A326</f>
        <v>2.82</v>
      </c>
      <c r="X285" s="86">
        <f>MSY!B326</f>
        <v>0.1614300820858226</v>
      </c>
      <c r="Y285" s="86">
        <f>MSY!C326</f>
        <v>0.78304639938452902</v>
      </c>
      <c r="Z285" s="86">
        <f>MSY!D326</f>
        <v>1.3956803271498943</v>
      </c>
      <c r="AA285" s="86">
        <f>MSY!E326</f>
        <v>0.82073421304614624</v>
      </c>
      <c r="AB285" s="86">
        <f>MSY!F326</f>
        <v>1.1454825949673564</v>
      </c>
      <c r="AC285" s="86">
        <f>MSY!G326</f>
        <v>0.64267297037747972</v>
      </c>
      <c r="AD285" s="24">
        <f t="shared" si="17"/>
        <v>0.23856991791417742</v>
      </c>
      <c r="AE285" s="24">
        <f t="shared" si="18"/>
        <v>0.18856991791417738</v>
      </c>
      <c r="AH285">
        <f t="shared" si="16"/>
        <v>2.82</v>
      </c>
      <c r="AI285">
        <f t="shared" si="19"/>
        <v>1.1454825949673564</v>
      </c>
    </row>
    <row r="286" spans="23:35" x14ac:dyDescent="0.3">
      <c r="W286" s="86">
        <f>MSY!A327</f>
        <v>2.83</v>
      </c>
      <c r="X286" s="86">
        <f>MSY!B327</f>
        <v>0.16121348707931329</v>
      </c>
      <c r="Y286" s="86">
        <f>MSY!C327</f>
        <v>0.78298077774032204</v>
      </c>
      <c r="Z286" s="86">
        <f>MSY!D327</f>
        <v>1.3938077059776941</v>
      </c>
      <c r="AA286" s="86">
        <f>MSY!E327</f>
        <v>0.815198527646395</v>
      </c>
      <c r="AB286" s="86">
        <f>MSY!F327</f>
        <v>1.1362299897352157</v>
      </c>
      <c r="AC286" s="86">
        <f>MSY!G327</f>
        <v>0.63828477718933974</v>
      </c>
      <c r="AD286" s="24">
        <f t="shared" si="17"/>
        <v>0.23878651292068673</v>
      </c>
      <c r="AE286" s="24">
        <f t="shared" si="18"/>
        <v>0.18878651292068668</v>
      </c>
      <c r="AH286">
        <f t="shared" si="16"/>
        <v>2.83</v>
      </c>
      <c r="AI286">
        <f t="shared" si="19"/>
        <v>1.1362299897352157</v>
      </c>
    </row>
    <row r="287" spans="23:35" x14ac:dyDescent="0.3">
      <c r="W287" s="86">
        <f>MSY!A328</f>
        <v>2.84</v>
      </c>
      <c r="X287" s="86">
        <f>MSY!B328</f>
        <v>0.16099807372025182</v>
      </c>
      <c r="Y287" s="86">
        <f>MSY!C328</f>
        <v>0.7829151322907959</v>
      </c>
      <c r="Z287" s="86">
        <f>MSY!D328</f>
        <v>1.3919453010060634</v>
      </c>
      <c r="AA287" s="86">
        <f>MSY!E328</f>
        <v>0.80967826957591138</v>
      </c>
      <c r="AB287" s="86">
        <f>MSY!F328</f>
        <v>1.1270278626629104</v>
      </c>
      <c r="AC287" s="86">
        <f>MSY!G328</f>
        <v>0.63390936953800736</v>
      </c>
      <c r="AD287" s="24">
        <f t="shared" si="17"/>
        <v>0.2390019262797482</v>
      </c>
      <c r="AE287" s="24">
        <f t="shared" si="18"/>
        <v>0.18900192627974816</v>
      </c>
      <c r="AH287">
        <f t="shared" si="16"/>
        <v>2.84</v>
      </c>
      <c r="AI287">
        <f t="shared" si="19"/>
        <v>1.1270278626629104</v>
      </c>
    </row>
    <row r="288" spans="23:35" x14ac:dyDescent="0.3">
      <c r="W288" s="86">
        <f>MSY!A329</f>
        <v>2.85</v>
      </c>
      <c r="X288" s="86">
        <f>MSY!B329</f>
        <v>0.16078383117803993</v>
      </c>
      <c r="Y288" s="86">
        <f>MSY!C329</f>
        <v>0.78284946564269697</v>
      </c>
      <c r="Z288" s="86">
        <f>MSY!D329</f>
        <v>1.3900930185966129</v>
      </c>
      <c r="AA288" s="86">
        <f>MSY!E329</f>
        <v>0.80417334389070283</v>
      </c>
      <c r="AB288" s="86">
        <f>MSY!F329</f>
        <v>1.1178757510839592</v>
      </c>
      <c r="AC288" s="86">
        <f>MSY!G329</f>
        <v>0.62954667254893748</v>
      </c>
      <c r="AD288" s="24">
        <f t="shared" si="17"/>
        <v>0.23921616882196009</v>
      </c>
      <c r="AE288" s="24">
        <f t="shared" si="18"/>
        <v>0.18921616882196005</v>
      </c>
      <c r="AH288">
        <f t="shared" si="16"/>
        <v>2.85</v>
      </c>
      <c r="AI288">
        <f t="shared" si="19"/>
        <v>1.1178757510839592</v>
      </c>
    </row>
    <row r="289" spans="23:35" x14ac:dyDescent="0.3">
      <c r="W289" s="86">
        <f>MSY!A330</f>
        <v>2.86</v>
      </c>
      <c r="X289" s="86">
        <f>MSY!B330</f>
        <v>0.16057074876124891</v>
      </c>
      <c r="Y289" s="86">
        <f>MSY!C330</f>
        <v>0.7827837803492893</v>
      </c>
      <c r="Z289" s="86">
        <f>MSY!D330</f>
        <v>1.3882507663141748</v>
      </c>
      <c r="AA289" s="86">
        <f>MSY!E330</f>
        <v>0.798683656570775</v>
      </c>
      <c r="AB289" s="86">
        <f>MSY!F330</f>
        <v>1.1087731982769857</v>
      </c>
      <c r="AC289" s="86">
        <f>MSY!G330</f>
        <v>0.62519661199366472</v>
      </c>
      <c r="AD289" s="24">
        <f t="shared" si="17"/>
        <v>0.23942925123875111</v>
      </c>
      <c r="AE289" s="24">
        <f t="shared" si="18"/>
        <v>0.18942925123875107</v>
      </c>
      <c r="AH289">
        <f t="shared" si="16"/>
        <v>2.86</v>
      </c>
      <c r="AI289">
        <f t="shared" si="19"/>
        <v>1.1087731982769857</v>
      </c>
    </row>
    <row r="290" spans="23:35" x14ac:dyDescent="0.3">
      <c r="W290" s="86">
        <f>MSY!A331</f>
        <v>2.87</v>
      </c>
      <c r="X290" s="86">
        <f>MSY!B331</f>
        <v>0.16035881591533943</v>
      </c>
      <c r="Y290" s="86">
        <f>MSY!C331</f>
        <v>0.78271807891144163</v>
      </c>
      <c r="Z290" s="86">
        <f>MSY!D331</f>
        <v>1.3864184529070893</v>
      </c>
      <c r="AA290" s="86">
        <f>MSY!E331</f>
        <v>0.7932091145082405</v>
      </c>
      <c r="AB290" s="86">
        <f>MSY!F331</f>
        <v>1.099719753368317</v>
      </c>
      <c r="AC290" s="86">
        <f>MSY!G331</f>
        <v>0.62085911428293572</v>
      </c>
      <c r="AD290" s="24">
        <f t="shared" si="17"/>
        <v>0.23964118408466059</v>
      </c>
      <c r="AE290" s="24">
        <f t="shared" si="18"/>
        <v>0.18964118408466055</v>
      </c>
      <c r="AH290">
        <f t="shared" si="16"/>
        <v>2.87</v>
      </c>
      <c r="AI290">
        <f t="shared" si="19"/>
        <v>1.099719753368317</v>
      </c>
    </row>
    <row r="291" spans="23:35" x14ac:dyDescent="0.3">
      <c r="W291" s="86">
        <f>MSY!A332</f>
        <v>2.88</v>
      </c>
      <c r="X291" s="86">
        <f>MSY!B332</f>
        <v>0.16014802222042707</v>
      </c>
      <c r="Y291" s="86">
        <f>MSY!C332</f>
        <v>0.7826523637786893</v>
      </c>
      <c r="Z291" s="86">
        <f>MSY!D332</f>
        <v>1.3845959882878864</v>
      </c>
      <c r="AA291" s="86">
        <f>MSY!E332</f>
        <v>0.78774962549562988</v>
      </c>
      <c r="AB291" s="86">
        <f>MSY!F332</f>
        <v>1.090714971236534</v>
      </c>
      <c r="AC291" s="86">
        <f>MSY!G332</f>
        <v>0.61653410645993201</v>
      </c>
      <c r="AD291" s="24">
        <f t="shared" si="17"/>
        <v>0.23985197777957296</v>
      </c>
      <c r="AE291" s="24">
        <f t="shared" si="18"/>
        <v>0.18985197777957291</v>
      </c>
      <c r="AH291">
        <f t="shared" si="16"/>
        <v>2.88</v>
      </c>
      <c r="AI291">
        <f t="shared" si="19"/>
        <v>1.090714971236534</v>
      </c>
    </row>
    <row r="292" spans="23:35" x14ac:dyDescent="0.3">
      <c r="W292" s="86">
        <f>MSY!A333</f>
        <v>2.89</v>
      </c>
      <c r="X292" s="86">
        <f>MSY!B333</f>
        <v>0.15993835738909121</v>
      </c>
      <c r="Y292" s="86">
        <f>MSY!C333</f>
        <v>0.78258663735027056</v>
      </c>
      <c r="Z292" s="86">
        <f>MSY!D333</f>
        <v>1.3827832835143419</v>
      </c>
      <c r="AA292" s="86">
        <f>MSY!E333</f>
        <v>0.78230509821436145</v>
      </c>
      <c r="AB292" s="86">
        <f>MSY!F333</f>
        <v>1.0817584124188644</v>
      </c>
      <c r="AC292" s="86">
        <f>MSY!G333</f>
        <v>0.61222151619355025</v>
      </c>
      <c r="AD292" s="24">
        <f t="shared" si="17"/>
        <v>0.24006164261090882</v>
      </c>
      <c r="AE292" s="24">
        <f t="shared" si="18"/>
        <v>0.19006164261090877</v>
      </c>
      <c r="AH292">
        <f t="shared" si="16"/>
        <v>2.89</v>
      </c>
      <c r="AI292">
        <f t="shared" si="19"/>
        <v>1.0817584124188644</v>
      </c>
    </row>
    <row r="293" spans="23:35" x14ac:dyDescent="0.3">
      <c r="W293" s="86">
        <f>MSY!A334</f>
        <v>2.9</v>
      </c>
      <c r="X293" s="86">
        <f>MSY!B334</f>
        <v>0.1597298112642275</v>
      </c>
      <c r="Y293" s="86">
        <f>MSY!C334</f>
        <v>0.78252090197614177</v>
      </c>
      <c r="Z293" s="86">
        <f>MSY!D334</f>
        <v>1.3809802507709101</v>
      </c>
      <c r="AA293" s="86">
        <f>MSY!E334</f>
        <v>0.77687544222341087</v>
      </c>
      <c r="AB293" s="86">
        <f>MSY!F334</f>
        <v>1.0728496430194476</v>
      </c>
      <c r="AC293" s="86">
        <f>MSY!G334</f>
        <v>0.60792127177177746</v>
      </c>
      <c r="AD293" s="24">
        <f t="shared" si="17"/>
        <v>0.24027018873577252</v>
      </c>
      <c r="AE293" s="24">
        <f t="shared" si="18"/>
        <v>0.19027018873577248</v>
      </c>
      <c r="AH293">
        <f t="shared" si="16"/>
        <v>2.9</v>
      </c>
      <c r="AI293">
        <f t="shared" si="19"/>
        <v>1.0728496430194476</v>
      </c>
    </row>
    <row r="294" spans="23:35" x14ac:dyDescent="0.3">
      <c r="W294" s="86">
        <f>MSY!A335</f>
        <v>2.91</v>
      </c>
      <c r="X294" s="86">
        <f>MSY!B335</f>
        <v>0.15952237381694254</v>
      </c>
      <c r="Y294" s="86">
        <f>MSY!C335</f>
        <v>0.78245515995796788</v>
      </c>
      <c r="Z294" s="86">
        <f>MSY!D335</f>
        <v>1.3791868033505224</v>
      </c>
      <c r="AA294" s="86">
        <f>MSY!E335</f>
        <v>0.77146056794815621</v>
      </c>
      <c r="AB294" s="86">
        <f>MSY!F335</f>
        <v>1.0639882346193961</v>
      </c>
      <c r="AC294" s="86">
        <f>MSY!G335</f>
        <v>0.60363330209513932</v>
      </c>
      <c r="AD294" s="24">
        <f t="shared" si="17"/>
        <v>0.24047762618305749</v>
      </c>
      <c r="AE294" s="24">
        <f t="shared" si="18"/>
        <v>0.19047762618305744</v>
      </c>
      <c r="AH294">
        <f t="shared" si="16"/>
        <v>2.91</v>
      </c>
      <c r="AI294">
        <f t="shared" si="19"/>
        <v>1.0639882346193961</v>
      </c>
    </row>
    <row r="295" spans="23:35" x14ac:dyDescent="0.3">
      <c r="W295" s="86">
        <f>MSY!A336</f>
        <v>2.92</v>
      </c>
      <c r="X295" s="86">
        <f>MSY!B336</f>
        <v>0.1593160351444888</v>
      </c>
      <c r="Y295" s="86">
        <f>MSY!C336</f>
        <v>0.78238941355009328</v>
      </c>
      <c r="Z295" s="86">
        <f>MSY!D336</f>
        <v>1.3774028556367326</v>
      </c>
      <c r="AA295" s="86">
        <f>MSY!E336</f>
        <v>0.76606038666937815</v>
      </c>
      <c r="AB295" s="86">
        <f>MSY!F336</f>
        <v>1.055173764188581</v>
      </c>
      <c r="AC295" s="86">
        <f>MSY!G336</f>
        <v>0.59935753667021252</v>
      </c>
      <c r="AD295" s="24">
        <f t="shared" si="17"/>
        <v>0.24068396485551122</v>
      </c>
      <c r="AE295" s="24">
        <f t="shared" si="18"/>
        <v>0.19068396485551117</v>
      </c>
      <c r="AH295">
        <f t="shared" si="16"/>
        <v>2.92</v>
      </c>
      <c r="AI295">
        <f t="shared" si="19"/>
        <v>1.055173764188581</v>
      </c>
    </row>
    <row r="296" spans="23:35" x14ac:dyDescent="0.3">
      <c r="W296" s="86">
        <f>MSY!A337</f>
        <v>2.93</v>
      </c>
      <c r="X296" s="86">
        <f>MSY!B337</f>
        <v>0.1591107854682409</v>
      </c>
      <c r="Y296" s="86">
        <f>MSY!C337</f>
        <v>0.78232366496048866</v>
      </c>
      <c r="Z296" s="86">
        <f>MSY!D337</f>
        <v>1.3756283230862207</v>
      </c>
      <c r="AA296" s="86">
        <f>MSY!E337</f>
        <v>0.76067481051245689</v>
      </c>
      <c r="AB296" s="86">
        <f>MSY!F337</f>
        <v>1.0464058139991796</v>
      </c>
      <c r="AC296" s="86">
        <f>MSY!G337</f>
        <v>0.5950939056032305</v>
      </c>
      <c r="AD296" s="24">
        <f t="shared" si="17"/>
        <v>0.24088921453175913</v>
      </c>
      <c r="AE296" s="24">
        <f t="shared" si="18"/>
        <v>0.19088921453175908</v>
      </c>
      <c r="AH296">
        <f t="shared" si="16"/>
        <v>2.93</v>
      </c>
      <c r="AI296">
        <f t="shared" si="19"/>
        <v>1.0464058139991796</v>
      </c>
    </row>
    <row r="297" spans="23:35" x14ac:dyDescent="0.3">
      <c r="W297" s="86">
        <f>MSY!A338</f>
        <v>2.94</v>
      </c>
      <c r="X297" s="86">
        <f>MSY!B338</f>
        <v>0.15890661513170998</v>
      </c>
      <c r="Y297" s="86">
        <f>MSY!C338</f>
        <v>0.78225791635167696</v>
      </c>
      <c r="Z297" s="86">
        <f>MSY!D338</f>
        <v>1.373863122211626</v>
      </c>
      <c r="AA297" s="86">
        <f>MSY!E338</f>
        <v>0.75530375243670966</v>
      </c>
      <c r="AB297" s="86">
        <f>MSY!F338</f>
        <v>1.037683971540855</v>
      </c>
      <c r="AC297" s="86">
        <f>MSY!G338</f>
        <v>0.59084233959374333</v>
      </c>
      <c r="AD297" s="24">
        <f t="shared" si="17"/>
        <v>0.24109338486829004</v>
      </c>
      <c r="AE297" s="24">
        <f t="shared" si="18"/>
        <v>0.19109338486829</v>
      </c>
      <c r="AH297">
        <f t="shared" si="16"/>
        <v>2.94</v>
      </c>
      <c r="AI297">
        <f t="shared" si="19"/>
        <v>1.037683971540855</v>
      </c>
    </row>
    <row r="298" spans="23:35" x14ac:dyDescent="0.3">
      <c r="W298" s="86">
        <f>MSY!A339</f>
        <v>2.95</v>
      </c>
      <c r="X298" s="86">
        <f>MSY!B339</f>
        <v>0.15870351459859744</v>
      </c>
      <c r="Y298" s="86">
        <f>MSY!C339</f>
        <v>0.78219216984164031</v>
      </c>
      <c r="Z298" s="86">
        <f>MSY!D339</f>
        <v>1.3721071705647196</v>
      </c>
      <c r="AA298" s="86">
        <f>MSY!E339</f>
        <v>0.74994712622491533</v>
      </c>
      <c r="AB298" s="86">
        <f>MSY!F339</f>
        <v>1.0290078294376113</v>
      </c>
      <c r="AC298" s="86">
        <f>MSY!G339</f>
        <v>0.58660276992836902</v>
      </c>
      <c r="AD298" s="24">
        <f t="shared" si="17"/>
        <v>0.24129648540140258</v>
      </c>
      <c r="AE298" s="24">
        <f t="shared" si="18"/>
        <v>0.19129648540140254</v>
      </c>
      <c r="AH298">
        <f t="shared" si="16"/>
        <v>2.95</v>
      </c>
      <c r="AI298">
        <f t="shared" si="19"/>
        <v>1.0290078294376113</v>
      </c>
    </row>
    <row r="299" spans="23:35" x14ac:dyDescent="0.3">
      <c r="W299" s="86">
        <f>MSY!A340</f>
        <v>2.96</v>
      </c>
      <c r="X299" s="86">
        <f>MSY!B340</f>
        <v>0.15850147445088555</v>
      </c>
      <c r="Y299" s="86">
        <f>MSY!C340</f>
        <v>0.78212642750470662</v>
      </c>
      <c r="Z299" s="86">
        <f>MSY!D340</f>
        <v>1.370360386719897</v>
      </c>
      <c r="AA299" s="86">
        <f>MSY!E340</f>
        <v>0.74460484647298664</v>
      </c>
      <c r="AB299" s="86">
        <f>MSY!F340</f>
        <v>1.0203769853662314</v>
      </c>
      <c r="AC299" s="86">
        <f>MSY!G340</f>
        <v>0.5823751284746076</v>
      </c>
      <c r="AD299" s="24">
        <f t="shared" si="17"/>
        <v>0.24149852554911447</v>
      </c>
      <c r="AE299" s="24">
        <f t="shared" si="18"/>
        <v>0.19149852554911442</v>
      </c>
      <c r="AH299">
        <f t="shared" si="16"/>
        <v>2.96</v>
      </c>
      <c r="AI299">
        <f t="shared" si="19"/>
        <v>1.0203769853662314</v>
      </c>
    </row>
    <row r="300" spans="23:35" x14ac:dyDescent="0.3">
      <c r="W300" s="86">
        <f>MSY!A341</f>
        <v>2.97</v>
      </c>
      <c r="X300" s="86">
        <f>MSY!B341</f>
        <v>0.15830048538696487</v>
      </c>
      <c r="Y300" s="86">
        <f>MSY!C341</f>
        <v>0.7820606913724153</v>
      </c>
      <c r="Z300" s="86">
        <f>MSY!D341</f>
        <v>1.368622690257987</v>
      </c>
      <c r="AA300" s="86">
        <f>MSY!E341</f>
        <v>0.73927682857979871</v>
      </c>
      <c r="AB300" s="86">
        <f>MSY!F341</f>
        <v>1.0117910419762768</v>
      </c>
      <c r="AC300" s="86">
        <f>MSY!G341</f>
        <v>0.57815934767472388</v>
      </c>
      <c r="AD300" s="24">
        <f t="shared" si="17"/>
        <v>0.24169951461303515</v>
      </c>
      <c r="AE300" s="24">
        <f t="shared" si="18"/>
        <v>0.19169951461303511</v>
      </c>
      <c r="AH300">
        <f t="shared" si="16"/>
        <v>2.97</v>
      </c>
      <c r="AI300">
        <f t="shared" si="19"/>
        <v>1.0117910419762768</v>
      </c>
    </row>
    <row r="301" spans="23:35" x14ac:dyDescent="0.3">
      <c r="W301" s="86">
        <f>MSY!A342</f>
        <v>2.98</v>
      </c>
      <c r="X301" s="86">
        <f>MSY!B342</f>
        <v>0.15810053821979733</v>
      </c>
      <c r="Y301" s="86">
        <f>MSY!C342</f>
        <v>0.78199496343436492</v>
      </c>
      <c r="Z301" s="86">
        <f>MSY!D342</f>
        <v>1.3668940017503721</v>
      </c>
      <c r="AA301" s="86">
        <f>MSY!E342</f>
        <v>0.73396298873718002</v>
      </c>
      <c r="AB301" s="86">
        <f>MSY!F342</f>
        <v>1.0032496068116272</v>
      </c>
      <c r="AC301" s="86">
        <f>MSY!G342</f>
        <v>0.5739553605397083</v>
      </c>
      <c r="AD301" s="24">
        <f t="shared" si="17"/>
        <v>0.24189946178020269</v>
      </c>
      <c r="AE301" s="24">
        <f t="shared" si="18"/>
        <v>0.19189946178020265</v>
      </c>
      <c r="AH301">
        <f t="shared" si="16"/>
        <v>2.98</v>
      </c>
      <c r="AI301">
        <f t="shared" si="19"/>
        <v>1.0032496068116272</v>
      </c>
    </row>
    <row r="302" spans="23:35" x14ac:dyDescent="0.3">
      <c r="W302" s="86">
        <f>MSY!A343</f>
        <v>2.99</v>
      </c>
      <c r="X302" s="86">
        <f>MSY!B343</f>
        <v>0.15790162387511492</v>
      </c>
      <c r="Y302" s="86">
        <f>MSY!C343</f>
        <v>0.78192924563904276</v>
      </c>
      <c r="Z302" s="86">
        <f>MSY!D343</f>
        <v>1.3651742427434135</v>
      </c>
      <c r="AA302" s="86">
        <f>MSY!E343</f>
        <v>0.72866324392005577</v>
      </c>
      <c r="AB302" s="86">
        <f>MSY!F343</f>
        <v>0.99475229223352124</v>
      </c>
      <c r="AC302" s="86">
        <f>MSY!G343</f>
        <v>0.56976310064330704</v>
      </c>
      <c r="AD302" s="24">
        <f t="shared" si="17"/>
        <v>0.24209837612488511</v>
      </c>
      <c r="AE302" s="24">
        <f t="shared" si="18"/>
        <v>0.19209837612488506</v>
      </c>
      <c r="AH302">
        <f t="shared" si="16"/>
        <v>2.99</v>
      </c>
      <c r="AI302">
        <f t="shared" si="19"/>
        <v>0.99475229223352124</v>
      </c>
    </row>
    <row r="303" spans="23:35" x14ac:dyDescent="0.3">
      <c r="W303" s="86">
        <f>MSY!A344</f>
        <v>3</v>
      </c>
      <c r="X303" s="86">
        <f>MSY!B344</f>
        <v>0.15770373338965171</v>
      </c>
      <c r="Y303" s="86">
        <f>MSY!C344</f>
        <v>0.7818635398946342</v>
      </c>
      <c r="Z303" s="86">
        <f>MSY!D344</f>
        <v>1.363463335743166</v>
      </c>
      <c r="AA303" s="86">
        <f>MSY!E344</f>
        <v>0.72337751187673061</v>
      </c>
      <c r="AB303" s="86">
        <f>MSY!F344</f>
        <v>0.98629871534503888</v>
      </c>
      <c r="AC303" s="86">
        <f>MSY!G344</f>
        <v>0.56558250211611338</v>
      </c>
      <c r="AD303" s="24">
        <f t="shared" si="17"/>
        <v>0.24229626661034831</v>
      </c>
      <c r="AE303" s="24">
        <f t="shared" si="18"/>
        <v>0.19229626661034827</v>
      </c>
      <c r="AH303">
        <f t="shared" si="16"/>
        <v>3</v>
      </c>
      <c r="AI303">
        <f t="shared" si="19"/>
        <v>0.98629871534503888</v>
      </c>
    </row>
    <row r="304" spans="23:35" x14ac:dyDescent="0.3">
      <c r="W304" s="86">
        <f>MSY!A345</f>
        <v>3.01</v>
      </c>
      <c r="X304" s="86">
        <f>MSY!B345</f>
        <v>0.15750685790941016</v>
      </c>
      <c r="Y304" s="86">
        <f>MSY!C345</f>
        <v>0.78179784806981856</v>
      </c>
      <c r="Z304" s="86">
        <f>MSY!D345</f>
        <v>1.3617612042003893</v>
      </c>
      <c r="AA304" s="86">
        <f>MSY!E345</f>
        <v>0.71810571111932942</v>
      </c>
      <c r="AB304" s="86">
        <f>MSY!F345</f>
        <v>0.97788849791703492</v>
      </c>
      <c r="AC304" s="86">
        <f>MSY!G345</f>
        <v>0.56141349963973852</v>
      </c>
      <c r="AD304" s="24">
        <f t="shared" si="17"/>
        <v>0.24249314209058986</v>
      </c>
      <c r="AE304" s="24">
        <f t="shared" si="18"/>
        <v>0.19249314209058982</v>
      </c>
      <c r="AH304">
        <f t="shared" si="16"/>
        <v>3.01</v>
      </c>
      <c r="AI304">
        <f t="shared" si="19"/>
        <v>0.97788849791703492</v>
      </c>
    </row>
    <row r="305" spans="23:35" x14ac:dyDescent="0.3">
      <c r="W305" s="86">
        <f>MSY!A346</f>
        <v>3.02</v>
      </c>
      <c r="X305" s="86">
        <f>MSY!B346</f>
        <v>0.15731098868795979</v>
      </c>
      <c r="Y305" s="86">
        <f>MSY!C346</f>
        <v>0.78173217199454115</v>
      </c>
      <c r="Z305" s="86">
        <f>MSY!D346</f>
        <v>1.3600677724958381</v>
      </c>
      <c r="AA305" s="86">
        <f>MSY!E346</f>
        <v>0.71284776091437807</v>
      </c>
      <c r="AB305" s="86">
        <f>MSY!F346</f>
        <v>0.96952126631546387</v>
      </c>
      <c r="AC305" s="86">
        <f>MSY!G346</f>
        <v>0.55725602844104216</v>
      </c>
      <c r="AD305" s="24">
        <f t="shared" si="17"/>
        <v>0.24268901131204024</v>
      </c>
      <c r="AE305" s="24">
        <f t="shared" si="18"/>
        <v>0.19268901131204019</v>
      </c>
      <c r="AH305">
        <f t="shared" si="16"/>
        <v>3.02</v>
      </c>
      <c r="AI305">
        <f t="shared" si="19"/>
        <v>0.96952126631546387</v>
      </c>
    </row>
    <row r="306" spans="23:35" x14ac:dyDescent="0.3">
      <c r="W306" s="86">
        <f>MSY!A347</f>
        <v>3.03</v>
      </c>
      <c r="X306" s="86">
        <f>MSY!B347</f>
        <v>0.15711611708476786</v>
      </c>
      <c r="Y306" s="86">
        <f>MSY!C347</f>
        <v>0.78166651346077654</v>
      </c>
      <c r="Z306" s="86">
        <f>MSY!D347</f>
        <v>1.35838296592583</v>
      </c>
      <c r="AA306" s="86">
        <f>MSY!E347</f>
        <v>0.70760358127352496</v>
      </c>
      <c r="AB306" s="86">
        <f>MSY!F347</f>
        <v>0.96119665143006983</v>
      </c>
      <c r="AC306" s="86">
        <f>MSY!G347</f>
        <v>0.55311002428643552</v>
      </c>
      <c r="AD306" s="24">
        <f t="shared" si="17"/>
        <v>0.24288388291523216</v>
      </c>
      <c r="AE306" s="24">
        <f t="shared" si="18"/>
        <v>0.19288388291523212</v>
      </c>
      <c r="AH306">
        <f t="shared" si="16"/>
        <v>3.03</v>
      </c>
      <c r="AI306">
        <f t="shared" si="19"/>
        <v>0.96119665143006983</v>
      </c>
    </row>
    <row r="307" spans="23:35" x14ac:dyDescent="0.3">
      <c r="W307" s="86">
        <f>MSY!A348</f>
        <v>3.04</v>
      </c>
      <c r="X307" s="86">
        <f>MSY!B348</f>
        <v>0.15692223456356119</v>
      </c>
      <c r="Y307" s="86">
        <f>MSY!C348</f>
        <v>0.78160087422326729</v>
      </c>
      <c r="Z307" s="86">
        <f>MSY!D348</f>
        <v>1.3567067106880826</v>
      </c>
      <c r="AA307" s="86">
        <f>MSY!E348</f>
        <v>0.70237309294439487</v>
      </c>
      <c r="AB307" s="86">
        <f>MSY!F348</f>
        <v>0.95291428860440486</v>
      </c>
      <c r="AC307" s="86">
        <f>MSY!G348</f>
        <v>0.54897542347623918</v>
      </c>
      <c r="AD307" s="24">
        <f t="shared" si="17"/>
        <v>0.24307776543643883</v>
      </c>
      <c r="AE307" s="24">
        <f t="shared" si="18"/>
        <v>0.19307776543643879</v>
      </c>
      <c r="AH307">
        <f t="shared" si="16"/>
        <v>3.04</v>
      </c>
      <c r="AI307">
        <f t="shared" si="19"/>
        <v>0.95291428860440486</v>
      </c>
    </row>
    <row r="308" spans="23:35" x14ac:dyDescent="0.3">
      <c r="W308" s="86">
        <f>MSY!A349</f>
        <v>3.05</v>
      </c>
      <c r="X308" s="86">
        <f>MSY!B349</f>
        <v>0.1567293326907192</v>
      </c>
      <c r="Y308" s="86">
        <f>MSY!C349</f>
        <v>0.78153525600025386</v>
      </c>
      <c r="Z308" s="86">
        <f>MSY!D349</f>
        <v>1.3550389338678193</v>
      </c>
      <c r="AA308" s="86">
        <f>MSY!E349</f>
        <v>0.69715621740159572</v>
      </c>
      <c r="AB308" s="86">
        <f>MSY!F349</f>
        <v>0.94467381756717994</v>
      </c>
      <c r="AC308" s="86">
        <f>MSY!G349</f>
        <v>0.54485216283912474</v>
      </c>
      <c r="AD308" s="24">
        <f t="shared" si="17"/>
        <v>0.24327066730928082</v>
      </c>
      <c r="AE308" s="24">
        <f t="shared" si="18"/>
        <v>0.19327066730928077</v>
      </c>
      <c r="AH308">
        <f t="shared" si="16"/>
        <v>3.05</v>
      </c>
      <c r="AI308">
        <f t="shared" si="19"/>
        <v>0.94467381756717994</v>
      </c>
    </row>
    <row r="309" spans="23:35" x14ac:dyDescent="0.3">
      <c r="W309" s="86">
        <f>MSY!A350</f>
        <v>3.06</v>
      </c>
      <c r="X309" s="86">
        <f>MSY!B350</f>
        <v>0.15653740313369602</v>
      </c>
      <c r="Y309" s="86">
        <f>MSY!C350</f>
        <v>0.78146966047418354</v>
      </c>
      <c r="Z309" s="86">
        <f>MSY!D350</f>
        <v>1.3533795634241281</v>
      </c>
      <c r="AA309" s="86">
        <f>MSY!E350</f>
        <v>0.69195287683783779</v>
      </c>
      <c r="AB309" s="86">
        <f>MSY!F350</f>
        <v>0.93647488236486232</v>
      </c>
      <c r="AC309" s="86">
        <f>MSY!G350</f>
        <v>0.5407401797265996</v>
      </c>
      <c r="AD309" s="24">
        <f t="shared" si="17"/>
        <v>0.243462596866304</v>
      </c>
      <c r="AE309" s="24">
        <f t="shared" si="18"/>
        <v>0.19346259686630396</v>
      </c>
      <c r="AH309">
        <f t="shared" si="16"/>
        <v>3.06</v>
      </c>
      <c r="AI309">
        <f t="shared" si="19"/>
        <v>0.93647488236486232</v>
      </c>
    </row>
    <row r="310" spans="23:35" x14ac:dyDescent="0.3">
      <c r="W310" s="86">
        <f>MSY!A351</f>
        <v>3.07</v>
      </c>
      <c r="X310" s="86">
        <f>MSY!B351</f>
        <v>0.15634643765947276</v>
      </c>
      <c r="Y310" s="86">
        <f>MSY!C351</f>
        <v>0.78140408929240601</v>
      </c>
      <c r="Z310" s="86">
        <f>MSY!D351</f>
        <v>1.3517285281765801</v>
      </c>
      <c r="AA310" s="86">
        <f>MSY!E351</f>
        <v>0.68676299415520903</v>
      </c>
      <c r="AB310" s="86">
        <f>MSY!F351</f>
        <v>0.92831713129556193</v>
      </c>
      <c r="AC310" s="86">
        <f>MSY!G351</f>
        <v>0.53663941200757703</v>
      </c>
      <c r="AD310" s="24">
        <f t="shared" si="17"/>
        <v>0.24365356234052726</v>
      </c>
      <c r="AE310" s="24">
        <f t="shared" si="18"/>
        <v>0.19365356234052722</v>
      </c>
      <c r="AH310">
        <f t="shared" si="16"/>
        <v>3.07</v>
      </c>
      <c r="AI310">
        <f t="shared" si="19"/>
        <v>0.92831713129556193</v>
      </c>
    </row>
    <row r="311" spans="23:35" x14ac:dyDescent="0.3">
      <c r="W311" s="86">
        <f>MSY!A352</f>
        <v>3.08</v>
      </c>
      <c r="X311" s="86">
        <f>MSY!B352</f>
        <v>0.15615642813303784</v>
      </c>
      <c r="Y311" s="86">
        <f>MSY!C352</f>
        <v>0.78133854406785608</v>
      </c>
      <c r="Z311" s="86">
        <f>MSY!D352</f>
        <v>1.3500857577920906</v>
      </c>
      <c r="AA311" s="86">
        <f>MSY!E352</f>
        <v>0.68158649295655738</v>
      </c>
      <c r="AB311" s="86">
        <f>MSY!F352</f>
        <v>0.92020021684410724</v>
      </c>
      <c r="AC311" s="86">
        <f>MSY!G352</f>
        <v>0.53254979806299263</v>
      </c>
      <c r="AD311" s="24">
        <f t="shared" si="17"/>
        <v>0.24384357186696218</v>
      </c>
      <c r="AE311" s="24">
        <f t="shared" si="18"/>
        <v>0.19384357186696213</v>
      </c>
      <c r="AH311">
        <f t="shared" si="16"/>
        <v>3.08</v>
      </c>
      <c r="AI311">
        <f t="shared" si="19"/>
        <v>0.92020021684410724</v>
      </c>
    </row>
    <row r="312" spans="23:35" x14ac:dyDescent="0.3">
      <c r="W312" s="86">
        <f>MSY!A353</f>
        <v>3.09</v>
      </c>
      <c r="X312" s="86">
        <f>MSY!B353</f>
        <v>0.15596736651589546</v>
      </c>
      <c r="Y312" s="86">
        <f>MSY!C353</f>
        <v>0.78127302637971796</v>
      </c>
      <c r="Z312" s="86">
        <f>MSY!D353</f>
        <v>1.3484511827720242</v>
      </c>
      <c r="AA312" s="86">
        <f>MSY!E353</f>
        <v>0.67642329753700892</v>
      </c>
      <c r="AB312" s="86">
        <f>MSY!F353</f>
        <v>0.91212379561833257</v>
      </c>
      <c r="AC312" s="86">
        <f>MSY!G353</f>
        <v>0.52847127678048733</v>
      </c>
      <c r="AD312" s="24">
        <f t="shared" si="17"/>
        <v>0.24403263348410456</v>
      </c>
      <c r="AE312" s="24">
        <f t="shared" si="18"/>
        <v>0.19403263348410452</v>
      </c>
      <c r="AH312">
        <f t="shared" si="16"/>
        <v>3.09</v>
      </c>
      <c r="AI312">
        <f t="shared" si="19"/>
        <v>0.91212379561833257</v>
      </c>
    </row>
    <row r="313" spans="23:35" x14ac:dyDescent="0.3">
      <c r="W313" s="86">
        <f>MSY!A354</f>
        <v>3.1</v>
      </c>
      <c r="X313" s="86">
        <f>MSY!B354</f>
        <v>0.1557792448646019</v>
      </c>
      <c r="Y313" s="86">
        <f>MSY!C354</f>
        <v>0.78120753777407848</v>
      </c>
      <c r="Z313" s="86">
        <f>MSY!D354</f>
        <v>1.3468247344395394</v>
      </c>
      <c r="AA313" s="86">
        <f>MSY!E354</f>
        <v>0.6712733328756193</v>
      </c>
      <c r="AB313" s="86">
        <f>MSY!F354</f>
        <v>0.90408752828655048</v>
      </c>
      <c r="AC313" s="86">
        <f>MSY!G354</f>
        <v>0.52440378754916195</v>
      </c>
      <c r="AD313" s="24">
        <f t="shared" si="17"/>
        <v>0.24422075513539812</v>
      </c>
      <c r="AE313" s="24">
        <f t="shared" si="18"/>
        <v>0.19422075513539808</v>
      </c>
      <c r="AH313">
        <f t="shared" si="16"/>
        <v>3.1</v>
      </c>
      <c r="AI313">
        <f t="shared" si="19"/>
        <v>0.90408752828655048</v>
      </c>
    </row>
    <row r="314" spans="23:35" x14ac:dyDescent="0.3">
      <c r="W314" s="86">
        <f>MSY!A355</f>
        <v>3.11</v>
      </c>
      <c r="X314" s="86">
        <f>MSY!B355</f>
        <v>0.15559205532932777</v>
      </c>
      <c r="Y314" s="86">
        <f>MSY!C355</f>
        <v>0.78114207976456473</v>
      </c>
      <c r="Z314" s="86">
        <f>MSY!D355</f>
        <v>1.3452063449271587</v>
      </c>
      <c r="AA314" s="86">
        <f>MSY!E355</f>
        <v>0.66613652462712514</v>
      </c>
      <c r="AB314" s="86">
        <f>MSY!F355</f>
        <v>0.89609107951613531</v>
      </c>
      <c r="AC314" s="86">
        <f>MSY!G355</f>
        <v>0.52034727025437177</v>
      </c>
      <c r="AD314" s="24">
        <f t="shared" si="17"/>
        <v>0.24440794467067226</v>
      </c>
      <c r="AE314" s="24">
        <f t="shared" si="18"/>
        <v>0.19440794467067221</v>
      </c>
      <c r="AH314">
        <f t="shared" si="16"/>
        <v>3.11</v>
      </c>
      <c r="AI314">
        <f t="shared" si="19"/>
        <v>0.89609107951613531</v>
      </c>
    </row>
    <row r="315" spans="23:35" x14ac:dyDescent="0.3">
      <c r="W315" s="86">
        <f>MSY!A356</f>
        <v>3.12</v>
      </c>
      <c r="X315" s="86">
        <f>MSY!B356</f>
        <v>0.15540579015244765</v>
      </c>
      <c r="Y315" s="86">
        <f>MSY!C356</f>
        <v>0.78107665383296931</v>
      </c>
      <c r="Z315" s="86">
        <f>MSY!D356</f>
        <v>1.3435959471645753</v>
      </c>
      <c r="AA315" s="86">
        <f>MSY!E356</f>
        <v>0.66101279911384325</v>
      </c>
      <c r="AB315" s="86">
        <f>MSY!F356</f>
        <v>0.88813411791327146</v>
      </c>
      <c r="AC315" s="86">
        <f>MSY!G356</f>
        <v>0.51630166527260546</v>
      </c>
      <c r="AD315" s="24">
        <f t="shared" si="17"/>
        <v>0.24459420984755237</v>
      </c>
      <c r="AE315" s="24">
        <f t="shared" si="18"/>
        <v>0.19459420984755232</v>
      </c>
      <c r="AH315">
        <f t="shared" si="16"/>
        <v>3.12</v>
      </c>
      <c r="AI315">
        <f t="shared" si="19"/>
        <v>0.88813411791327146</v>
      </c>
    </row>
    <row r="316" spans="23:35" x14ac:dyDescent="0.3">
      <c r="W316" s="86">
        <f>MSY!A357</f>
        <v>3.13</v>
      </c>
      <c r="X316" s="86">
        <f>MSY!B357</f>
        <v>0.15522044166715449</v>
      </c>
      <c r="Y316" s="86">
        <f>MSY!C357</f>
        <v>0.78101126142986099</v>
      </c>
      <c r="Z316" s="86">
        <f>MSY!D357</f>
        <v>1.3419934748666726</v>
      </c>
      <c r="AA316" s="86">
        <f>MSY!E357</f>
        <v>0.65590208331766608</v>
      </c>
      <c r="AB316" s="86">
        <f>MSY!F357</f>
        <v>0.8802163159637646</v>
      </c>
      <c r="AC316" s="86">
        <f>MSY!G357</f>
        <v>0.51226691346640418</v>
      </c>
      <c r="AD316" s="24">
        <f t="shared" si="17"/>
        <v>0.24477955833284554</v>
      </c>
      <c r="AE316" s="24">
        <f t="shared" si="18"/>
        <v>0.19477955833284549</v>
      </c>
      <c r="AH316">
        <f t="shared" si="16"/>
        <v>3.13</v>
      </c>
      <c r="AI316">
        <f t="shared" si="19"/>
        <v>0.8802163159637646</v>
      </c>
    </row>
    <row r="317" spans="23:35" x14ac:dyDescent="0.3">
      <c r="W317" s="86">
        <f>MSY!A358</f>
        <v>3.14</v>
      </c>
      <c r="X317" s="86">
        <f>MSY!B358</f>
        <v>0.15503600229609968</v>
      </c>
      <c r="Y317" s="86">
        <f>MSY!C358</f>
        <v>0.78094590397518404</v>
      </c>
      <c r="Z317" s="86">
        <f>MSY!D358</f>
        <v>1.3403988625217675</v>
      </c>
      <c r="AA317" s="86">
        <f>MSY!E358</f>
        <v>0.65080430487218544</v>
      </c>
      <c r="AB317" s="86">
        <f>MSY!F358</f>
        <v>0.87233734997494705</v>
      </c>
      <c r="AC317" s="86">
        <f>MSY!G358</f>
        <v>0.50824295617935011</v>
      </c>
      <c r="AD317" s="24">
        <f t="shared" si="17"/>
        <v>0.24496399770390034</v>
      </c>
      <c r="AE317" s="24">
        <f t="shared" si="18"/>
        <v>0.1949639977039003</v>
      </c>
      <c r="AH317">
        <f t="shared" si="16"/>
        <v>3.14</v>
      </c>
      <c r="AI317">
        <f t="shared" si="19"/>
        <v>0.87233734997494705</v>
      </c>
    </row>
    <row r="318" spans="23:35" x14ac:dyDescent="0.3">
      <c r="W318" s="86">
        <f>MSY!A359</f>
        <v>3.15</v>
      </c>
      <c r="X318" s="86">
        <f>MSY!B359</f>
        <v>0.15485246455005738</v>
      </c>
      <c r="Y318" s="86">
        <f>MSY!C359</f>
        <v>0.78088058285884387</v>
      </c>
      <c r="Z318" s="86">
        <f>MSY!D359</f>
        <v>1.3388120453800623</v>
      </c>
      <c r="AA318" s="86">
        <f>MSY!E359</f>
        <v>0.6457193920549219</v>
      </c>
      <c r="AB318" s="86">
        <f>MSY!F359</f>
        <v>0.86449690001862023</v>
      </c>
      <c r="AC318" s="86">
        <f>MSY!G359</f>
        <v>0.5042297352311057</v>
      </c>
      <c r="AD318" s="24">
        <f t="shared" si="17"/>
        <v>0.24514753544994264</v>
      </c>
      <c r="AE318" s="24">
        <f t="shared" si="18"/>
        <v>0.19514753544994259</v>
      </c>
      <c r="AH318">
        <f t="shared" si="16"/>
        <v>3.15</v>
      </c>
      <c r="AI318">
        <f t="shared" si="19"/>
        <v>0.86449690001862023</v>
      </c>
    </row>
    <row r="319" spans="23:35" x14ac:dyDescent="0.3">
      <c r="W319" s="86">
        <f>MSY!A360</f>
        <v>3.16</v>
      </c>
      <c r="X319" s="86">
        <f>MSY!B360</f>
        <v>0.15466982102661339</v>
      </c>
      <c r="Y319" s="86">
        <f>MSY!C360</f>
        <v>0.78081529944128103</v>
      </c>
      <c r="Z319" s="86">
        <f>MSY!D360</f>
        <v>1.3372329594423087</v>
      </c>
      <c r="AA319" s="86">
        <f>MSY!E360</f>
        <v>0.64064727377967867</v>
      </c>
      <c r="AB319" s="86">
        <f>MSY!F360</f>
        <v>0.85669464987504662</v>
      </c>
      <c r="AC319" s="86">
        <f>MSY!G360</f>
        <v>0.50022719291252016</v>
      </c>
      <c r="AD319" s="24">
        <f t="shared" si="17"/>
        <v>0.24533017897338663</v>
      </c>
      <c r="AE319" s="24">
        <f t="shared" si="18"/>
        <v>0.19533017897338659</v>
      </c>
      <c r="AH319">
        <f t="shared" si="16"/>
        <v>3.16</v>
      </c>
      <c r="AI319">
        <f t="shared" si="19"/>
        <v>0.85669464987504662</v>
      </c>
    </row>
    <row r="320" spans="23:35" x14ac:dyDescent="0.3">
      <c r="W320" s="86">
        <f>MSY!A361</f>
        <v>3.17</v>
      </c>
      <c r="X320" s="86">
        <f>MSY!B361</f>
        <v>0.15448806440887713</v>
      </c>
      <c r="Y320" s="86">
        <f>MSY!C361</f>
        <v>0.78075005505403239</v>
      </c>
      <c r="Z320" s="86">
        <f>MSY!D361</f>
        <v>1.3356615414486728</v>
      </c>
      <c r="AA320" s="86">
        <f>MSY!E361</f>
        <v>0.63558787958899099</v>
      </c>
      <c r="AB320" s="86">
        <f>MSY!F361</f>
        <v>0.84893028697792505</v>
      </c>
      <c r="AC320" s="86">
        <f>MSY!G361</f>
        <v>0.49623527198078043</v>
      </c>
      <c r="AD320" s="24">
        <f t="shared" si="17"/>
        <v>0.24551193559112289</v>
      </c>
      <c r="AE320" s="24">
        <f t="shared" si="18"/>
        <v>0.19551193559112284</v>
      </c>
      <c r="AH320">
        <f t="shared" si="16"/>
        <v>3.17</v>
      </c>
      <c r="AI320">
        <f t="shared" si="19"/>
        <v>0.84893028697792505</v>
      </c>
    </row>
    <row r="321" spans="23:35" x14ac:dyDescent="0.3">
      <c r="W321" s="86">
        <f>MSY!A362</f>
        <v>3.18</v>
      </c>
      <c r="X321" s="86">
        <f>MSY!B362</f>
        <v>0.15430718746421682</v>
      </c>
      <c r="Y321" s="86">
        <f>MSY!C362</f>
        <v>0.78068485100028129</v>
      </c>
      <c r="Z321" s="86">
        <f>MSY!D362</f>
        <v>1.3340977288677984</v>
      </c>
      <c r="AA321" s="86">
        <f>MSY!E362</f>
        <v>0.63054113964668734</v>
      </c>
      <c r="AB321" s="86">
        <f>MSY!F362</f>
        <v>0.8412035023603589</v>
      </c>
      <c r="AC321" s="86">
        <f>MSY!G362</f>
        <v>0.49225391565462168</v>
      </c>
      <c r="AD321" s="24">
        <f t="shared" si="17"/>
        <v>0.24569281253578321</v>
      </c>
      <c r="AE321" s="24">
        <f t="shared" si="18"/>
        <v>0.19569281253578316</v>
      </c>
      <c r="AH321">
        <f t="shared" si="16"/>
        <v>3.18</v>
      </c>
      <c r="AI321">
        <f t="shared" si="19"/>
        <v>0.8412035023603589</v>
      </c>
    </row>
    <row r="322" spans="23:35" x14ac:dyDescent="0.3">
      <c r="W322" s="86">
        <f>MSY!A363</f>
        <v>3.19</v>
      </c>
      <c r="X322" s="86">
        <f>MSY!B363</f>
        <v>0.15412718304301781</v>
      </c>
      <c r="Y322" s="86">
        <f>MSY!C363</f>
        <v>0.78061968855539654</v>
      </c>
      <c r="Z322" s="86">
        <f>MSY!D363</f>
        <v>1.3325414598860736</v>
      </c>
      <c r="AA322" s="86">
        <f>MSY!E363</f>
        <v>0.62550698473057709</v>
      </c>
      <c r="AB322" s="86">
        <f>MSY!F363</f>
        <v>0.83351399060181919</v>
      </c>
      <c r="AC322" s="86">
        <f>MSY!G363</f>
        <v>0.48828306760960827</v>
      </c>
      <c r="AD322" s="24">
        <f t="shared" si="17"/>
        <v>0.24587281695698221</v>
      </c>
      <c r="AE322" s="24">
        <f t="shared" si="18"/>
        <v>0.19587281695698217</v>
      </c>
      <c r="AH322">
        <f t="shared" ref="AH322:AH385" si="20">W322</f>
        <v>3.19</v>
      </c>
      <c r="AI322">
        <f t="shared" si="19"/>
        <v>0.83351399060181919</v>
      </c>
    </row>
    <row r="323" spans="23:35" x14ac:dyDescent="0.3">
      <c r="W323" s="86">
        <f>MSY!A364</f>
        <v>3.2</v>
      </c>
      <c r="X323" s="86">
        <f>MSY!B364</f>
        <v>0.15394804407746188</v>
      </c>
      <c r="Y323" s="86">
        <f>MSY!C364</f>
        <v>0.78055456896745856</v>
      </c>
      <c r="Z323" s="86">
        <f>MSY!D364</f>
        <v>1.3309926733970754</v>
      </c>
      <c r="AA323" s="86">
        <f>MSY!E364</f>
        <v>0.62048534622520113</v>
      </c>
      <c r="AB323" s="86">
        <f>MSY!F364</f>
        <v>0.82586144977599041</v>
      </c>
      <c r="AC323" s="86">
        <f>MSY!G364</f>
        <v>0.48432267197343615</v>
      </c>
      <c r="AD323" s="24">
        <f t="shared" si="17"/>
        <v>0.24605195592253815</v>
      </c>
      <c r="AE323" s="24">
        <f t="shared" si="18"/>
        <v>0.1960519559225381</v>
      </c>
      <c r="AH323">
        <f t="shared" si="20"/>
        <v>3.2</v>
      </c>
      <c r="AI323">
        <f t="shared" si="19"/>
        <v>0.82586144977599041</v>
      </c>
    </row>
    <row r="324" spans="23:35" x14ac:dyDescent="0.3">
      <c r="W324" s="86">
        <f>MSY!A365</f>
        <v>3.21</v>
      </c>
      <c r="X324" s="86">
        <f>MSY!B365</f>
        <v>0.15376976358032951</v>
      </c>
      <c r="Y324" s="86">
        <f>MSY!C365</f>
        <v>0.78048949345777741</v>
      </c>
      <c r="Z324" s="86">
        <f>MSY!D365</f>
        <v>1.3294513089912152</v>
      </c>
      <c r="AA324" s="86">
        <f>MSY!E365</f>
        <v>0.61547615611473117</v>
      </c>
      <c r="AB324" s="86">
        <f>MSY!F365</f>
        <v>0.81824558139961079</v>
      </c>
      <c r="AC324" s="86">
        <f>MSY!G365</f>
        <v>0.48037267332132644</v>
      </c>
      <c r="AD324" s="24">
        <f t="shared" ref="AD324:AD387" si="21">ABS(X324-$C$28/100)</f>
        <v>0.24623023641967051</v>
      </c>
      <c r="AE324" s="24">
        <f t="shared" ref="AE324:AE387" si="22">ABS(X324-$C$29/100)</f>
        <v>0.19623023641967047</v>
      </c>
      <c r="AH324">
        <f t="shared" si="20"/>
        <v>3.21</v>
      </c>
      <c r="AI324">
        <f t="shared" ref="AI324:AI387" si="23">AB324</f>
        <v>0.81824558139961079</v>
      </c>
    </row>
    <row r="325" spans="23:35" x14ac:dyDescent="0.3">
      <c r="W325" s="86">
        <f>MSY!A366</f>
        <v>3.22</v>
      </c>
      <c r="X325" s="86">
        <f>MSY!B366</f>
        <v>0.1535923346438223</v>
      </c>
      <c r="Y325" s="86">
        <f>MSY!C366</f>
        <v>0.78042446322139691</v>
      </c>
      <c r="Z325" s="86">
        <f>MSY!D366</f>
        <v>1.3279173069455583</v>
      </c>
      <c r="AA325" s="86">
        <f>MSY!E366</f>
        <v>0.61047934697593864</v>
      </c>
      <c r="AB325" s="86">
        <f>MSY!F366</f>
        <v>0.81066609038217152</v>
      </c>
      <c r="AC325" s="86">
        <f>MSY!G366</f>
        <v>0.47643301667144583</v>
      </c>
      <c r="AD325" s="24">
        <f t="shared" si="21"/>
        <v>0.24640766535617772</v>
      </c>
      <c r="AE325" s="24">
        <f t="shared" si="22"/>
        <v>0.19640766535617768</v>
      </c>
      <c r="AH325">
        <f t="shared" si="20"/>
        <v>3.22</v>
      </c>
      <c r="AI325">
        <f t="shared" si="23"/>
        <v>0.81066609038217152</v>
      </c>
    </row>
    <row r="326" spans="23:35" x14ac:dyDescent="0.3">
      <c r="W326" s="86">
        <f>MSY!A367</f>
        <v>3.23</v>
      </c>
      <c r="X326" s="86">
        <f>MSY!B367</f>
        <v>0.15341575043840697</v>
      </c>
      <c r="Y326" s="86">
        <f>MSY!C367</f>
        <v>0.7803594794275901</v>
      </c>
      <c r="Z326" s="86">
        <f>MSY!D367</f>
        <v>1.3263906082138277</v>
      </c>
      <c r="AA326" s="86">
        <f>MSY!E367</f>
        <v>0.60549485197127362</v>
      </c>
      <c r="AB326" s="86">
        <f>MSY!F367</f>
        <v>0.80312268497651917</v>
      </c>
      <c r="AC326" s="86">
        <f>MSY!G367</f>
        <v>0.47250364748038881</v>
      </c>
      <c r="AD326" s="24">
        <f t="shared" si="21"/>
        <v>0.24658424956159306</v>
      </c>
      <c r="AE326" s="24">
        <f t="shared" si="22"/>
        <v>0.19658424956159301</v>
      </c>
      <c r="AH326">
        <f t="shared" si="20"/>
        <v>3.23</v>
      </c>
      <c r="AI326">
        <f t="shared" si="23"/>
        <v>0.80312268497651917</v>
      </c>
    </row>
    <row r="327" spans="23:35" x14ac:dyDescent="0.3">
      <c r="W327" s="86">
        <f>MSY!A368</f>
        <v>3.24</v>
      </c>
      <c r="X327" s="86">
        <f>MSY!B368</f>
        <v>0.15324000421167891</v>
      </c>
      <c r="Y327" s="86">
        <f>MSY!C368</f>
        <v>0.78029454322034564</v>
      </c>
      <c r="Z327" s="86">
        <f>MSY!D368</f>
        <v>1.3248711544165808</v>
      </c>
      <c r="AA327" s="86">
        <f>MSY!E368</f>
        <v>0.60052260484204179</v>
      </c>
      <c r="AB327" s="86">
        <f>MSY!F368</f>
        <v>0.79561507673032805</v>
      </c>
      <c r="AC327" s="86">
        <f>MSY!G368</f>
        <v>0.46858451163871312</v>
      </c>
      <c r="AD327" s="24">
        <f t="shared" si="21"/>
        <v>0.24675999578832111</v>
      </c>
      <c r="AE327" s="24">
        <f t="shared" si="22"/>
        <v>0.19675999578832107</v>
      </c>
      <c r="AH327">
        <f t="shared" si="20"/>
        <v>3.24</v>
      </c>
      <c r="AI327">
        <f t="shared" si="23"/>
        <v>0.79561507673032805</v>
      </c>
    </row>
    <row r="328" spans="23:35" x14ac:dyDescent="0.3">
      <c r="W328" s="86">
        <f>MSY!A369</f>
        <v>3.25</v>
      </c>
      <c r="X328" s="86">
        <f>MSY!B369</f>
        <v>0.15306508928724652</v>
      </c>
      <c r="Y328" s="86">
        <f>MSY!C369</f>
        <v>0.78022965571884106</v>
      </c>
      <c r="Z328" s="86">
        <f>MSY!D369</f>
        <v>1.3233588878315623</v>
      </c>
      <c r="AA328" s="86">
        <f>MSY!E369</f>
        <v>0.5955625399016794</v>
      </c>
      <c r="AB328" s="86">
        <f>MSY!F369</f>
        <v>0.7881429804384269</v>
      </c>
      <c r="AC328" s="86">
        <f>MSY!G369</f>
        <v>0.46467555546652584</v>
      </c>
      <c r="AD328" s="24">
        <f t="shared" si="21"/>
        <v>0.2469349107127535</v>
      </c>
      <c r="AE328" s="24">
        <f t="shared" si="22"/>
        <v>0.19693491071275346</v>
      </c>
      <c r="AH328">
        <f t="shared" si="20"/>
        <v>3.25</v>
      </c>
      <c r="AI328">
        <f t="shared" si="23"/>
        <v>0.7881429804384269</v>
      </c>
    </row>
    <row r="329" spans="23:35" x14ac:dyDescent="0.3">
      <c r="W329" s="86">
        <f>MSY!A370</f>
        <v>3.26</v>
      </c>
      <c r="X329" s="86">
        <f>MSY!B370</f>
        <v>0.1528909990636344</v>
      </c>
      <c r="Y329" s="86">
        <f>MSY!C370</f>
        <v>0.78016481801790971</v>
      </c>
      <c r="Z329" s="86">
        <f>MSY!D370</f>
        <v>1.3218537513842217</v>
      </c>
      <c r="AA329" s="86">
        <f>MSY!E370</f>
        <v>0.59061459202911515</v>
      </c>
      <c r="AB329" s="86">
        <f>MSY!F370</f>
        <v>0.78070611409594748</v>
      </c>
      <c r="AC329" s="86">
        <f>MSY!G370</f>
        <v>0.4607767257091166</v>
      </c>
      <c r="AD329" s="24">
        <f t="shared" si="21"/>
        <v>0.24710900093636562</v>
      </c>
      <c r="AE329" s="24">
        <f t="shared" si="22"/>
        <v>0.19710900093636557</v>
      </c>
      <c r="AH329">
        <f t="shared" si="20"/>
        <v>3.26</v>
      </c>
      <c r="AI329">
        <f t="shared" si="23"/>
        <v>0.78070611409594748</v>
      </c>
    </row>
    <row r="330" spans="23:35" x14ac:dyDescent="0.3">
      <c r="W330" s="86">
        <f>MSY!A371</f>
        <v>3.27</v>
      </c>
      <c r="X330" s="86">
        <f>MSY!B371</f>
        <v>0.1527177270132058</v>
      </c>
      <c r="Y330" s="86">
        <f>MSY!C371</f>
        <v>0.7801000311884958</v>
      </c>
      <c r="Z330" s="86">
        <f>MSY!D371</f>
        <v>1.3203556886383974</v>
      </c>
      <c r="AA330" s="86">
        <f>MSY!E371</f>
        <v>0.5856786966622306</v>
      </c>
      <c r="AB330" s="86">
        <f>MSY!F371</f>
        <v>0.77330419885229851</v>
      </c>
      <c r="AC330" s="86">
        <f>MSY!G371</f>
        <v>0.45688796953264366</v>
      </c>
      <c r="AD330" s="24">
        <f t="shared" si="21"/>
        <v>0.24728227298679423</v>
      </c>
      <c r="AE330" s="24">
        <f t="shared" si="22"/>
        <v>0.19728227298679418</v>
      </c>
      <c r="AH330">
        <f t="shared" si="20"/>
        <v>3.27</v>
      </c>
      <c r="AI330">
        <f t="shared" si="23"/>
        <v>0.77330419885229851</v>
      </c>
    </row>
    <row r="331" spans="23:35" x14ac:dyDescent="0.3">
      <c r="W331" s="86">
        <f>MSY!A372</f>
        <v>3.28</v>
      </c>
      <c r="X331" s="86">
        <f>MSY!B372</f>
        <v>0.15254526668110394</v>
      </c>
      <c r="Y331" s="86">
        <f>MSY!C372</f>
        <v>0.78003529627810009</v>
      </c>
      <c r="Z331" s="86">
        <f>MSY!D372</f>
        <v>1.3188646437871636</v>
      </c>
      <c r="AA331" s="86">
        <f>MSY!E372</f>
        <v>0.58075478979140893</v>
      </c>
      <c r="AB331" s="86">
        <f>MSY!F372</f>
        <v>0.76593695896593572</v>
      </c>
      <c r="AC331" s="86">
        <f>MSY!G372</f>
        <v>0.45300923451986741</v>
      </c>
      <c r="AD331" s="24">
        <f t="shared" si="21"/>
        <v>0.24745473331889609</v>
      </c>
      <c r="AE331" s="24">
        <f t="shared" si="22"/>
        <v>0.19745473331889604</v>
      </c>
      <c r="AH331">
        <f t="shared" si="20"/>
        <v>3.28</v>
      </c>
      <c r="AI331">
        <f t="shared" si="23"/>
        <v>0.76593695896593572</v>
      </c>
    </row>
    <row r="332" spans="23:35" x14ac:dyDescent="0.3">
      <c r="W332" s="86">
        <f>MSY!A373</f>
        <v>3.29</v>
      </c>
      <c r="X332" s="86">
        <f>MSY!B373</f>
        <v>0.15237361168421179</v>
      </c>
      <c r="Y332" s="86">
        <f>MSY!C373</f>
        <v>0.77997061431122028</v>
      </c>
      <c r="Z332" s="86">
        <f>MSY!D373</f>
        <v>1.317380561643837</v>
      </c>
      <c r="AA332" s="86">
        <f>MSY!E373</f>
        <v>0.57584280795318121</v>
      </c>
      <c r="AB332" s="86">
        <f>MSY!F373</f>
        <v>0.75860412175992598</v>
      </c>
      <c r="AC332" s="86">
        <f>MSY!G373</f>
        <v>0.44914046866594082</v>
      </c>
      <c r="AD332" s="24">
        <f t="shared" si="21"/>
        <v>0.24762638831578823</v>
      </c>
      <c r="AE332" s="24">
        <f t="shared" si="22"/>
        <v>0.19762638831578819</v>
      </c>
      <c r="AH332">
        <f t="shared" si="20"/>
        <v>3.29</v>
      </c>
      <c r="AI332">
        <f t="shared" si="23"/>
        <v>0.75860412175992598</v>
      </c>
    </row>
    <row r="333" spans="23:35" x14ac:dyDescent="0.3">
      <c r="W333" s="86">
        <f>MSY!A374</f>
        <v>3.3</v>
      </c>
      <c r="X333" s="86">
        <f>MSY!B374</f>
        <v>0.15220275571012931</v>
      </c>
      <c r="Y333" s="86">
        <f>MSY!C374</f>
        <v>0.77990598628977514</v>
      </c>
      <c r="Z333" s="86">
        <f>MSY!D374</f>
        <v>1.3159033876331332</v>
      </c>
      <c r="AA333" s="86">
        <f>MSY!E374</f>
        <v>0.57094268822394501</v>
      </c>
      <c r="AB333" s="86">
        <f>MSY!F374</f>
        <v>0.75130541757825697</v>
      </c>
      <c r="AC333" s="86">
        <f>MSY!G374</f>
        <v>0.44528162037423141</v>
      </c>
      <c r="AD333" s="24">
        <f t="shared" si="21"/>
        <v>0.24779724428987071</v>
      </c>
      <c r="AE333" s="24">
        <f t="shared" si="22"/>
        <v>0.19779724428987067</v>
      </c>
      <c r="AH333">
        <f t="shared" si="20"/>
        <v>3.3</v>
      </c>
      <c r="AI333">
        <f t="shared" si="23"/>
        <v>0.75130541757825697</v>
      </c>
    </row>
    <row r="334" spans="23:35" x14ac:dyDescent="0.3">
      <c r="W334" s="86">
        <f>MSY!A375</f>
        <v>3.31</v>
      </c>
      <c r="X334" s="86">
        <f>MSY!B375</f>
        <v>0.15203269251616869</v>
      </c>
      <c r="Y334" s="86">
        <f>MSY!C375</f>
        <v>0.77984141319352929</v>
      </c>
      <c r="Z334" s="86">
        <f>MSY!D375</f>
        <v>1.3144330677824814</v>
      </c>
      <c r="AA334" s="86">
        <f>MSY!E375</f>
        <v>0.56605436821378197</v>
      </c>
      <c r="AB334" s="86">
        <f>MSY!F375</f>
        <v>0.74404057974291571</v>
      </c>
      <c r="AC334" s="86">
        <f>MSY!G375</f>
        <v>0.44143263845220609</v>
      </c>
      <c r="AD334" s="24">
        <f t="shared" si="21"/>
        <v>0.24796730748383133</v>
      </c>
      <c r="AE334" s="24">
        <f t="shared" si="22"/>
        <v>0.19796730748383129</v>
      </c>
      <c r="AH334">
        <f t="shared" si="20"/>
        <v>3.31</v>
      </c>
      <c r="AI334">
        <f t="shared" si="23"/>
        <v>0.74404057974291571</v>
      </c>
    </row>
    <row r="335" spans="23:35" x14ac:dyDescent="0.3">
      <c r="W335" s="86">
        <f>MSY!A376</f>
        <v>3.32</v>
      </c>
      <c r="X335" s="86">
        <f>MSY!B376</f>
        <v>0.15186341592836694</v>
      </c>
      <c r="Y335" s="86">
        <f>MSY!C376</f>
        <v>0.77977689598050026</v>
      </c>
      <c r="Z335" s="86">
        <f>MSY!D376</f>
        <v>1.3129695487134869</v>
      </c>
      <c r="AA335" s="86">
        <f>MSY!E376</f>
        <v>0.5611777860603645</v>
      </c>
      <c r="AB335" s="86">
        <f>MSY!F376</f>
        <v>0.73680934451171054</v>
      </c>
      <c r="AC335" s="86">
        <f>MSY!G376</f>
        <v>0.43759347210736027</v>
      </c>
      <c r="AD335" s="24">
        <f t="shared" si="21"/>
        <v>0.24813658407163308</v>
      </c>
      <c r="AE335" s="24">
        <f t="shared" si="22"/>
        <v>0.19813658407163304</v>
      </c>
      <c r="AH335">
        <f t="shared" si="20"/>
        <v>3.32</v>
      </c>
      <c r="AI335">
        <f t="shared" si="23"/>
        <v>0.73680934451171054</v>
      </c>
    </row>
    <row r="336" spans="23:35" x14ac:dyDescent="0.3">
      <c r="W336" s="86">
        <f>MSY!A377</f>
        <v>3.33</v>
      </c>
      <c r="X336" s="86">
        <f>MSY!B377</f>
        <v>0.15169491984051511</v>
      </c>
      <c r="Y336" s="86">
        <f>MSY!C377</f>
        <v>0.77971243558736525</v>
      </c>
      <c r="Z336" s="86">
        <f>MSY!D377</f>
        <v>1.3115127776335374</v>
      </c>
      <c r="AA336" s="86">
        <f>MSY!E377</f>
        <v>0.55631288042293159</v>
      </c>
      <c r="AB336" s="86">
        <f>MSY!F377</f>
        <v>0.72961145103679292</v>
      </c>
      <c r="AC336" s="86">
        <f>MSY!G377</f>
        <v>0.4337640709431867</v>
      </c>
      <c r="AD336" s="24">
        <f t="shared" si="21"/>
        <v>0.24830508015948491</v>
      </c>
      <c r="AE336" s="24">
        <f t="shared" si="22"/>
        <v>0.19830508015948486</v>
      </c>
      <c r="AH336">
        <f t="shared" si="20"/>
        <v>3.33</v>
      </c>
      <c r="AI336">
        <f t="shared" si="23"/>
        <v>0.72961145103679292</v>
      </c>
    </row>
    <row r="337" spans="23:35" x14ac:dyDescent="0.3">
      <c r="W337" s="86">
        <f>MSY!A378</f>
        <v>3.34</v>
      </c>
      <c r="X337" s="86">
        <f>MSY!B378</f>
        <v>0.15152719821320401</v>
      </c>
      <c r="Y337" s="86">
        <f>MSY!C378</f>
        <v>0.77964803292985285</v>
      </c>
      <c r="Z337" s="86">
        <f>MSY!D378</f>
        <v>1.3100627023275531</v>
      </c>
      <c r="AA337" s="86">
        <f>MSY!E378</f>
        <v>0.55145959047635584</v>
      </c>
      <c r="AB337" s="86">
        <f>MSY!F378</f>
        <v>0.72244664132390057</v>
      </c>
      <c r="AC337" s="86">
        <f>MSY!G378</f>
        <v>0.42994438495519305</v>
      </c>
      <c r="AD337" s="24">
        <f t="shared" si="21"/>
        <v>0.24847280178679601</v>
      </c>
      <c r="AE337" s="24">
        <f t="shared" si="22"/>
        <v>0.19847280178679597</v>
      </c>
      <c r="AH337">
        <f t="shared" si="20"/>
        <v>3.34</v>
      </c>
      <c r="AI337">
        <f t="shared" si="23"/>
        <v>0.72244664132390057</v>
      </c>
    </row>
    <row r="338" spans="23:35" x14ac:dyDescent="0.3">
      <c r="W338" s="86">
        <f>MSY!A379</f>
        <v>3.35</v>
      </c>
      <c r="X338" s="86">
        <f>MSY!B379</f>
        <v>0.15136024507288653</v>
      </c>
      <c r="Y338" s="86">
        <f>MSY!C379</f>
        <v>0.77958368890313312</v>
      </c>
      <c r="Z338" s="86">
        <f>MSY!D379</f>
        <v>1.3086192711498799</v>
      </c>
      <c r="AA338" s="86">
        <f>MSY!E379</f>
        <v>0.54661785590529421</v>
      </c>
      <c r="AB338" s="86">
        <f>MSY!F379</f>
        <v>0.71531466019229617</v>
      </c>
      <c r="AC338" s="86">
        <f>MSY!G379</f>
        <v>0.42613436452697051</v>
      </c>
      <c r="AD338" s="24">
        <f t="shared" si="21"/>
        <v>0.24863975492711349</v>
      </c>
      <c r="AE338" s="24">
        <f t="shared" si="22"/>
        <v>0.19863975492711344</v>
      </c>
      <c r="AH338">
        <f t="shared" si="20"/>
        <v>3.35</v>
      </c>
      <c r="AI338">
        <f t="shared" si="23"/>
        <v>0.71531466019229617</v>
      </c>
    </row>
    <row r="339" spans="23:35" x14ac:dyDescent="0.3">
      <c r="W339" s="86">
        <f>MSY!A380</f>
        <v>3.36</v>
      </c>
      <c r="X339" s="86">
        <f>MSY!B380</f>
        <v>0.15119405451095569</v>
      </c>
      <c r="Y339" s="86">
        <f>MSY!C380</f>
        <v>0.77951940438219525</v>
      </c>
      <c r="Z339" s="86">
        <f>MSY!D380</f>
        <v>1.3071824330163184</v>
      </c>
      <c r="AA339" s="86">
        <f>MSY!E380</f>
        <v>0.5417876168984187</v>
      </c>
      <c r="AB339" s="86">
        <f>MSY!F380</f>
        <v>0.70821525523538797</v>
      </c>
      <c r="AC339" s="86">
        <f>MSY!G380</f>
        <v>0.42233396042630433</v>
      </c>
      <c r="AD339" s="24">
        <f t="shared" si="21"/>
        <v>0.24880594548904433</v>
      </c>
      <c r="AE339" s="24">
        <f t="shared" si="22"/>
        <v>0.19880594548904429</v>
      </c>
      <c r="AH339">
        <f t="shared" si="20"/>
        <v>3.36</v>
      </c>
      <c r="AI339">
        <f t="shared" si="23"/>
        <v>0.70821525523538797</v>
      </c>
    </row>
    <row r="340" spans="23:35" x14ac:dyDescent="0.3">
      <c r="W340" s="86">
        <f>MSY!A381</f>
        <v>3.37</v>
      </c>
      <c r="X340" s="86">
        <f>MSY!B381</f>
        <v>0.15102862068283793</v>
      </c>
      <c r="Y340" s="86">
        <f>MSY!C381</f>
        <v>0.7794551802222186</v>
      </c>
      <c r="Z340" s="86">
        <f>MSY!D381</f>
        <v>1.3057521373962846</v>
      </c>
      <c r="AA340" s="86">
        <f>MSY!E381</f>
        <v>0.53696881414270836</v>
      </c>
      <c r="AB340" s="86">
        <f>MSY!F381</f>
        <v>0.70114817678198971</v>
      </c>
      <c r="AC340" s="86">
        <f>MSY!G381</f>
        <v>0.41854312380131575</v>
      </c>
      <c r="AD340" s="24">
        <f t="shared" si="21"/>
        <v>0.24897137931716209</v>
      </c>
      <c r="AE340" s="24">
        <f t="shared" si="22"/>
        <v>0.19897137931716205</v>
      </c>
      <c r="AH340">
        <f t="shared" si="20"/>
        <v>3.37</v>
      </c>
      <c r="AI340">
        <f t="shared" si="23"/>
        <v>0.70114817678198971</v>
      </c>
    </row>
    <row r="341" spans="23:35" x14ac:dyDescent="0.3">
      <c r="W341" s="86">
        <f>MSY!A382</f>
        <v>3.38</v>
      </c>
      <c r="X341" s="86">
        <f>MSY!B382</f>
        <v>0.15086393780710231</v>
      </c>
      <c r="Y341" s="86">
        <f>MSY!C382</f>
        <v>0.77939101725893967</v>
      </c>
      <c r="Z341" s="86">
        <f>MSY!D382</f>
        <v>1.304328334305108</v>
      </c>
      <c r="AA341" s="86">
        <f>MSY!E382</f>
        <v>0.53216138881784503</v>
      </c>
      <c r="AB341" s="86">
        <f>MSY!F382</f>
        <v>0.69411317785827276</v>
      </c>
      <c r="AC341" s="86">
        <f>MSY!G382</f>
        <v>0.41476180617667036</v>
      </c>
      <c r="AD341" s="24">
        <f t="shared" si="21"/>
        <v>0.24913606219289772</v>
      </c>
      <c r="AE341" s="24">
        <f t="shared" si="22"/>
        <v>0.19913606219289767</v>
      </c>
      <c r="AH341">
        <f t="shared" si="20"/>
        <v>3.38</v>
      </c>
      <c r="AI341">
        <f t="shared" si="23"/>
        <v>0.69411317785827276</v>
      </c>
    </row>
    <row r="342" spans="23:35" x14ac:dyDescent="0.3">
      <c r="W342" s="86">
        <f>MSY!A383</f>
        <v>3.39</v>
      </c>
      <c r="X342" s="86">
        <f>MSY!B383</f>
        <v>0.15070000016458435</v>
      </c>
      <c r="Y342" s="86">
        <f>MSY!C383</f>
        <v>0.7793269163090063</v>
      </c>
      <c r="Z342" s="86">
        <f>MSY!D383</f>
        <v>1.3029109742964573</v>
      </c>
      <c r="AA342" s="86">
        <f>MSY!E383</f>
        <v>0.52736528259066884</v>
      </c>
      <c r="AB342" s="86">
        <f>MSY!F383</f>
        <v>0.68711001415033479</v>
      </c>
      <c r="AC342" s="86">
        <f>MSY!G383</f>
        <v>0.41098995944981365</v>
      </c>
      <c r="AD342" s="24">
        <f t="shared" si="21"/>
        <v>0.24929999983541568</v>
      </c>
      <c r="AE342" s="24">
        <f t="shared" si="22"/>
        <v>0.19929999983541563</v>
      </c>
      <c r="AH342">
        <f t="shared" si="20"/>
        <v>3.39</v>
      </c>
      <c r="AI342">
        <f t="shared" si="23"/>
        <v>0.68711001415033479</v>
      </c>
    </row>
    <row r="343" spans="23:35" x14ac:dyDescent="0.3">
      <c r="W343" s="86">
        <f>MSY!A384</f>
        <v>3.4</v>
      </c>
      <c r="X343" s="86">
        <f>MSY!B384</f>
        <v>0.15053680209752446</v>
      </c>
      <c r="Y343" s="86">
        <f>MSY!C384</f>
        <v>0.77926287817033046</v>
      </c>
      <c r="Z343" s="86">
        <f>MSY!D384</f>
        <v>1.3015000084548909</v>
      </c>
      <c r="AA343" s="86">
        <f>MSY!E384</f>
        <v>0.52258043760970929</v>
      </c>
      <c r="AB343" s="86">
        <f>MSY!F384</f>
        <v>0.6801384439673972</v>
      </c>
      <c r="AC343" s="86">
        <f>MSY!G384</f>
        <v>0.40722753588725286</v>
      </c>
      <c r="AD343" s="24">
        <f t="shared" si="21"/>
        <v>0.24946319790247556</v>
      </c>
      <c r="AE343" s="24">
        <f t="shared" si="22"/>
        <v>0.19946319790247552</v>
      </c>
      <c r="AH343">
        <f t="shared" si="20"/>
        <v>3.4</v>
      </c>
      <c r="AI343">
        <f t="shared" si="23"/>
        <v>0.6801384439673972</v>
      </c>
    </row>
    <row r="344" spans="23:35" x14ac:dyDescent="0.3">
      <c r="W344" s="86">
        <f>MSY!A385</f>
        <v>3.41</v>
      </c>
      <c r="X344" s="86">
        <f>MSY!B385</f>
        <v>0.15037433800872099</v>
      </c>
      <c r="Y344" s="86">
        <f>MSY!C385</f>
        <v>0.77919890362242794</v>
      </c>
      <c r="Z344" s="86">
        <f>MSY!D385</f>
        <v>1.3000953883885342</v>
      </c>
      <c r="AA344" s="86">
        <f>MSY!E385</f>
        <v>0.51780679649979222</v>
      </c>
      <c r="AB344" s="86">
        <f>MSY!F385</f>
        <v>0.67319822820562003</v>
      </c>
      <c r="AC344" s="86">
        <f>MSY!G385</f>
        <v>0.40347448812087977</v>
      </c>
      <c r="AD344" s="24">
        <f t="shared" si="21"/>
        <v>0.24962566199127903</v>
      </c>
      <c r="AE344" s="24">
        <f t="shared" si="22"/>
        <v>0.19962566199127899</v>
      </c>
      <c r="AH344">
        <f t="shared" si="20"/>
        <v>3.41</v>
      </c>
      <c r="AI344">
        <f t="shared" si="23"/>
        <v>0.67319822820562003</v>
      </c>
    </row>
    <row r="345" spans="23:35" x14ac:dyDescent="0.3">
      <c r="W345" s="86">
        <f>MSY!A386</f>
        <v>3.42</v>
      </c>
      <c r="X345" s="86">
        <f>MSY!B386</f>
        <v>0.15021260236069728</v>
      </c>
      <c r="Y345" s="86">
        <f>MSY!C386</f>
        <v>0.77913499342675829</v>
      </c>
      <c r="Z345" s="86">
        <f>MSY!D386</f>
        <v>1.2986970662218793</v>
      </c>
      <c r="AA345" s="86">
        <f>MSY!E386</f>
        <v>0.51304430235672327</v>
      </c>
      <c r="AB345" s="86">
        <f>MSY!F386</f>
        <v>0.66628913031252734</v>
      </c>
      <c r="AC345" s="86">
        <f>MSY!G386</f>
        <v>0.39973076914434136</v>
      </c>
      <c r="AD345" s="24">
        <f t="shared" si="21"/>
        <v>0.24978739763930274</v>
      </c>
      <c r="AE345" s="24">
        <f t="shared" si="22"/>
        <v>0.1997873976393027</v>
      </c>
      <c r="AH345">
        <f t="shared" si="20"/>
        <v>3.42</v>
      </c>
      <c r="AI345">
        <f t="shared" si="23"/>
        <v>0.66628913031252734</v>
      </c>
    </row>
    <row r="346" spans="23:35" x14ac:dyDescent="0.3">
      <c r="W346" s="86">
        <f>MSY!A387</f>
        <v>3.43</v>
      </c>
      <c r="X346" s="86">
        <f>MSY!B387</f>
        <v>0.15005158967488269</v>
      </c>
      <c r="Y346" s="86">
        <f>MSY!C387</f>
        <v>0.77907114832705249</v>
      </c>
      <c r="Z346" s="86">
        <f>MSY!D387</f>
        <v>1.297304994588703</v>
      </c>
      <c r="AA346" s="86">
        <f>MSY!E387</f>
        <v>0.50829289874203709</v>
      </c>
      <c r="AB346" s="86">
        <f>MSY!F387</f>
        <v>0.65941091625201464</v>
      </c>
      <c r="AC346" s="86">
        <f>MSY!G387</f>
        <v>0.39599633230944503</v>
      </c>
      <c r="AD346" s="24">
        <f t="shared" si="21"/>
        <v>0.24994841032511733</v>
      </c>
      <c r="AE346" s="24">
        <f t="shared" si="22"/>
        <v>0.19994841032511729</v>
      </c>
      <c r="AH346">
        <f t="shared" si="20"/>
        <v>3.43</v>
      </c>
      <c r="AI346">
        <f t="shared" si="23"/>
        <v>0.65941091625201464</v>
      </c>
    </row>
    <row r="347" spans="23:35" x14ac:dyDescent="0.3">
      <c r="W347" s="86">
        <f>MSY!A388</f>
        <v>3.44</v>
      </c>
      <c r="X347" s="86">
        <f>MSY!B388</f>
        <v>0.14989129453080674</v>
      </c>
      <c r="Y347" s="86">
        <f>MSY!C388</f>
        <v>0.77900736904963575</v>
      </c>
      <c r="Z347" s="86">
        <f>MSY!D388</f>
        <v>1.2959191266251004</v>
      </c>
      <c r="AA347" s="86">
        <f>MSY!E388</f>
        <v>0.50355252967780995</v>
      </c>
      <c r="AB347" s="86">
        <f>MSY!F388</f>
        <v>0.65256335446992741</v>
      </c>
      <c r="AC347" s="86">
        <f>MSY!G388</f>
        <v>0.39227113132259933</v>
      </c>
      <c r="AD347" s="24">
        <f t="shared" si="21"/>
        <v>0.25010870546919328</v>
      </c>
      <c r="AE347" s="24">
        <f t="shared" si="22"/>
        <v>0.20010870546919324</v>
      </c>
      <c r="AH347">
        <f t="shared" si="20"/>
        <v>3.44</v>
      </c>
      <c r="AI347">
        <f t="shared" si="23"/>
        <v>0.65256335446992741</v>
      </c>
    </row>
    <row r="348" spans="23:35" x14ac:dyDescent="0.3">
      <c r="W348" s="86">
        <f>MSY!A389</f>
        <v>3.45</v>
      </c>
      <c r="X348" s="86">
        <f>MSY!B389</f>
        <v>0.14973171156530743</v>
      </c>
      <c r="Y348" s="86">
        <f>MSY!C389</f>
        <v>0.77894365630374574</v>
      </c>
      <c r="Z348" s="86">
        <f>MSY!D389</f>
        <v>1.2945394159626404</v>
      </c>
      <c r="AA348" s="86">
        <f>MSY!E389</f>
        <v>0.49882313964156622</v>
      </c>
      <c r="AB348" s="86">
        <f>MSY!F389</f>
        <v>0.64574621586024372</v>
      </c>
      <c r="AC348" s="86">
        <f>MSY!G389</f>
        <v>0.3885551202413155</v>
      </c>
      <c r="AD348" s="24">
        <f t="shared" si="21"/>
        <v>0.25026828843469262</v>
      </c>
      <c r="AE348" s="24">
        <f t="shared" si="22"/>
        <v>0.20026828843469255</v>
      </c>
      <c r="AH348">
        <f t="shared" si="20"/>
        <v>3.45</v>
      </c>
      <c r="AI348">
        <f t="shared" si="23"/>
        <v>0.64574621586024372</v>
      </c>
    </row>
    <row r="349" spans="23:35" x14ac:dyDescent="0.3">
      <c r="W349" s="86">
        <f>MSY!A390</f>
        <v>3.46</v>
      </c>
      <c r="X349" s="86">
        <f>MSY!B390</f>
        <v>0.14957283547175157</v>
      </c>
      <c r="Y349" s="86">
        <f>MSY!C390</f>
        <v>0.77888001078184232</v>
      </c>
      <c r="Z349" s="86">
        <f>MSY!D390</f>
        <v>1.2931658167216238</v>
      </c>
      <c r="AA349" s="86">
        <f>MSY!E390</f>
        <v>0.49410467356121535</v>
      </c>
      <c r="AB349" s="86">
        <f>MSY!F390</f>
        <v>0.63895927373176031</v>
      </c>
      <c r="AC349" s="86">
        <f>MSY!G390</f>
        <v>0.3848482534707181</v>
      </c>
      <c r="AD349" s="24">
        <f t="shared" si="21"/>
        <v>0.25042716452824842</v>
      </c>
      <c r="AE349" s="24">
        <f t="shared" si="22"/>
        <v>0.20042716452824841</v>
      </c>
      <c r="AH349">
        <f t="shared" si="20"/>
        <v>3.46</v>
      </c>
      <c r="AI349">
        <f t="shared" si="23"/>
        <v>0.63895927373176031</v>
      </c>
    </row>
    <row r="350" spans="23:35" x14ac:dyDescent="0.3">
      <c r="W350" s="86">
        <f>MSY!A391</f>
        <v>3.47</v>
      </c>
      <c r="X350" s="86">
        <f>MSY!B391</f>
        <v>0.14941466099926884</v>
      </c>
      <c r="Y350" s="86">
        <f>MSY!C391</f>
        <v>0.77881643315991322</v>
      </c>
      <c r="Z350" s="86">
        <f>MSY!D391</f>
        <v>1.2917982835044624</v>
      </c>
      <c r="AA350" s="86">
        <f>MSY!E391</f>
        <v>0.4893970768100957</v>
      </c>
      <c r="AB350" s="86">
        <f>MSY!F391</f>
        <v>0.63220230377538322</v>
      </c>
      <c r="AC350" s="86">
        <f>MSY!G391</f>
        <v>0.38115048576012683</v>
      </c>
      <c r="AD350" s="24">
        <f t="shared" si="21"/>
        <v>0.25058533900073121</v>
      </c>
      <c r="AE350" s="24">
        <f t="shared" si="22"/>
        <v>0.20058533900073114</v>
      </c>
      <c r="AH350">
        <f t="shared" si="20"/>
        <v>3.47</v>
      </c>
      <c r="AI350">
        <f t="shared" si="23"/>
        <v>0.63220230377538322</v>
      </c>
    </row>
    <row r="351" spans="23:35" x14ac:dyDescent="0.3">
      <c r="W351" s="86">
        <f>MSY!A392</f>
        <v>3.48</v>
      </c>
      <c r="X351" s="86">
        <f>MSY!B392</f>
        <v>0.14925718295199764</v>
      </c>
      <c r="Y351" s="86">
        <f>MSY!C392</f>
        <v>0.77875292409777075</v>
      </c>
      <c r="Z351" s="86">
        <f>MSY!D392</f>
        <v>1.290436771389158</v>
      </c>
      <c r="AA351" s="86">
        <f>MSY!E392</f>
        <v>0.48470029520204677</v>
      </c>
      <c r="AB351" s="86">
        <f>MSY!F392</f>
        <v>0.62547508403190111</v>
      </c>
      <c r="AC351" s="86">
        <f>MSY!G392</f>
        <v>0.37746177219964661</v>
      </c>
      <c r="AD351" s="24">
        <f t="shared" si="21"/>
        <v>0.25074281704800239</v>
      </c>
      <c r="AE351" s="24">
        <f t="shared" si="22"/>
        <v>0.20074281704800234</v>
      </c>
      <c r="AH351">
        <f t="shared" si="20"/>
        <v>3.48</v>
      </c>
      <c r="AI351">
        <f t="shared" si="23"/>
        <v>0.62547508403190111</v>
      </c>
    </row>
    <row r="352" spans="23:35" x14ac:dyDescent="0.3">
      <c r="W352" s="86">
        <f>MSY!A393</f>
        <v>3.49</v>
      </c>
      <c r="X352" s="86">
        <f>MSY!B393</f>
        <v>0.1491003961883437</v>
      </c>
      <c r="Y352" s="86">
        <f>MSY!C393</f>
        <v>0.77868948423934625</v>
      </c>
      <c r="Z352" s="86">
        <f>MSY!D393</f>
        <v>1.2890812359228938</v>
      </c>
      <c r="AA352" s="86">
        <f>MSY!E393</f>
        <v>0.48001427498657423</v>
      </c>
      <c r="AB352" s="86">
        <f>MSY!F393</f>
        <v>0.6187773948603249</v>
      </c>
      <c r="AC352" s="86">
        <f>MSY!G393</f>
        <v>0.3737820682168192</v>
      </c>
      <c r="AD352" s="24">
        <f t="shared" si="21"/>
        <v>0.25089960381165632</v>
      </c>
      <c r="AE352" s="24">
        <f t="shared" si="22"/>
        <v>0.20089960381165628</v>
      </c>
      <c r="AH352">
        <f t="shared" si="20"/>
        <v>3.49</v>
      </c>
      <c r="AI352">
        <f t="shared" si="23"/>
        <v>0.6187773948603249</v>
      </c>
    </row>
    <row r="353" spans="23:35" x14ac:dyDescent="0.3">
      <c r="W353" s="86">
        <f>MSY!A394</f>
        <v>3.5</v>
      </c>
      <c r="X353" s="86">
        <f>MSY!B394</f>
        <v>0.14894429562025088</v>
      </c>
      <c r="Y353" s="86">
        <f>MSY!C394</f>
        <v>0.77862611421297656</v>
      </c>
      <c r="Z353" s="86">
        <f>MSY!D394</f>
        <v>1.2877316331157278</v>
      </c>
      <c r="AA353" s="86">
        <f>MSY!E394</f>
        <v>0.47533896284406862</v>
      </c>
      <c r="AB353" s="86">
        <f>MSY!F394</f>
        <v>0.61210901890672875</v>
      </c>
      <c r="AC353" s="86">
        <f>MSY!G394</f>
        <v>0.37011132957330362</v>
      </c>
      <c r="AD353" s="24">
        <f t="shared" si="21"/>
        <v>0.25105570437974911</v>
      </c>
      <c r="AE353" s="24">
        <f t="shared" si="22"/>
        <v>0.2010557043797491</v>
      </c>
      <c r="AH353">
        <f t="shared" si="20"/>
        <v>3.5</v>
      </c>
      <c r="AI353">
        <f t="shared" si="23"/>
        <v>0.61210901890672875</v>
      </c>
    </row>
    <row r="354" spans="23:35" x14ac:dyDescent="0.3">
      <c r="W354" s="86">
        <f>MSY!A395</f>
        <v>3.51</v>
      </c>
      <c r="X354" s="86">
        <f>MSY!B395</f>
        <v>0.14878887621248327</v>
      </c>
      <c r="Y354" s="86">
        <f>MSY!C395</f>
        <v>0.77856281463168586</v>
      </c>
      <c r="Z354" s="86">
        <f>MSY!D395</f>
        <v>1.2863879194343877</v>
      </c>
      <c r="AA354" s="86">
        <f>MSY!E395</f>
        <v>0.47067430588107756</v>
      </c>
      <c r="AB354" s="86">
        <f>MSY!F395</f>
        <v>0.60546974107358398</v>
      </c>
      <c r="AC354" s="86">
        <f>MSY!G395</f>
        <v>0.36644951236158679</v>
      </c>
      <c r="AD354" s="24">
        <f t="shared" si="21"/>
        <v>0.25121112378751675</v>
      </c>
      <c r="AE354" s="24">
        <f t="shared" si="22"/>
        <v>0.20121112378751671</v>
      </c>
      <c r="AH354">
        <f t="shared" si="20"/>
        <v>3.51</v>
      </c>
      <c r="AI354">
        <f t="shared" si="23"/>
        <v>0.60546974107358398</v>
      </c>
    </row>
    <row r="355" spans="23:35" x14ac:dyDescent="0.3">
      <c r="W355" s="86">
        <f>MSY!A396</f>
        <v>3.52</v>
      </c>
      <c r="X355" s="86">
        <f>MSY!B396</f>
        <v>0.14863413298191944</v>
      </c>
      <c r="Y355" s="86">
        <f>MSY!C396</f>
        <v>0.77849958609346248</v>
      </c>
      <c r="Z355" s="86">
        <f>MSY!D396</f>
        <v>1.2850500517961694</v>
      </c>
      <c r="AA355" s="86">
        <f>MSY!E396</f>
        <v>0.46602025162565941</v>
      </c>
      <c r="AB355" s="86">
        <f>MSY!F396</f>
        <v>0.59885934848961753</v>
      </c>
      <c r="AC355" s="86">
        <f>MSY!G396</f>
        <v>0.36279657300174711</v>
      </c>
      <c r="AD355" s="24">
        <f t="shared" si="21"/>
        <v>0.25136586701808061</v>
      </c>
      <c r="AE355" s="24">
        <f t="shared" si="22"/>
        <v>0.20136586701808054</v>
      </c>
      <c r="AH355">
        <f t="shared" si="20"/>
        <v>3.52</v>
      </c>
      <c r="AI355">
        <f t="shared" si="23"/>
        <v>0.59885934848961753</v>
      </c>
    </row>
    <row r="356" spans="23:35" x14ac:dyDescent="0.3">
      <c r="W356" s="86">
        <f>MSY!A397</f>
        <v>3.53</v>
      </c>
      <c r="X356" s="86">
        <f>MSY!B397</f>
        <v>0.14848006099685779</v>
      </c>
      <c r="Y356" s="86">
        <f>MSY!C397</f>
        <v>0.77843642918152756</v>
      </c>
      <c r="Z356" s="86">
        <f>MSY!D397</f>
        <v>1.2837179875629297</v>
      </c>
      <c r="AA356" s="86">
        <f>MSY!E397</f>
        <v>0.46137674802277745</v>
      </c>
      <c r="AB356" s="86">
        <f>MSY!F397</f>
        <v>0.59227763048012882</v>
      </c>
      <c r="AC356" s="86">
        <f>MSY!G397</f>
        <v>0.35915246823823627</v>
      </c>
      <c r="AD356" s="24">
        <f t="shared" si="21"/>
        <v>0.25151993900314223</v>
      </c>
      <c r="AE356" s="24">
        <f t="shared" si="22"/>
        <v>0.20151993900314219</v>
      </c>
      <c r="AH356">
        <f t="shared" si="20"/>
        <v>3.53</v>
      </c>
      <c r="AI356">
        <f t="shared" si="23"/>
        <v>0.59227763048012882</v>
      </c>
    </row>
    <row r="357" spans="23:35" x14ac:dyDescent="0.3">
      <c r="W357" s="86">
        <f>MSY!A398</f>
        <v>3.54</v>
      </c>
      <c r="X357" s="86">
        <f>MSY!B398</f>
        <v>0.14832665537633319</v>
      </c>
      <c r="Y357" s="86">
        <f>MSY!C398</f>
        <v>0.77837334446460327</v>
      </c>
      <c r="Z357" s="86">
        <f>MSY!D398</f>
        <v>1.2823916845351795</v>
      </c>
      <c r="AA357" s="86">
        <f>MSY!E398</f>
        <v>0.4567437434297657</v>
      </c>
      <c r="AB357" s="86">
        <f>MSY!F398</f>
        <v>0.58572437853780113</v>
      </c>
      <c r="AC357" s="86">
        <f>MSY!G398</f>
        <v>0.3555171551367094</v>
      </c>
      <c r="AD357" s="24">
        <f t="shared" si="21"/>
        <v>0.25167334462366686</v>
      </c>
      <c r="AE357" s="24">
        <f t="shared" si="22"/>
        <v>0.20167334462366679</v>
      </c>
      <c r="AH357">
        <f t="shared" si="20"/>
        <v>3.54</v>
      </c>
      <c r="AI357">
        <f t="shared" si="23"/>
        <v>0.58572437853780113</v>
      </c>
    </row>
    <row r="358" spans="23:35" x14ac:dyDescent="0.3">
      <c r="W358" s="86">
        <f>MSY!A399</f>
        <v>3.55</v>
      </c>
      <c r="X358" s="86">
        <f>MSY!B399</f>
        <v>0.1481739112894446</v>
      </c>
      <c r="Y358" s="86">
        <f>MSY!C399</f>
        <v>0.7783103324971713</v>
      </c>
      <c r="Z358" s="86">
        <f>MSY!D399</f>
        <v>1.2810711009462696</v>
      </c>
      <c r="AA358" s="86">
        <f>MSY!E399</f>
        <v>0.45212118661185019</v>
      </c>
      <c r="AB358" s="86">
        <f>MSY!F399</f>
        <v>0.57919938629397671</v>
      </c>
      <c r="AC358" s="86">
        <f>MSY!G399</f>
        <v>0.35189059108088477</v>
      </c>
      <c r="AD358" s="24">
        <f t="shared" si="21"/>
        <v>0.25182608871055545</v>
      </c>
      <c r="AE358" s="24">
        <f t="shared" si="22"/>
        <v>0.20182608871055538</v>
      </c>
      <c r="AH358">
        <f t="shared" si="20"/>
        <v>3.55</v>
      </c>
      <c r="AI358">
        <f t="shared" si="23"/>
        <v>0.57919938629397671</v>
      </c>
    </row>
    <row r="359" spans="23:35" x14ac:dyDescent="0.3">
      <c r="W359" s="86">
        <f>MSY!A400</f>
        <v>3.56</v>
      </c>
      <c r="X359" s="86">
        <f>MSY!B400</f>
        <v>0.1480218239546934</v>
      </c>
      <c r="Y359" s="86">
        <f>MSY!C400</f>
        <v>0.77824739381972985</v>
      </c>
      <c r="Z359" s="86">
        <f>MSY!D400</f>
        <v>1.2797561954566716</v>
      </c>
      <c r="AA359" s="86">
        <f>MSY!E400</f>
        <v>0.44750902673773357</v>
      </c>
      <c r="AB359" s="86">
        <f>MSY!F400</f>
        <v>0.57270244949039983</v>
      </c>
      <c r="AC359" s="86">
        <f>MSY!G400</f>
        <v>0.34827273376944495</v>
      </c>
      <c r="AD359" s="24">
        <f t="shared" si="21"/>
        <v>0.25197817604530659</v>
      </c>
      <c r="AE359" s="24">
        <f t="shared" si="22"/>
        <v>0.20197817604530657</v>
      </c>
      <c r="AH359">
        <f t="shared" si="20"/>
        <v>3.56</v>
      </c>
      <c r="AI359">
        <f t="shared" si="23"/>
        <v>0.57270244949039983</v>
      </c>
    </row>
    <row r="360" spans="23:35" x14ac:dyDescent="0.3">
      <c r="W360" s="86">
        <f>MSY!A401</f>
        <v>3.57</v>
      </c>
      <c r="X360" s="86">
        <f>MSY!B401</f>
        <v>0.14787038863933233</v>
      </c>
      <c r="Y360" s="86">
        <f>MSY!C401</f>
        <v>0.77818452895904333</v>
      </c>
      <c r="Z360" s="86">
        <f>MSY!D401</f>
        <v>1.2784469271483472</v>
      </c>
      <c r="AA360" s="86">
        <f>MSY!E401</f>
        <v>0.44290721337522371</v>
      </c>
      <c r="AB360" s="86">
        <f>MSY!F401</f>
        <v>0.56623336595139206</v>
      </c>
      <c r="AC360" s="86">
        <f>MSY!G401</f>
        <v>0.34466354121296094</v>
      </c>
      <c r="AD360" s="24">
        <f t="shared" si="21"/>
        <v>0.25212961136066769</v>
      </c>
      <c r="AE360" s="24">
        <f t="shared" si="22"/>
        <v>0.20212961136066765</v>
      </c>
      <c r="AH360">
        <f t="shared" si="20"/>
        <v>3.57</v>
      </c>
      <c r="AI360">
        <f t="shared" si="23"/>
        <v>0.56623336595139206</v>
      </c>
    </row>
    <row r="361" spans="23:35" x14ac:dyDescent="0.3">
      <c r="W361" s="86">
        <f>MSY!A402</f>
        <v>3.58</v>
      </c>
      <c r="X361" s="86">
        <f>MSY!B402</f>
        <v>0.14771960065872483</v>
      </c>
      <c r="Y361" s="86">
        <f>MSY!C402</f>
        <v>0.77812173842838805</v>
      </c>
      <c r="Z361" s="86">
        <f>MSY!D402</f>
        <v>1.2771432555192102</v>
      </c>
      <c r="AA361" s="86">
        <f>MSY!E402</f>
        <v>0.43831569648693181</v>
      </c>
      <c r="AB361" s="86">
        <f>MSY!F402</f>
        <v>0.55979193555649009</v>
      </c>
      <c r="AC361" s="86">
        <f>MSY!G402</f>
        <v>0.34106297173086109</v>
      </c>
      <c r="AD361" s="24">
        <f t="shared" si="21"/>
        <v>0.25228039934127522</v>
      </c>
      <c r="AE361" s="24">
        <f t="shared" si="22"/>
        <v>0.20228039934127515</v>
      </c>
      <c r="AH361">
        <f t="shared" si="20"/>
        <v>3.58</v>
      </c>
      <c r="AI361">
        <f t="shared" si="23"/>
        <v>0.55979193555649009</v>
      </c>
    </row>
    <row r="362" spans="23:35" x14ac:dyDescent="0.3">
      <c r="W362" s="86">
        <f>MSY!A403</f>
        <v>3.59</v>
      </c>
      <c r="X362" s="86">
        <f>MSY!B403</f>
        <v>0.14756945537571431</v>
      </c>
      <c r="Y362" s="86">
        <f>MSY!C403</f>
        <v>0.77805902272779415</v>
      </c>
      <c r="Z362" s="86">
        <f>MSY!D403</f>
        <v>1.2758451404776734</v>
      </c>
      <c r="AA362" s="86">
        <f>MSY!E403</f>
        <v>0.43373442642601795</v>
      </c>
      <c r="AB362" s="86">
        <f>MSY!F403</f>
        <v>0.55337796021350594</v>
      </c>
      <c r="AC362" s="86">
        <f>MSY!G403</f>
        <v>0.33747098394842784</v>
      </c>
      <c r="AD362" s="24">
        <f t="shared" si="21"/>
        <v>0.25243054462428571</v>
      </c>
      <c r="AE362" s="24">
        <f t="shared" si="22"/>
        <v>0.20243054462428567</v>
      </c>
      <c r="AH362">
        <f t="shared" si="20"/>
        <v>3.59</v>
      </c>
      <c r="AI362">
        <f t="shared" si="23"/>
        <v>0.55337796021350594</v>
      </c>
    </row>
    <row r="363" spans="23:35" x14ac:dyDescent="0.3">
      <c r="W363" s="86">
        <f>MSY!A404</f>
        <v>3.6</v>
      </c>
      <c r="X363" s="86">
        <f>MSY!B404</f>
        <v>0.14741994820000395</v>
      </c>
      <c r="Y363" s="86">
        <f>MSY!C404</f>
        <v>0.77799638234428203</v>
      </c>
      <c r="Z363" s="86">
        <f>MSY!D404</f>
        <v>1.2745525423372861</v>
      </c>
      <c r="AA363" s="86">
        <f>MSY!E404</f>
        <v>0.42916335393199645</v>
      </c>
      <c r="AB363" s="86">
        <f>MSY!F404</f>
        <v>0.54699124383202258</v>
      </c>
      <c r="AC363" s="86">
        <f>MSY!G404</f>
        <v>0.33388753679383193</v>
      </c>
      <c r="AD363" s="24">
        <f t="shared" si="21"/>
        <v>0.2525800517999961</v>
      </c>
      <c r="AE363" s="24">
        <f t="shared" si="22"/>
        <v>0.20258005179999602</v>
      </c>
      <c r="AH363">
        <f t="shared" si="20"/>
        <v>3.6</v>
      </c>
      <c r="AI363">
        <f t="shared" si="23"/>
        <v>0.54699124383202258</v>
      </c>
    </row>
    <row r="364" spans="23:35" x14ac:dyDescent="0.3">
      <c r="W364" s="86">
        <f>MSY!A405</f>
        <v>3.61</v>
      </c>
      <c r="X364" s="86">
        <f>MSY!B405</f>
        <v>0.14727107458754574</v>
      </c>
      <c r="Y364" s="86">
        <f>MSY!C405</f>
        <v>0.77793381775209358</v>
      </c>
      <c r="Z364" s="86">
        <f>MSY!D405</f>
        <v>1.2732654218114525</v>
      </c>
      <c r="AA364" s="86">
        <f>MSY!E405</f>
        <v>0.4246024301265956</v>
      </c>
      <c r="AB364" s="86">
        <f>MSY!F405</f>
        <v>0.54063159229730751</v>
      </c>
      <c r="AC364" s="86">
        <f>MSY!G405</f>
        <v>0.33031258949519909</v>
      </c>
      <c r="AD364" s="24">
        <f t="shared" si="21"/>
        <v>0.25272892541245429</v>
      </c>
      <c r="AE364" s="24">
        <f t="shared" si="22"/>
        <v>0.20272892541245424</v>
      </c>
      <c r="AH364">
        <f t="shared" si="20"/>
        <v>3.61</v>
      </c>
      <c r="AI364">
        <f t="shared" si="23"/>
        <v>0.54063159229730751</v>
      </c>
    </row>
    <row r="365" spans="23:35" x14ac:dyDescent="0.3">
      <c r="W365" s="86">
        <f>MSY!A406</f>
        <v>3.62</v>
      </c>
      <c r="X365" s="86">
        <f>MSY!B406</f>
        <v>0.1471228300399392</v>
      </c>
      <c r="Y365" s="86">
        <f>MSY!C406</f>
        <v>0.77787132941292136</v>
      </c>
      <c r="Z365" s="86">
        <f>MSY!D406</f>
        <v>1.2719837400082328</v>
      </c>
      <c r="AA365" s="86">
        <f>MSY!E406</f>
        <v>0.42005160650965445</v>
      </c>
      <c r="AB365" s="86">
        <f>MSY!F406</f>
        <v>0.53429881344461683</v>
      </c>
      <c r="AC365" s="86">
        <f>MSY!G406</f>
        <v>0.32674610157769823</v>
      </c>
      <c r="AD365" s="24">
        <f t="shared" si="21"/>
        <v>0.25287716996006082</v>
      </c>
      <c r="AE365" s="24">
        <f t="shared" si="22"/>
        <v>0.20287716996006078</v>
      </c>
      <c r="AH365">
        <f t="shared" si="20"/>
        <v>3.62</v>
      </c>
      <c r="AI365">
        <f t="shared" si="23"/>
        <v>0.53429881344461683</v>
      </c>
    </row>
    <row r="366" spans="23:35" x14ac:dyDescent="0.3">
      <c r="W366" s="86">
        <f>MSY!A407</f>
        <v>3.63</v>
      </c>
      <c r="X366" s="86">
        <f>MSY!B407</f>
        <v>0.14697521010383996</v>
      </c>
      <c r="Y366" s="86">
        <f>MSY!C407</f>
        <v>0.77780891777612993</v>
      </c>
      <c r="Z366" s="86">
        <f>MSY!D407</f>
        <v>1.2707074584252294</v>
      </c>
      <c r="AA366" s="86">
        <f>MSY!E407</f>
        <v>0.41551083495509478</v>
      </c>
      <c r="AB366" s="86">
        <f>MSY!F407</f>
        <v>0.52799271703393347</v>
      </c>
      <c r="AC366" s="86">
        <f>MSY!G407</f>
        <v>0.32318803286067843</v>
      </c>
      <c r="AD366" s="24">
        <f t="shared" si="21"/>
        <v>0.25302478989616006</v>
      </c>
      <c r="AE366" s="24">
        <f t="shared" si="22"/>
        <v>0.20302478989616002</v>
      </c>
      <c r="AH366">
        <f t="shared" si="20"/>
        <v>3.63</v>
      </c>
      <c r="AI366">
        <f t="shared" si="23"/>
        <v>0.52799271703393347</v>
      </c>
    </row>
    <row r="367" spans="23:35" x14ac:dyDescent="0.3">
      <c r="W367" s="86">
        <f>MSY!A408</f>
        <v>3.64</v>
      </c>
      <c r="X367" s="86">
        <f>MSY!B408</f>
        <v>0.14682821037037719</v>
      </c>
      <c r="Y367" s="86">
        <f>MSY!C408</f>
        <v>0.77774658327897783</v>
      </c>
      <c r="Z367" s="86">
        <f>MSY!D408</f>
        <v>1.2694365389445519</v>
      </c>
      <c r="AA367" s="86">
        <f>MSY!E408</f>
        <v>0.41098006770693224</v>
      </c>
      <c r="AB367" s="86">
        <f>MSY!F408</f>
        <v>0.52171311472508564</v>
      </c>
      <c r="AC367" s="86">
        <f>MSY!G408</f>
        <v>0.3196383434548295</v>
      </c>
      <c r="AD367" s="24">
        <f t="shared" si="21"/>
        <v>0.25317178962962283</v>
      </c>
      <c r="AE367" s="24">
        <f t="shared" si="22"/>
        <v>0.20317178962962279</v>
      </c>
      <c r="AH367">
        <f t="shared" si="20"/>
        <v>3.64</v>
      </c>
      <c r="AI367">
        <f t="shared" si="23"/>
        <v>0.52171311472508564</v>
      </c>
    </row>
    <row r="368" spans="23:35" x14ac:dyDescent="0.3">
      <c r="W368" s="86">
        <f>MSY!A409</f>
        <v>3.65</v>
      </c>
      <c r="X368" s="86">
        <f>MSY!B409</f>
        <v>0.14668182647458036</v>
      </c>
      <c r="Y368" s="86">
        <f>MSY!C409</f>
        <v>0.77768432634682982</v>
      </c>
      <c r="Z368" s="86">
        <f>MSY!D409</f>
        <v>1.2681709438278588</v>
      </c>
      <c r="AA368" s="86">
        <f>MSY!E409</f>
        <v>0.40645925737533523</v>
      </c>
      <c r="AB368" s="86">
        <f>MSY!F409</f>
        <v>0.51545982005324942</v>
      </c>
      <c r="AC368" s="86">
        <f>MSY!G409</f>
        <v>0.31609699375937028</v>
      </c>
      <c r="AD368" s="24">
        <f t="shared" si="21"/>
        <v>0.25331817352541963</v>
      </c>
      <c r="AE368" s="24">
        <f t="shared" si="22"/>
        <v>0.20331817352541962</v>
      </c>
      <c r="AH368">
        <f t="shared" si="20"/>
        <v>3.65</v>
      </c>
      <c r="AI368">
        <f t="shared" si="23"/>
        <v>0.51545982005324942</v>
      </c>
    </row>
    <row r="369" spans="23:35" x14ac:dyDescent="0.3">
      <c r="W369" s="86">
        <f>MSY!A410</f>
        <v>3.66</v>
      </c>
      <c r="X369" s="86">
        <f>MSY!B410</f>
        <v>0.14653605409481477</v>
      </c>
      <c r="Y369" s="86">
        <f>MSY!C410</f>
        <v>0.77762214739336877</v>
      </c>
      <c r="Z369" s="86">
        <f>MSY!D410</f>
        <v>1.2669106357114785</v>
      </c>
      <c r="AA369" s="86">
        <f>MSY!E410</f>
        <v>0.40194835693274178</v>
      </c>
      <c r="AB369" s="86">
        <f>MSY!F410</f>
        <v>0.50923264840484417</v>
      </c>
      <c r="AC369" s="86">
        <f>MSY!G410</f>
        <v>0.31256394445927493</v>
      </c>
      <c r="AD369" s="24">
        <f t="shared" si="21"/>
        <v>0.25346394590518528</v>
      </c>
      <c r="AE369" s="24">
        <f t="shared" si="22"/>
        <v>0.20346394590518521</v>
      </c>
      <c r="AH369">
        <f t="shared" si="20"/>
        <v>3.66</v>
      </c>
      <c r="AI369">
        <f t="shared" si="23"/>
        <v>0.50923264840484417</v>
      </c>
    </row>
    <row r="370" spans="23:35" x14ac:dyDescent="0.3">
      <c r="W370" s="86">
        <f>MSY!A411</f>
        <v>3.67</v>
      </c>
      <c r="X370" s="86">
        <f>MSY!B411</f>
        <v>0.14639088895222585</v>
      </c>
      <c r="Y370" s="86">
        <f>MSY!C411</f>
        <v>0.7775600468208046</v>
      </c>
      <c r="Z370" s="86">
        <f>MSY!D411</f>
        <v>1.2656555776016056</v>
      </c>
      <c r="AA370" s="86">
        <f>MSY!E411</f>
        <v>0.39744731971001696</v>
      </c>
      <c r="AB370" s="86">
        <f>MSY!F411</f>
        <v>0.5030314169937915</v>
      </c>
      <c r="AC370" s="86">
        <f>MSY!G411</f>
        <v>0.30903915652252406</v>
      </c>
      <c r="AD370" s="24">
        <f t="shared" si="21"/>
        <v>0.25360911104777417</v>
      </c>
      <c r="AE370" s="24">
        <f t="shared" si="22"/>
        <v>0.20360911104777413</v>
      </c>
      <c r="AH370">
        <f t="shared" si="20"/>
        <v>3.67</v>
      </c>
      <c r="AI370">
        <f t="shared" si="23"/>
        <v>0.5030314169937915</v>
      </c>
    </row>
    <row r="371" spans="23:35" x14ac:dyDescent="0.3">
      <c r="W371" s="86">
        <f>MSY!A412</f>
        <v>3.68</v>
      </c>
      <c r="X371" s="86">
        <f>MSY!B412</f>
        <v>0.14624632681019237</v>
      </c>
      <c r="Y371" s="86">
        <f>MSY!C412</f>
        <v>0.77749802502007492</v>
      </c>
      <c r="Z371" s="86">
        <f>MSY!D412</f>
        <v>1.2644057328695717</v>
      </c>
      <c r="AA371" s="86">
        <f>MSY!E412</f>
        <v>0.39295609939266685</v>
      </c>
      <c r="AB371" s="86">
        <f>MSY!F412</f>
        <v>0.49685594483815315</v>
      </c>
      <c r="AC371" s="86">
        <f>MSY!G412</f>
        <v>0.30552259119739072</v>
      </c>
      <c r="AD371" s="24">
        <f t="shared" si="21"/>
        <v>0.25375367318980768</v>
      </c>
      <c r="AE371" s="24">
        <f t="shared" si="22"/>
        <v>0.20375367318980761</v>
      </c>
      <c r="AH371">
        <f t="shared" si="20"/>
        <v>3.68</v>
      </c>
      <c r="AI371">
        <f t="shared" si="23"/>
        <v>0.49685594483815315</v>
      </c>
    </row>
    <row r="372" spans="23:35" x14ac:dyDescent="0.3">
      <c r="W372" s="86">
        <f>MSY!A413</f>
        <v>3.69</v>
      </c>
      <c r="X372" s="86">
        <f>MSY!B413</f>
        <v>0.14610236347378761</v>
      </c>
      <c r="Y372" s="86">
        <f>MSY!C413</f>
        <v>0.77743608237104589</v>
      </c>
      <c r="Z372" s="86">
        <f>MSY!D413</f>
        <v>1.2631610652471879</v>
      </c>
      <c r="AA372" s="86">
        <f>MSY!E413</f>
        <v>0.38847465001709208</v>
      </c>
      <c r="AB372" s="86">
        <f>MSY!F413</f>
        <v>0.49070605273711848</v>
      </c>
      <c r="AC372" s="86">
        <f>MSY!G413</f>
        <v>0.30201421000975121</v>
      </c>
      <c r="AD372" s="24">
        <f t="shared" si="21"/>
        <v>0.25389763652621244</v>
      </c>
      <c r="AE372" s="24">
        <f t="shared" si="22"/>
        <v>0.20389763652621237</v>
      </c>
      <c r="AH372">
        <f t="shared" si="20"/>
        <v>3.69</v>
      </c>
      <c r="AI372">
        <f t="shared" si="23"/>
        <v>0.49070605273711848</v>
      </c>
    </row>
    <row r="373" spans="23:35" x14ac:dyDescent="0.3">
      <c r="W373" s="86">
        <f>MSY!A414</f>
        <v>3.7</v>
      </c>
      <c r="X373" s="86">
        <f>MSY!B414</f>
        <v>0.14595899478924926</v>
      </c>
      <c r="Y373" s="86">
        <f>MSY!C414</f>
        <v>0.77737421924270711</v>
      </c>
      <c r="Z373" s="86">
        <f>MSY!D414</f>
        <v>1.2619215388221616</v>
      </c>
      <c r="AA373" s="86">
        <f>MSY!E414</f>
        <v>0.38400292596689461</v>
      </c>
      <c r="AB373" s="86">
        <f>MSY!F414</f>
        <v>0.48458156324835627</v>
      </c>
      <c r="AC373" s="86">
        <f>MSY!G414</f>
        <v>0.29851397476042973</v>
      </c>
      <c r="AD373" s="24">
        <f t="shared" si="21"/>
        <v>0.25404100521075079</v>
      </c>
      <c r="AE373" s="24">
        <f t="shared" si="22"/>
        <v>0.20404100521075072</v>
      </c>
      <c r="AH373">
        <f t="shared" si="20"/>
        <v>3.7</v>
      </c>
      <c r="AI373">
        <f t="shared" si="23"/>
        <v>0.48458156324835627</v>
      </c>
    </row>
    <row r="374" spans="23:35" x14ac:dyDescent="0.3">
      <c r="W374" s="86">
        <f>MSY!A415</f>
        <v>3.71</v>
      </c>
      <c r="X374" s="86">
        <f>MSY!B415</f>
        <v>0.14581621664345734</v>
      </c>
      <c r="Y374" s="86">
        <f>MSY!C415</f>
        <v>0.77731243599336419</v>
      </c>
      <c r="Z374" s="86">
        <f>MSY!D415</f>
        <v>1.2606871180335828</v>
      </c>
      <c r="AA374" s="86">
        <f>MSY!E415</f>
        <v>0.37954088196922958</v>
      </c>
      <c r="AB374" s="86">
        <f>MSY!F415</f>
        <v>0.47848230066571223</v>
      </c>
      <c r="AC374" s="86">
        <f>MSY!G415</f>
        <v>0.29502184752257177</v>
      </c>
      <c r="AD374" s="24">
        <f t="shared" si="21"/>
        <v>0.25418378335654268</v>
      </c>
      <c r="AE374" s="24">
        <f t="shared" si="22"/>
        <v>0.20418378335654264</v>
      </c>
      <c r="AH374">
        <f t="shared" si="20"/>
        <v>3.71</v>
      </c>
      <c r="AI374">
        <f t="shared" si="23"/>
        <v>0.47848230066571223</v>
      </c>
    </row>
    <row r="375" spans="23:35" x14ac:dyDescent="0.3">
      <c r="W375" s="86">
        <f>MSY!A416</f>
        <v>3.72</v>
      </c>
      <c r="X375" s="86">
        <f>MSY!B416</f>
        <v>0.14567402496341983</v>
      </c>
      <c r="Y375" s="86">
        <f>MSY!C416</f>
        <v>0.77725073297082758</v>
      </c>
      <c r="Z375" s="86">
        <f>MSY!D416</f>
        <v>1.2594577676674767</v>
      </c>
      <c r="AA375" s="86">
        <f>MSY!E416</f>
        <v>0.37508847309119497</v>
      </c>
      <c r="AB375" s="86">
        <f>MSY!F416</f>
        <v>0.47240809099723885</v>
      </c>
      <c r="AC375" s="86">
        <f>MSY!G416</f>
        <v>0.29153779063903984</v>
      </c>
      <c r="AD375" s="24">
        <f t="shared" si="21"/>
        <v>0.25432597503658017</v>
      </c>
      <c r="AE375" s="24">
        <f t="shared" si="22"/>
        <v>0.20432597503658015</v>
      </c>
      <c r="AH375">
        <f t="shared" si="20"/>
        <v>3.72</v>
      </c>
      <c r="AI375">
        <f t="shared" si="23"/>
        <v>0.47240809099723885</v>
      </c>
    </row>
    <row r="376" spans="23:35" x14ac:dyDescent="0.3">
      <c r="W376" s="86">
        <f>MSY!A417</f>
        <v>3.73</v>
      </c>
      <c r="X376" s="86">
        <f>MSY!B417</f>
        <v>0.14553241571576672</v>
      </c>
      <c r="Y376" s="86">
        <f>MSY!C417</f>
        <v>0.77718911051259654</v>
      </c>
      <c r="Z376" s="86">
        <f>MSY!D417</f>
        <v>1.2582334528524297</v>
      </c>
      <c r="AA376" s="86">
        <f>MSY!E417</f>
        <v>0.37064565473627864</v>
      </c>
      <c r="AB376" s="86">
        <f>MSY!F417</f>
        <v>0.46635876194357734</v>
      </c>
      <c r="AC376" s="86">
        <f>MSY!G417</f>
        <v>0.28806176671984735</v>
      </c>
      <c r="AD376" s="24">
        <f t="shared" si="21"/>
        <v>0.25446758428423333</v>
      </c>
      <c r="AE376" s="24">
        <f t="shared" si="22"/>
        <v>0.20446758428423326</v>
      </c>
      <c r="AH376">
        <f t="shared" si="20"/>
        <v>3.73</v>
      </c>
      <c r="AI376">
        <f t="shared" si="23"/>
        <v>0.46635876194357734</v>
      </c>
    </row>
    <row r="377" spans="23:35" x14ac:dyDescent="0.3">
      <c r="W377" s="86">
        <f>MSY!A418</f>
        <v>3.74</v>
      </c>
      <c r="X377" s="86">
        <f>MSY!B418</f>
        <v>0.14539138490625131</v>
      </c>
      <c r="Y377" s="86">
        <f>MSY!C418</f>
        <v>0.77712756894604218</v>
      </c>
      <c r="Z377" s="86">
        <f>MSY!D418</f>
        <v>1.2570141390552771</v>
      </c>
      <c r="AA377" s="86">
        <f>MSY!E418</f>
        <v>0.36621238264084049</v>
      </c>
      <c r="AB377" s="86">
        <f>MSY!F418</f>
        <v>0.4603341428766578</v>
      </c>
      <c r="AC377" s="86">
        <f>MSY!G418</f>
        <v>0.28459373863961412</v>
      </c>
      <c r="AD377" s="24">
        <f t="shared" si="21"/>
        <v>0.25460861509374871</v>
      </c>
      <c r="AE377" s="24">
        <f t="shared" si="22"/>
        <v>0.20460861509374867</v>
      </c>
      <c r="AH377">
        <f t="shared" si="20"/>
        <v>3.74</v>
      </c>
      <c r="AI377">
        <f t="shared" si="23"/>
        <v>0.4603341428766578</v>
      </c>
    </row>
    <row r="378" spans="23:35" x14ac:dyDescent="0.3">
      <c r="W378" s="86">
        <f>MSY!A419</f>
        <v>3.75</v>
      </c>
      <c r="X378" s="86">
        <f>MSY!B419</f>
        <v>0.1452509285792592</v>
      </c>
      <c r="Y378" s="86">
        <f>MSY!C419</f>
        <v>0.77706610858858349</v>
      </c>
      <c r="Z378" s="86">
        <f>MSY!D419</f>
        <v>1.2557997920768595</v>
      </c>
      <c r="AA378" s="86">
        <f>MSY!E419</f>
        <v>0.36178861287063951</v>
      </c>
      <c r="AB378" s="86">
        <f>MSY!F419</f>
        <v>0.45433406481872457</v>
      </c>
      <c r="AC378" s="86">
        <f>MSY!G419</f>
        <v>0.28113366953504937</v>
      </c>
      <c r="AD378" s="24">
        <f t="shared" si="21"/>
        <v>0.25474907142074082</v>
      </c>
      <c r="AE378" s="24">
        <f t="shared" si="22"/>
        <v>0.20474907142074078</v>
      </c>
      <c r="AH378">
        <f t="shared" si="20"/>
        <v>3.75</v>
      </c>
      <c r="AI378">
        <f t="shared" si="23"/>
        <v>0.45433406481872457</v>
      </c>
    </row>
    <row r="379" spans="23:35" x14ac:dyDescent="0.3">
      <c r="W379" s="86">
        <f>MSY!A420</f>
        <v>3.76</v>
      </c>
      <c r="X379" s="86">
        <f>MSY!B420</f>
        <v>0.14511104281732484</v>
      </c>
      <c r="Y379" s="86">
        <f>MSY!C420</f>
        <v>0.77700472974786505</v>
      </c>
      <c r="Z379" s="86">
        <f>MSY!D420</f>
        <v>1.2545903780478413</v>
      </c>
      <c r="AA379" s="86">
        <f>MSY!E420</f>
        <v>0.35737430181740265</v>
      </c>
      <c r="AB379" s="86">
        <f>MSY!F420</f>
        <v>0.44835836042167854</v>
      </c>
      <c r="AC379" s="86">
        <f>MSY!G420</f>
        <v>0.27768152280246289</v>
      </c>
      <c r="AD379" s="24">
        <f t="shared" si="21"/>
        <v>0.25488895718267518</v>
      </c>
      <c r="AE379" s="24">
        <f t="shared" si="22"/>
        <v>0.20488895718267514</v>
      </c>
      <c r="AH379">
        <f t="shared" si="20"/>
        <v>3.76</v>
      </c>
      <c r="AI379">
        <f t="shared" si="23"/>
        <v>0.44835836042167854</v>
      </c>
    </row>
    <row r="380" spans="23:35" x14ac:dyDescent="0.3">
      <c r="W380" s="86">
        <f>MSY!A421</f>
        <v>3.77</v>
      </c>
      <c r="X380" s="86">
        <f>MSY!B421</f>
        <v>0.14497172374065562</v>
      </c>
      <c r="Y380" s="86">
        <f>MSY!C421</f>
        <v>0.77694343272192712</v>
      </c>
      <c r="Z380" s="86">
        <f>MSY!D421</f>
        <v>1.2533858634245969</v>
      </c>
      <c r="AA380" s="86">
        <f>MSY!E421</f>
        <v>0.35296940619545059</v>
      </c>
      <c r="AB380" s="86">
        <f>MSY!F421</f>
        <v>0.4424068639467521</v>
      </c>
      <c r="AC380" s="86">
        <f>MSY!G421</f>
        <v>0.27423726209531363</v>
      </c>
      <c r="AD380" s="24">
        <f t="shared" si="21"/>
        <v>0.25502827625934443</v>
      </c>
      <c r="AE380" s="24">
        <f t="shared" si="22"/>
        <v>0.20502827625934436</v>
      </c>
      <c r="AH380">
        <f t="shared" si="20"/>
        <v>3.77</v>
      </c>
      <c r="AI380">
        <f t="shared" si="23"/>
        <v>0.4424068639467521</v>
      </c>
    </row>
    <row r="381" spans="23:35" x14ac:dyDescent="0.3">
      <c r="W381" s="86">
        <f>MSY!A422</f>
        <v>3.78</v>
      </c>
      <c r="X381" s="86">
        <f>MSY!B422</f>
        <v>0.14483296750666214</v>
      </c>
      <c r="Y381" s="86">
        <f>MSY!C422</f>
        <v>0.77688221779937328</v>
      </c>
      <c r="Z381" s="86">
        <f>MSY!D422</f>
        <v>1.2521862149851497</v>
      </c>
      <c r="AA381" s="86">
        <f>MSY!E422</f>
        <v>0.34857388303833081</v>
      </c>
      <c r="AB381" s="86">
        <f>MSY!F422</f>
        <v>0.43647941124444373</v>
      </c>
      <c r="AC381" s="86">
        <f>MSY!G422</f>
        <v>0.2708008513217578</v>
      </c>
      <c r="AD381" s="24">
        <f t="shared" si="21"/>
        <v>0.25516703249333789</v>
      </c>
      <c r="AE381" s="24">
        <f t="shared" si="22"/>
        <v>0.20516703249333784</v>
      </c>
      <c r="AH381">
        <f t="shared" si="20"/>
        <v>3.78</v>
      </c>
      <c r="AI381">
        <f t="shared" si="23"/>
        <v>0.43647941124444373</v>
      </c>
    </row>
    <row r="382" spans="23:35" x14ac:dyDescent="0.3">
      <c r="W382" s="86">
        <f>MSY!A423</f>
        <v>3.79</v>
      </c>
      <c r="X382" s="86">
        <f>MSY!B423</f>
        <v>0.14469477030949707</v>
      </c>
      <c r="Y382" s="86">
        <f>MSY!C423</f>
        <v>0.77682108525953875</v>
      </c>
      <c r="Z382" s="86">
        <f>MSY!D423</f>
        <v>1.2509913998251847</v>
      </c>
      <c r="AA382" s="86">
        <f>MSY!E423</f>
        <v>0.34418768969553409</v>
      </c>
      <c r="AB382" s="86">
        <f>MSY!F423</f>
        <v>0.4305758397348125</v>
      </c>
      <c r="AC382" s="86">
        <f>MSY!G423</f>
        <v>0.26737225464225817</v>
      </c>
      <c r="AD382" s="24">
        <f t="shared" si="21"/>
        <v>0.25530522969050296</v>
      </c>
      <c r="AE382" s="24">
        <f t="shared" si="22"/>
        <v>0.20530522969050291</v>
      </c>
      <c r="AH382">
        <f t="shared" si="20"/>
        <v>3.79</v>
      </c>
      <c r="AI382">
        <f t="shared" si="23"/>
        <v>0.4305758397348125</v>
      </c>
    </row>
    <row r="383" spans="23:35" x14ac:dyDescent="0.3">
      <c r="W383" s="86">
        <f>MSY!A424</f>
        <v>3.8</v>
      </c>
      <c r="X383" s="86">
        <f>MSY!B424</f>
        <v>0.14455712837959972</v>
      </c>
      <c r="Y383" s="86">
        <f>MSY!C424</f>
        <v>0.77676003537265115</v>
      </c>
      <c r="Z383" s="86">
        <f>MSY!D424</f>
        <v>1.2498013853541114</v>
      </c>
      <c r="AA383" s="86">
        <f>MSY!E424</f>
        <v>0.33981078382922342</v>
      </c>
      <c r="AB383" s="86">
        <f>MSY!F424</f>
        <v>0.42469598838802991</v>
      </c>
      <c r="AC383" s="86">
        <f>MSY!G424</f>
        <v>0.26395143646719588</v>
      </c>
      <c r="AD383" s="24">
        <f t="shared" si="21"/>
        <v>0.2554428716204003</v>
      </c>
      <c r="AE383" s="24">
        <f t="shared" si="22"/>
        <v>0.20544287162040026</v>
      </c>
      <c r="AH383">
        <f t="shared" si="20"/>
        <v>3.8</v>
      </c>
      <c r="AI383">
        <f t="shared" si="23"/>
        <v>0.42469598838802991</v>
      </c>
    </row>
    <row r="384" spans="23:35" x14ac:dyDescent="0.3">
      <c r="W384" s="86">
        <f>MSY!A425</f>
        <v>3.81</v>
      </c>
      <c r="X384" s="86">
        <f>MSY!B425</f>
        <v>0.14442003798324779</v>
      </c>
      <c r="Y384" s="86">
        <f>MSY!C425</f>
        <v>0.77669906839998959</v>
      </c>
      <c r="Z384" s="86">
        <f>MSY!D425</f>
        <v>1.2486161392911883</v>
      </c>
      <c r="AA384" s="86">
        <f>MSY!E425</f>
        <v>0.33544312341100457</v>
      </c>
      <c r="AB384" s="86">
        <f>MSY!F425</f>
        <v>0.41883969770522617</v>
      </c>
      <c r="AC384" s="86">
        <f>MSY!G425</f>
        <v>0.26053836145450998</v>
      </c>
      <c r="AD384" s="24">
        <f t="shared" si="21"/>
        <v>0.25557996201675226</v>
      </c>
      <c r="AE384" s="24">
        <f t="shared" si="22"/>
        <v>0.20557996201675219</v>
      </c>
      <c r="AH384">
        <f t="shared" si="20"/>
        <v>3.81</v>
      </c>
      <c r="AI384">
        <f t="shared" si="23"/>
        <v>0.41883969770522617</v>
      </c>
    </row>
    <row r="385" spans="23:35" x14ac:dyDescent="0.3">
      <c r="W385" s="86">
        <f>MSY!A426</f>
        <v>3.82</v>
      </c>
      <c r="X385" s="86">
        <f>MSY!B426</f>
        <v>0.14428349542211596</v>
      </c>
      <c r="Y385" s="86">
        <f>MSY!C426</f>
        <v>0.77663818459404221</v>
      </c>
      <c r="Z385" s="86">
        <f>MSY!D426</f>
        <v>1.2474356296617064</v>
      </c>
      <c r="AA385" s="86">
        <f>MSY!E426</f>
        <v>0.33108466671874842</v>
      </c>
      <c r="AB385" s="86">
        <f>MSY!F426</f>
        <v>0.4130068096996381</v>
      </c>
      <c r="AC385" s="86">
        <f>MSY!G426</f>
        <v>0.25713299450737226</v>
      </c>
      <c r="AD385" s="24">
        <f t="shared" si="21"/>
        <v>0.25571650457788409</v>
      </c>
      <c r="AE385" s="24">
        <f t="shared" si="22"/>
        <v>0.20571650457788401</v>
      </c>
      <c r="AH385">
        <f t="shared" si="20"/>
        <v>3.82</v>
      </c>
      <c r="AI385">
        <f t="shared" si="23"/>
        <v>0.4130068096996381</v>
      </c>
    </row>
    <row r="386" spans="23:35" x14ac:dyDescent="0.3">
      <c r="W386" s="86">
        <f>MSY!A427</f>
        <v>3.83</v>
      </c>
      <c r="X386" s="86">
        <f>MSY!B427</f>
        <v>0.14414749703284099</v>
      </c>
      <c r="Y386" s="86">
        <f>MSY!C427</f>
        <v>0.77657738419866007</v>
      </c>
      <c r="Z386" s="86">
        <f>MSY!D427</f>
        <v>1.2462598247932295</v>
      </c>
      <c r="AA386" s="86">
        <f>MSY!E427</f>
        <v>0.32673537233344457</v>
      </c>
      <c r="AB386" s="86">
        <f>MSY!F427</f>
        <v>0.40719716787802929</v>
      </c>
      <c r="AC386" s="86">
        <f>MSY!G427</f>
        <v>0.25373530077188161</v>
      </c>
      <c r="AD386" s="24">
        <f t="shared" si="21"/>
        <v>0.255852502967159</v>
      </c>
      <c r="AE386" s="24">
        <f t="shared" si="22"/>
        <v>0.20585250296715898</v>
      </c>
      <c r="AH386">
        <f t="shared" ref="AH386:AH449" si="24">W386</f>
        <v>3.83</v>
      </c>
      <c r="AI386">
        <f t="shared" si="23"/>
        <v>0.40719716787802929</v>
      </c>
    </row>
    <row r="387" spans="23:35" x14ac:dyDescent="0.3">
      <c r="W387" s="86">
        <f>MSY!A428</f>
        <v>3.84</v>
      </c>
      <c r="X387" s="86">
        <f>MSY!B428</f>
        <v>0.14401203918659311</v>
      </c>
      <c r="Y387" s="86">
        <f>MSY!C428</f>
        <v>0.77651666744920766</v>
      </c>
      <c r="Z387" s="86">
        <f>MSY!D428</f>
        <v>1.2450886933118879</v>
      </c>
      <c r="AA387" s="86">
        <f>MSY!E428</f>
        <v>0.32239519913608594</v>
      </c>
      <c r="AB387" s="86">
        <f>MSY!F428</f>
        <v>0.40141061722237509</v>
      </c>
      <c r="AC387" s="86">
        <f>MSY!G428</f>
        <v>0.25034524563477711</v>
      </c>
      <c r="AD387" s="24">
        <f t="shared" si="21"/>
        <v>0.25598796081340691</v>
      </c>
      <c r="AE387" s="24">
        <f t="shared" si="22"/>
        <v>0.20598796081340687</v>
      </c>
      <c r="AH387">
        <f t="shared" si="24"/>
        <v>3.84</v>
      </c>
      <c r="AI387">
        <f t="shared" si="23"/>
        <v>0.40141061722237509</v>
      </c>
    </row>
    <row r="388" spans="23:35" x14ac:dyDescent="0.3">
      <c r="W388" s="86">
        <f>MSY!A429</f>
        <v>3.85</v>
      </c>
      <c r="X388" s="86">
        <f>MSY!B429</f>
        <v>0.14387711828865415</v>
      </c>
      <c r="Y388" s="86">
        <f>MSY!C429</f>
        <v>0.77645603457271151</v>
      </c>
      <c r="Z388" s="86">
        <f>MSY!D429</f>
        <v>1.2439222041387319</v>
      </c>
      <c r="AA388" s="86">
        <f>MSY!E429</f>
        <v>0.31806410630461501</v>
      </c>
      <c r="AB388" s="86">
        <f>MSY!F429</f>
        <v>0.39564700417185267</v>
      </c>
      <c r="AC388" s="86">
        <f>MSY!G429</f>
        <v>0.24696279472119476</v>
      </c>
      <c r="AD388" s="24">
        <f t="shared" ref="AD388:AD451" si="25">ABS(X388-$C$28/100)</f>
        <v>0.2561228817113459</v>
      </c>
      <c r="AE388" s="24">
        <f t="shared" ref="AE388:AE451" si="26">ABS(X388-$C$29/100)</f>
        <v>0.20612288171134582</v>
      </c>
      <c r="AH388">
        <f t="shared" si="24"/>
        <v>3.85</v>
      </c>
      <c r="AI388">
        <f t="shared" ref="AI388:AI451" si="27">AB388</f>
        <v>0.39564700417185267</v>
      </c>
    </row>
    <row r="389" spans="23:35" x14ac:dyDescent="0.3">
      <c r="W389" s="86">
        <f>MSY!A430</f>
        <v>3.86</v>
      </c>
      <c r="X389" s="86">
        <f>MSY!B430</f>
        <v>0.14374273077800132</v>
      </c>
      <c r="Y389" s="86">
        <f>MSY!C430</f>
        <v>0.77639548578800555</v>
      </c>
      <c r="Z389" s="86">
        <f>MSY!D430</f>
        <v>1.2427603264861324</v>
      </c>
      <c r="AA389" s="86">
        <f>MSY!E430</f>
        <v>0.31374205331087146</v>
      </c>
      <c r="AB389" s="86">
        <f>MSY!F430</f>
        <v>0.38990617660504823</v>
      </c>
      <c r="AC389" s="86">
        <f>MSY!G430</f>
        <v>0.24358791389242038</v>
      </c>
      <c r="AD389" s="24">
        <f t="shared" si="25"/>
        <v>0.25625726922199871</v>
      </c>
      <c r="AE389" s="24">
        <f t="shared" si="26"/>
        <v>0.20625726922199866</v>
      </c>
      <c r="AH389">
        <f t="shared" si="24"/>
        <v>3.86</v>
      </c>
      <c r="AI389">
        <f t="shared" si="27"/>
        <v>0.38990617660504823</v>
      </c>
    </row>
    <row r="390" spans="23:35" x14ac:dyDescent="0.3">
      <c r="W390" s="86">
        <f>MSY!A431</f>
        <v>3.87</v>
      </c>
      <c r="X390" s="86">
        <f>MSY!B431</f>
        <v>0.14360887312689763</v>
      </c>
      <c r="Y390" s="86">
        <f>MSY!C431</f>
        <v>0.77633502130587384</v>
      </c>
      <c r="Z390" s="86">
        <f>MSY!D431</f>
        <v>1.2416030298542409</v>
      </c>
      <c r="AA390" s="86">
        <f>MSY!E431</f>
        <v>0.30942899991760758</v>
      </c>
      <c r="AB390" s="86">
        <f>MSY!F431</f>
        <v>0.38418798382246921</v>
      </c>
      <c r="AC390" s="86">
        <f>MSY!G431</f>
        <v>0.24022056924369112</v>
      </c>
      <c r="AD390" s="24">
        <f t="shared" si="25"/>
        <v>0.25639112687310239</v>
      </c>
      <c r="AE390" s="24">
        <f t="shared" si="26"/>
        <v>0.20639112687310235</v>
      </c>
      <c r="AH390">
        <f t="shared" si="24"/>
        <v>3.87</v>
      </c>
      <c r="AI390">
        <f t="shared" si="27"/>
        <v>0.38418798382246921</v>
      </c>
    </row>
    <row r="391" spans="23:35" x14ac:dyDescent="0.3">
      <c r="W391" s="86">
        <f>MSY!A432</f>
        <v>3.88</v>
      </c>
      <c r="X391" s="86">
        <f>MSY!B432</f>
        <v>0.14347554184048825</v>
      </c>
      <c r="Y391" s="86">
        <f>MSY!C432</f>
        <v>0.77627464132919222</v>
      </c>
      <c r="Z391" s="86">
        <f>MSY!D432</f>
        <v>1.240450284027498</v>
      </c>
      <c r="AA391" s="86">
        <f>MSY!E432</f>
        <v>0.30512490617552823</v>
      </c>
      <c r="AB391" s="86">
        <f>MSY!F432</f>
        <v>0.37849227652929768</v>
      </c>
      <c r="AC391" s="86">
        <f>MSY!G432</f>
        <v>0.23686072710201161</v>
      </c>
      <c r="AD391" s="24">
        <f t="shared" si="25"/>
        <v>0.25652445815951175</v>
      </c>
      <c r="AE391" s="24">
        <f t="shared" si="26"/>
        <v>0.20652445815951173</v>
      </c>
      <c r="AH391">
        <f t="shared" si="24"/>
        <v>3.88</v>
      </c>
      <c r="AI391">
        <f t="shared" si="27"/>
        <v>0.37849227652929768</v>
      </c>
    </row>
    <row r="392" spans="23:35" x14ac:dyDescent="0.3">
      <c r="W392" s="86">
        <f>MSY!A433</f>
        <v>3.89</v>
      </c>
      <c r="X392" s="86">
        <f>MSY!B433</f>
        <v>0.14334273345640247</v>
      </c>
      <c r="Y392" s="86">
        <f>MSY!C433</f>
        <v>0.77621434605306516</v>
      </c>
      <c r="Z392" s="86">
        <f>MSY!D433</f>
        <v>1.2393020590711945</v>
      </c>
      <c r="AA392" s="86">
        <f>MSY!E433</f>
        <v>0.30082973242035987</v>
      </c>
      <c r="AB392" s="86">
        <f>MSY!F433</f>
        <v>0.37281890681838847</v>
      </c>
      <c r="AC392" s="86">
        <f>MSY!G433</f>
        <v>0.23350835402398823</v>
      </c>
      <c r="AD392" s="24">
        <f t="shared" si="25"/>
        <v>0.25665726654359755</v>
      </c>
      <c r="AE392" s="24">
        <f t="shared" si="26"/>
        <v>0.20665726654359751</v>
      </c>
      <c r="AH392">
        <f t="shared" si="24"/>
        <v>3.89</v>
      </c>
      <c r="AI392">
        <f t="shared" si="27"/>
        <v>0.37281890681838847</v>
      </c>
    </row>
    <row r="393" spans="23:35" x14ac:dyDescent="0.3">
      <c r="W393" s="86">
        <f>MSY!A434</f>
        <v>3.9</v>
      </c>
      <c r="X393" s="86">
        <f>MSY!B434</f>
        <v>0.14321044454436194</v>
      </c>
      <c r="Y393" s="86">
        <f>MSY!C434</f>
        <v>0.77615413566496116</v>
      </c>
      <c r="Z393" s="86">
        <f>MSY!D434</f>
        <v>1.2381583253280817</v>
      </c>
      <c r="AA393" s="86">
        <f>MSY!E434</f>
        <v>0.29654343926996485</v>
      </c>
      <c r="AB393" s="86">
        <f>MSY!F434</f>
        <v>0.36716772815352938</v>
      </c>
      <c r="AC393" s="86">
        <f>MSY!G434</f>
        <v>0.23016341679369448</v>
      </c>
      <c r="AD393" s="24">
        <f t="shared" si="25"/>
        <v>0.25678955545563809</v>
      </c>
      <c r="AE393" s="24">
        <f t="shared" si="26"/>
        <v>0.20678955545563804</v>
      </c>
      <c r="AH393">
        <f t="shared" si="24"/>
        <v>3.9</v>
      </c>
      <c r="AI393">
        <f t="shared" si="27"/>
        <v>0.36716772815352938</v>
      </c>
    </row>
    <row r="394" spans="23:35" x14ac:dyDescent="0.3">
      <c r="W394" s="86">
        <f>MSY!A435</f>
        <v>3.91</v>
      </c>
      <c r="X394" s="86">
        <f>MSY!B435</f>
        <v>0.14307867170579422</v>
      </c>
      <c r="Y394" s="86">
        <f>MSY!C435</f>
        <v>0.77609401034484615</v>
      </c>
      <c r="Z394" s="86">
        <f>MSY!D435</f>
        <v>1.237019053415032</v>
      </c>
      <c r="AA394" s="86">
        <f>MSY!E435</f>
        <v>0.29226598762148442</v>
      </c>
      <c r="AB394" s="86">
        <f>MSY!F435</f>
        <v>0.36153859535293814</v>
      </c>
      <c r="AC394" s="86">
        <f>MSY!G435</f>
        <v>0.22682588242055501</v>
      </c>
      <c r="AD394" s="24">
        <f t="shared" si="25"/>
        <v>0.25692132829420578</v>
      </c>
      <c r="AE394" s="24">
        <f t="shared" si="26"/>
        <v>0.20692132829420576</v>
      </c>
      <c r="AH394">
        <f t="shared" si="24"/>
        <v>3.91</v>
      </c>
      <c r="AI394">
        <f t="shared" si="27"/>
        <v>0.36153859535293814</v>
      </c>
    </row>
    <row r="395" spans="23:35" x14ac:dyDescent="0.3">
      <c r="W395" s="86">
        <f>MSY!A436</f>
        <v>3.92</v>
      </c>
      <c r="X395" s="86">
        <f>MSY!B436</f>
        <v>0.14294741157345228</v>
      </c>
      <c r="Y395" s="86">
        <f>MSY!C436</f>
        <v>0.77603397026531462</v>
      </c>
      <c r="Z395" s="86">
        <f>MSY!D436</f>
        <v>1.2358842142197493</v>
      </c>
      <c r="AA395" s="86">
        <f>MSY!E436</f>
        <v>0.28799733864852106</v>
      </c>
      <c r="AB395" s="86">
        <f>MSY!F436</f>
        <v>0.35593136457300645</v>
      </c>
      <c r="AC395" s="86">
        <f>MSY!G436</f>
        <v>0.22349571813725613</v>
      </c>
      <c r="AD395" s="24">
        <f t="shared" si="25"/>
        <v>0.25705258842654777</v>
      </c>
      <c r="AE395" s="24">
        <f t="shared" si="26"/>
        <v>0.2070525884265477</v>
      </c>
      <c r="AH395">
        <f t="shared" si="24"/>
        <v>3.92</v>
      </c>
      <c r="AI395">
        <f t="shared" si="27"/>
        <v>0.35593136457300645</v>
      </c>
    </row>
    <row r="396" spans="23:35" x14ac:dyDescent="0.3">
      <c r="W396" s="86">
        <f>MSY!A437</f>
        <v>3.93</v>
      </c>
      <c r="X396" s="86">
        <f>MSY!B437</f>
        <v>0.14281666081103925</v>
      </c>
      <c r="Y396" s="86">
        <f>MSY!C437</f>
        <v>0.77597401559171619</v>
      </c>
      <c r="Z396" s="86">
        <f>MSY!D437</f>
        <v>1.2347537788975227</v>
      </c>
      <c r="AA396" s="86">
        <f>MSY!E437</f>
        <v>0.28373745379834436</v>
      </c>
      <c r="AB396" s="86">
        <f>MSY!F437</f>
        <v>0.35034589329226695</v>
      </c>
      <c r="AC396" s="86">
        <f>MSY!G437</f>
        <v>0.22017289139767032</v>
      </c>
      <c r="AD396" s="24">
        <f t="shared" si="25"/>
        <v>0.25718333918896075</v>
      </c>
      <c r="AE396" s="24">
        <f t="shared" si="26"/>
        <v>0.20718333918896073</v>
      </c>
      <c r="AH396">
        <f t="shared" si="24"/>
        <v>3.93</v>
      </c>
      <c r="AI396">
        <f t="shared" si="27"/>
        <v>0.35034589329226695</v>
      </c>
    </row>
    <row r="397" spans="23:35" x14ac:dyDescent="0.3">
      <c r="W397" s="86">
        <f>MSY!A438</f>
        <v>3.94</v>
      </c>
      <c r="X397" s="86">
        <f>MSY!B438</f>
        <v>0.14268641611283892</v>
      </c>
      <c r="Y397" s="86">
        <f>MSY!C438</f>
        <v>0.77591414648228396</v>
      </c>
      <c r="Z397" s="86">
        <f>MSY!D438</f>
        <v>1.2336277188680349</v>
      </c>
      <c r="AA397" s="86">
        <f>MSY!E438</f>
        <v>0.27948629478914544</v>
      </c>
      <c r="AB397" s="86">
        <f>MSY!F438</f>
        <v>0.3447820402956126</v>
      </c>
      <c r="AC397" s="86">
        <f>MSY!G438</f>
        <v>0.2168573698748158</v>
      </c>
      <c r="AD397" s="24">
        <f t="shared" si="25"/>
        <v>0.25731358388716108</v>
      </c>
      <c r="AE397" s="24">
        <f t="shared" si="26"/>
        <v>0.20731358388716106</v>
      </c>
      <c r="AH397">
        <f t="shared" si="24"/>
        <v>3.94</v>
      </c>
      <c r="AI397">
        <f t="shared" si="27"/>
        <v>0.3447820402956126</v>
      </c>
    </row>
    <row r="398" spans="23:35" x14ac:dyDescent="0.3">
      <c r="W398" s="86">
        <f>MSY!A439</f>
        <v>3.95</v>
      </c>
      <c r="X398" s="86">
        <f>MSY!B439</f>
        <v>0.14255667420335119</v>
      </c>
      <c r="Y398" s="86">
        <f>MSY!C439</f>
        <v>0.77585436308825706</v>
      </c>
      <c r="Z398" s="86">
        <f>MSY!D439</f>
        <v>1.2325060058122079</v>
      </c>
      <c r="AA398" s="86">
        <f>MSY!E439</f>
        <v>0.27524382360730842</v>
      </c>
      <c r="AB398" s="86">
        <f>MSY!F439</f>
        <v>0.33923966565872365</v>
      </c>
      <c r="AC398" s="86">
        <f>MSY!G439</f>
        <v>0.21354912145882485</v>
      </c>
      <c r="AD398" s="24">
        <f t="shared" si="25"/>
        <v>0.25744332579664886</v>
      </c>
      <c r="AE398" s="24">
        <f t="shared" si="26"/>
        <v>0.20744332579664879</v>
      </c>
      <c r="AH398">
        <f t="shared" si="24"/>
        <v>3.95</v>
      </c>
      <c r="AI398">
        <f t="shared" si="27"/>
        <v>0.33923966565872365</v>
      </c>
    </row>
    <row r="399" spans="23:35" x14ac:dyDescent="0.3">
      <c r="W399" s="86">
        <f>MSY!A440</f>
        <v>3.96</v>
      </c>
      <c r="X399" s="86">
        <f>MSY!B440</f>
        <v>0.1424274318369331</v>
      </c>
      <c r="Y399" s="86">
        <f>MSY!C440</f>
        <v>0.77579466555400201</v>
      </c>
      <c r="Z399" s="86">
        <f>MSY!D440</f>
        <v>1.2313886116691006</v>
      </c>
      <c r="AA399" s="86">
        <f>MSY!E440</f>
        <v>0.27101000250471996</v>
      </c>
      <c r="AB399" s="86">
        <f>MSY!F440</f>
        <v>0.33371863073272656</v>
      </c>
      <c r="AC399" s="86">
        <f>MSY!G440</f>
        <v>0.21024811425493847</v>
      </c>
      <c r="AD399" s="24">
        <f t="shared" si="25"/>
        <v>0.25757256816306695</v>
      </c>
      <c r="AE399" s="24">
        <f t="shared" si="26"/>
        <v>0.20757256816306688</v>
      </c>
      <c r="AH399">
        <f t="shared" si="24"/>
        <v>3.96</v>
      </c>
      <c r="AI399">
        <f t="shared" si="27"/>
        <v>0.33371863073272656</v>
      </c>
    </row>
    <row r="400" spans="23:35" x14ac:dyDescent="0.3">
      <c r="W400" s="86">
        <f>MSY!A441</f>
        <v>3.97</v>
      </c>
      <c r="X400" s="86">
        <f>MSY!B441</f>
        <v>0.14229868579744484</v>
      </c>
      <c r="Y400" s="86">
        <f>MSY!C441</f>
        <v>0.77573505401713261</v>
      </c>
      <c r="Z400" s="86">
        <f>MSY!D441</f>
        <v>1.2302755086328481</v>
      </c>
      <c r="AA400" s="86">
        <f>MSY!E441</f>
        <v>0.2667847939961166</v>
      </c>
      <c r="AB400" s="86">
        <f>MSY!F441</f>
        <v>0.32821879812908195</v>
      </c>
      <c r="AC400" s="86">
        <f>MSY!G441</f>
        <v>0.2069543165815271</v>
      </c>
      <c r="AD400" s="24">
        <f t="shared" si="25"/>
        <v>0.25770131420255515</v>
      </c>
      <c r="AE400" s="24">
        <f t="shared" si="26"/>
        <v>0.20770131420255514</v>
      </c>
      <c r="AH400">
        <f t="shared" si="24"/>
        <v>3.97</v>
      </c>
      <c r="AI400">
        <f t="shared" si="27"/>
        <v>0.32821879812908195</v>
      </c>
    </row>
    <row r="401" spans="23:35" x14ac:dyDescent="0.3">
      <c r="W401" s="86">
        <f>MSY!A442</f>
        <v>3.98</v>
      </c>
      <c r="X401" s="86">
        <f>MSY!B442</f>
        <v>0.1421704328979011</v>
      </c>
      <c r="Y401" s="86">
        <f>MSY!C442</f>
        <v>0.77567552860862843</v>
      </c>
      <c r="Z401" s="86">
        <f>MSY!D442</f>
        <v>1.2291666691496472</v>
      </c>
      <c r="AA401" s="86">
        <f>MSY!E442</f>
        <v>0.26256816085646001</v>
      </c>
      <c r="AB401" s="86">
        <f>MSY!F442</f>
        <v>0.32274003170468374</v>
      </c>
      <c r="AC401" s="86">
        <f>MSY!G442</f>
        <v>0.20366769696813</v>
      </c>
      <c r="AD401" s="24">
        <f t="shared" si="25"/>
        <v>0.25782956710209892</v>
      </c>
      <c r="AE401" s="24">
        <f t="shared" si="26"/>
        <v>0.20782956710209888</v>
      </c>
      <c r="AH401">
        <f t="shared" si="24"/>
        <v>3.98</v>
      </c>
      <c r="AI401">
        <f t="shared" si="27"/>
        <v>0.32274003170468374</v>
      </c>
    </row>
    <row r="402" spans="23:35" x14ac:dyDescent="0.3">
      <c r="W402" s="86">
        <f>MSY!A443</f>
        <v>3.99</v>
      </c>
      <c r="X402" s="86">
        <f>MSY!B443</f>
        <v>0.14204266998012685</v>
      </c>
      <c r="Y402" s="86">
        <f>MSY!C443</f>
        <v>0.77561608945294724</v>
      </c>
      <c r="Z402" s="86">
        <f>MSY!D443</f>
        <v>1.2280620659147805</v>
      </c>
      <c r="AA402" s="86">
        <f>MSY!E443</f>
        <v>0.25836006611832912</v>
      </c>
      <c r="AB402" s="86">
        <f>MSY!F443</f>
        <v>0.3172821965471545</v>
      </c>
      <c r="AC402" s="86">
        <f>MSY!G443</f>
        <v>0.20038822415350332</v>
      </c>
      <c r="AD402" s="24">
        <f t="shared" si="25"/>
        <v>0.2579573300198732</v>
      </c>
      <c r="AE402" s="24">
        <f t="shared" si="26"/>
        <v>0.20795733001987313</v>
      </c>
      <c r="AH402">
        <f t="shared" si="24"/>
        <v>3.99</v>
      </c>
      <c r="AI402">
        <f t="shared" si="27"/>
        <v>0.3172821965471545</v>
      </c>
    </row>
    <row r="403" spans="23:35" x14ac:dyDescent="0.3">
      <c r="W403" s="86">
        <f>MSY!A444</f>
        <v>4</v>
      </c>
      <c r="X403" s="86">
        <f>MSY!B444</f>
        <v>0.1419153939144189</v>
      </c>
      <c r="Y403" s="86">
        <f>MSY!C444</f>
        <v>0.77555673666814162</v>
      </c>
      <c r="Z403" s="86">
        <f>MSY!D444</f>
        <v>1.2269616718696907</v>
      </c>
      <c r="AA403" s="86">
        <f>MSY!E444</f>
        <v>0.25416047306937767</v>
      </c>
      <c r="AB403" s="86">
        <f>MSY!F444</f>
        <v>0.31184515896039511</v>
      </c>
      <c r="AC403" s="86">
        <f>MSY!G444</f>
        <v>0.19711586708371764</v>
      </c>
      <c r="AD403" s="24">
        <f t="shared" si="25"/>
        <v>0.25808460608558115</v>
      </c>
      <c r="AE403" s="24">
        <f t="shared" si="26"/>
        <v>0.20808460608558108</v>
      </c>
      <c r="AH403">
        <f t="shared" si="24"/>
        <v>4</v>
      </c>
      <c r="AI403">
        <f t="shared" si="27"/>
        <v>0.31184515896039511</v>
      </c>
    </row>
    <row r="404" spans="23:35" x14ac:dyDescent="0.3">
      <c r="W404" s="86">
        <f>MSY!A445</f>
        <v>4.01</v>
      </c>
      <c r="X404" s="86">
        <f>MSY!B445</f>
        <v>0.14178860159921122</v>
      </c>
      <c r="Y404" s="86">
        <f>MSY!C445</f>
        <v>0.77549747036596828</v>
      </c>
      <c r="Z404" s="86">
        <f>MSY!D445</f>
        <v>1.2258654601990859</v>
      </c>
      <c r="AA404" s="86">
        <f>MSY!E445</f>
        <v>0.24996934524977241</v>
      </c>
      <c r="AB404" s="86">
        <f>MSY!F445</f>
        <v>0.30642878645027644</v>
      </c>
      <c r="AC404" s="86">
        <f>MSY!G445</f>
        <v>0.19385059491023587</v>
      </c>
      <c r="AD404" s="24">
        <f t="shared" si="25"/>
        <v>0.25821139840078877</v>
      </c>
      <c r="AE404" s="24">
        <f t="shared" si="26"/>
        <v>0.20821139840078876</v>
      </c>
      <c r="AH404">
        <f t="shared" si="24"/>
        <v>4.01</v>
      </c>
      <c r="AI404">
        <f t="shared" si="27"/>
        <v>0.30642878645027644</v>
      </c>
    </row>
    <row r="405" spans="23:35" x14ac:dyDescent="0.3">
      <c r="W405" s="86">
        <f>MSY!A446</f>
        <v>4.0199999999999996</v>
      </c>
      <c r="X405" s="86">
        <f>MSY!B446</f>
        <v>0.1416622899607459</v>
      </c>
      <c r="Y405" s="86">
        <f>MSY!C446</f>
        <v>0.77543829065199721</v>
      </c>
      <c r="Z405" s="86">
        <f>MSY!D446</f>
        <v>1.2247734043280964</v>
      </c>
      <c r="AA405" s="86">
        <f>MSY!E446</f>
        <v>0.2457866464497073</v>
      </c>
      <c r="AB405" s="86">
        <f>MSY!F446</f>
        <v>0.30103294771059425</v>
      </c>
      <c r="AC405" s="86">
        <f>MSY!G446</f>
        <v>0.19059237698804782</v>
      </c>
      <c r="AD405" s="24">
        <f t="shared" si="25"/>
        <v>0.2583377100392541</v>
      </c>
      <c r="AE405" s="24">
        <f t="shared" si="26"/>
        <v>0.20833771003925408</v>
      </c>
      <c r="AH405">
        <f t="shared" si="24"/>
        <v>4.0199999999999996</v>
      </c>
      <c r="AI405">
        <f t="shared" si="27"/>
        <v>0.30103294771059425</v>
      </c>
    </row>
    <row r="406" spans="23:35" x14ac:dyDescent="0.3">
      <c r="W406" s="86">
        <f>MSY!A447</f>
        <v>4.03</v>
      </c>
      <c r="X406" s="86">
        <f>MSY!B447</f>
        <v>0.14153645595274833</v>
      </c>
      <c r="Y406" s="86">
        <f>MSY!C447</f>
        <v>0.77537919762572083</v>
      </c>
      <c r="Z406" s="86">
        <f>MSY!D447</f>
        <v>1.2236854779194657</v>
      </c>
      <c r="AA406" s="86">
        <f>MSY!E447</f>
        <v>0.24161234070692031</v>
      </c>
      <c r="AB406" s="86">
        <f>MSY!F447</f>
        <v>0.29565751260918854</v>
      </c>
      <c r="AC406" s="86">
        <f>MSY!G447</f>
        <v>0.18734118287380416</v>
      </c>
      <c r="AD406" s="24">
        <f t="shared" si="25"/>
        <v>0.25846354404725169</v>
      </c>
      <c r="AE406" s="24">
        <f t="shared" si="26"/>
        <v>0.20846354404725165</v>
      </c>
      <c r="AH406">
        <f t="shared" si="24"/>
        <v>4.03</v>
      </c>
      <c r="AI406">
        <f t="shared" si="27"/>
        <v>0.29565751260918854</v>
      </c>
    </row>
    <row r="407" spans="23:35" x14ac:dyDescent="0.3">
      <c r="W407" s="86">
        <f>MSY!A448</f>
        <v>4.04</v>
      </c>
      <c r="X407" s="86">
        <f>MSY!B448</f>
        <v>0.14141109655610734</v>
      </c>
      <c r="Y407" s="86">
        <f>MSY!C448</f>
        <v>0.77532019138065811</v>
      </c>
      <c r="Z407" s="86">
        <f>MSY!D448</f>
        <v>1.2226016548707839</v>
      </c>
      <c r="AA407" s="86">
        <f>MSY!E448</f>
        <v>0.23744639230425116</v>
      </c>
      <c r="AB407" s="86">
        <f>MSY!F448</f>
        <v>0.2903023521742748</v>
      </c>
      <c r="AC407" s="86">
        <f>MSY!G448</f>
        <v>0.18409698232397884</v>
      </c>
      <c r="AD407" s="24">
        <f t="shared" si="25"/>
        <v>0.25858890344389268</v>
      </c>
      <c r="AE407" s="24">
        <f t="shared" si="26"/>
        <v>0.20858890344389264</v>
      </c>
      <c r="AH407">
        <f t="shared" si="24"/>
        <v>4.04</v>
      </c>
      <c r="AI407">
        <f t="shared" si="27"/>
        <v>0.2903023521742748</v>
      </c>
    </row>
    <row r="408" spans="23:35" x14ac:dyDescent="0.3">
      <c r="W408" s="86">
        <f>MSY!A449</f>
        <v>4.05</v>
      </c>
      <c r="X408" s="86">
        <f>MSY!B449</f>
        <v>0.14128620877855907</v>
      </c>
      <c r="Y408" s="86">
        <f>MSY!C449</f>
        <v>0.77526127200445838</v>
      </c>
      <c r="Z408" s="86">
        <f>MSY!D449</f>
        <v>1.2215219093117564</v>
      </c>
      <c r="AA408" s="86">
        <f>MSY!E449</f>
        <v>0.23328876576721277</v>
      </c>
      <c r="AB408" s="86">
        <f>MSY!F449</f>
        <v>0.28496733858094886</v>
      </c>
      <c r="AC408" s="86">
        <f>MSY!G449</f>
        <v>0.18085974529303953</v>
      </c>
      <c r="AD408" s="24">
        <f t="shared" si="25"/>
        <v>0.25871379122144095</v>
      </c>
      <c r="AE408" s="24">
        <f t="shared" si="26"/>
        <v>0.2087137912214409</v>
      </c>
      <c r="AH408">
        <f t="shared" si="24"/>
        <v>4.05</v>
      </c>
      <c r="AI408">
        <f t="shared" si="27"/>
        <v>0.28496733858094886</v>
      </c>
    </row>
    <row r="409" spans="23:35" x14ac:dyDescent="0.3">
      <c r="W409" s="86">
        <f>MSY!A450</f>
        <v>4.0599999999999996</v>
      </c>
      <c r="X409" s="86">
        <f>MSY!B450</f>
        <v>0.14116178965437634</v>
      </c>
      <c r="Y409" s="86">
        <f>MSY!C450</f>
        <v>0.77520243957900392</v>
      </c>
      <c r="Z409" s="86">
        <f>MSY!D450</f>
        <v>1.2204462156015177</v>
      </c>
      <c r="AA409" s="86">
        <f>MSY!E450</f>
        <v>0.22913942586161504</v>
      </c>
      <c r="AB409" s="86">
        <f>MSY!F450</f>
        <v>0.27965234513791259</v>
      </c>
      <c r="AC409" s="86">
        <f>MSY!G450</f>
        <v>0.17762944193165628</v>
      </c>
      <c r="AD409" s="24">
        <f t="shared" si="25"/>
        <v>0.25883821034562371</v>
      </c>
      <c r="AE409" s="24">
        <f t="shared" si="26"/>
        <v>0.20883821034562364</v>
      </c>
      <c r="AH409">
        <f t="shared" si="24"/>
        <v>4.0599999999999996</v>
      </c>
      <c r="AI409">
        <f t="shared" si="27"/>
        <v>0.27965234513791259</v>
      </c>
    </row>
    <row r="410" spans="23:35" x14ac:dyDescent="0.3">
      <c r="W410" s="86">
        <f>MSY!A451</f>
        <v>4.07</v>
      </c>
      <c r="X410" s="86">
        <f>MSY!B451</f>
        <v>0.14103783624406152</v>
      </c>
      <c r="Y410" s="86">
        <f>MSY!C451</f>
        <v>0.7751436941805101</v>
      </c>
      <c r="Z410" s="86">
        <f>MSY!D451</f>
        <v>1.219374548325975</v>
      </c>
      <c r="AA410" s="86">
        <f>MSY!E451</f>
        <v>0.22499833759118848</v>
      </c>
      <c r="AB410" s="86">
        <f>MSY!F451</f>
        <v>0.27435724627435071</v>
      </c>
      <c r="AC410" s="86">
        <f>MSY!G451</f>
        <v>0.17440604258490738</v>
      </c>
      <c r="AD410" s="24">
        <f t="shared" si="25"/>
        <v>0.2589621637559385</v>
      </c>
      <c r="AE410" s="24">
        <f t="shared" si="26"/>
        <v>0.20896216375593846</v>
      </c>
      <c r="AH410">
        <f t="shared" si="24"/>
        <v>4.07</v>
      </c>
      <c r="AI410">
        <f t="shared" si="27"/>
        <v>0.27435724627435071</v>
      </c>
    </row>
    <row r="411" spans="23:35" x14ac:dyDescent="0.3">
      <c r="W411" s="86">
        <f>MSY!A452</f>
        <v>4.08</v>
      </c>
      <c r="X411" s="86">
        <f>MSY!B452</f>
        <v>0.14091434563404434</v>
      </c>
      <c r="Y411" s="86">
        <f>MSY!C452</f>
        <v>0.77508503587962341</v>
      </c>
      <c r="Z411" s="86">
        <f>MSY!D452</f>
        <v>1.218306882295197</v>
      </c>
      <c r="AA411" s="86">
        <f>MSY!E452</f>
        <v>0.22086546619526348</v>
      </c>
      <c r="AB411" s="86">
        <f>MSY!F452</f>
        <v>0.2690819175270267</v>
      </c>
      <c r="AC411" s="86">
        <f>MSY!G452</f>
        <v>0.17118951779052555</v>
      </c>
      <c r="AD411" s="24">
        <f t="shared" si="25"/>
        <v>0.25908565436595565</v>
      </c>
      <c r="AE411" s="24">
        <f t="shared" si="26"/>
        <v>0.20908565436595564</v>
      </c>
      <c r="AH411">
        <f t="shared" si="24"/>
        <v>4.08</v>
      </c>
      <c r="AI411">
        <f t="shared" si="27"/>
        <v>0.2690819175270267</v>
      </c>
    </row>
    <row r="412" spans="23:35" x14ac:dyDescent="0.3">
      <c r="W412" s="86">
        <f>MSY!A453</f>
        <v>4.09</v>
      </c>
      <c r="X412" s="86">
        <f>MSY!B453</f>
        <v>0.14079131493638294</v>
      </c>
      <c r="Y412" s="86">
        <f>MSY!C453</f>
        <v>0.77502646474151837</v>
      </c>
      <c r="Z412" s="86">
        <f>MSY!D453</f>
        <v>1.2172431925408287</v>
      </c>
      <c r="AA412" s="86">
        <f>MSY!E453</f>
        <v>0.21674077714643883</v>
      </c>
      <c r="AB412" s="86">
        <f>MSY!F453</f>
        <v>0.26382623552751144</v>
      </c>
      <c r="AC412" s="86">
        <f>MSY!G453</f>
        <v>0.16797983827713375</v>
      </c>
      <c r="AD412" s="24">
        <f t="shared" si="25"/>
        <v>0.25920868506361705</v>
      </c>
      <c r="AE412" s="24">
        <f t="shared" si="26"/>
        <v>0.20920868506361703</v>
      </c>
      <c r="AH412">
        <f t="shared" si="24"/>
        <v>4.09</v>
      </c>
      <c r="AI412">
        <f t="shared" si="27"/>
        <v>0.26382623552751144</v>
      </c>
    </row>
    <row r="413" spans="23:35" x14ac:dyDescent="0.3">
      <c r="W413" s="86">
        <f>MSY!A454</f>
        <v>4.0999999999999996</v>
      </c>
      <c r="X413" s="86">
        <f>MSY!B454</f>
        <v>0.14066874128847084</v>
      </c>
      <c r="Y413" s="86">
        <f>MSY!C454</f>
        <v>0.77496798082599172</v>
      </c>
      <c r="Z413" s="86">
        <f>MSY!D454</f>
        <v>1.2161834543135572</v>
      </c>
      <c r="AA413" s="86">
        <f>MSY!E454</f>
        <v>0.21262423614833431</v>
      </c>
      <c r="AB413" s="86">
        <f>MSY!F454</f>
        <v>0.25859007798966271</v>
      </c>
      <c r="AC413" s="86">
        <f>MSY!G454</f>
        <v>0.16477697496254348</v>
      </c>
      <c r="AD413" s="24">
        <f t="shared" si="25"/>
        <v>0.25933125871152918</v>
      </c>
      <c r="AE413" s="24">
        <f t="shared" si="26"/>
        <v>0.20933125871152913</v>
      </c>
      <c r="AH413">
        <f t="shared" si="24"/>
        <v>4.0999999999999996</v>
      </c>
      <c r="AI413">
        <f t="shared" si="27"/>
        <v>0.25859007798966271</v>
      </c>
    </row>
    <row r="414" spans="23:35" x14ac:dyDescent="0.3">
      <c r="W414" s="86">
        <f>MSY!A455</f>
        <v>4.1100000000000003</v>
      </c>
      <c r="X414" s="86">
        <f>MSY!B455</f>
        <v>0.14054662185274586</v>
      </c>
      <c r="Y414" s="86">
        <f>MSY!C455</f>
        <v>0.77490958418755873</v>
      </c>
      <c r="Z414" s="86">
        <f>MSY!D455</f>
        <v>1.2151276430805964</v>
      </c>
      <c r="AA414" s="86">
        <f>MSY!E455</f>
        <v>0.20851580913330189</v>
      </c>
      <c r="AB414" s="86">
        <f>MSY!F455</f>
        <v>0.25337332369719262</v>
      </c>
      <c r="AC414" s="86">
        <f>MSY!G455</f>
        <v>0.16158089895201933</v>
      </c>
      <c r="AD414" s="24">
        <f t="shared" si="25"/>
        <v>0.25945337814725417</v>
      </c>
      <c r="AE414" s="24">
        <f t="shared" si="26"/>
        <v>0.20945337814725412</v>
      </c>
      <c r="AH414">
        <f t="shared" si="24"/>
        <v>4.1100000000000003</v>
      </c>
      <c r="AI414">
        <f t="shared" si="27"/>
        <v>0.25337332369719262</v>
      </c>
    </row>
    <row r="415" spans="23:35" x14ac:dyDescent="0.3">
      <c r="W415" s="86">
        <f>MSY!A456</f>
        <v>4.12</v>
      </c>
      <c r="X415" s="86">
        <f>MSY!B456</f>
        <v>0.14042495381640471</v>
      </c>
      <c r="Y415" s="86">
        <f>MSY!C456</f>
        <v>0.77485127487554062</v>
      </c>
      <c r="Z415" s="86">
        <f>MSY!D456</f>
        <v>1.2140757345232185</v>
      </c>
      <c r="AA415" s="86">
        <f>MSY!E456</f>
        <v>0.20441546226021615</v>
      </c>
      <c r="AB415" s="86">
        <f>MSY!F456</f>
        <v>0.24817585249147517</v>
      </c>
      <c r="AC415" s="86">
        <f>MSY!G456</f>
        <v>0.15839158153660143</v>
      </c>
      <c r="AD415" s="24">
        <f t="shared" si="25"/>
        <v>0.25957504618359528</v>
      </c>
      <c r="AE415" s="24">
        <f t="shared" si="26"/>
        <v>0.20957504618359526</v>
      </c>
      <c r="AH415">
        <f t="shared" si="24"/>
        <v>4.12</v>
      </c>
      <c r="AI415">
        <f t="shared" si="27"/>
        <v>0.24817585249147517</v>
      </c>
    </row>
    <row r="416" spans="23:35" x14ac:dyDescent="0.3">
      <c r="W416" s="86">
        <f>MSY!A457</f>
        <v>4.13</v>
      </c>
      <c r="X416" s="86">
        <f>MSY!B457</f>
        <v>0.14030373439112087</v>
      </c>
      <c r="Y416" s="86">
        <f>MSY!C457</f>
        <v>0.77479305293415957</v>
      </c>
      <c r="Z416" s="86">
        <f>MSY!D457</f>
        <v>1.2130277045343152</v>
      </c>
      <c r="AA416" s="86">
        <f>MSY!E457</f>
        <v>0.20032316191226646</v>
      </c>
      <c r="AB416" s="86">
        <f>MSY!F457</f>
        <v>0.24299754525949252</v>
      </c>
      <c r="AC416" s="86">
        <f>MSY!G457</f>
        <v>0.15520899419142889</v>
      </c>
      <c r="AD416" s="24">
        <f t="shared" si="25"/>
        <v>0.25969626560887915</v>
      </c>
      <c r="AE416" s="24">
        <f t="shared" si="26"/>
        <v>0.20969626560887911</v>
      </c>
      <c r="AH416">
        <f t="shared" si="24"/>
        <v>4.13</v>
      </c>
      <c r="AI416">
        <f t="shared" si="27"/>
        <v>0.24299754525949252</v>
      </c>
    </row>
    <row r="417" spans="23:35" x14ac:dyDescent="0.3">
      <c r="W417" s="86">
        <f>MSY!A458</f>
        <v>4.1399999999999997</v>
      </c>
      <c r="X417" s="86">
        <f>MSY!B458</f>
        <v>0.14018296081276616</v>
      </c>
      <c r="Y417" s="86">
        <f>MSY!C458</f>
        <v>0.77473491840262387</v>
      </c>
      <c r="Z417" s="86">
        <f>MSY!D458</f>
        <v>1.2119835292159902</v>
      </c>
      <c r="AA417" s="86">
        <f>MSY!E458</f>
        <v>0.19623887469477233</v>
      </c>
      <c r="AB417" s="86">
        <f>MSY!F458</f>
        <v>0.23783828392194462</v>
      </c>
      <c r="AC417" s="86">
        <f>MSY!G458</f>
        <v>0.15203310857407717</v>
      </c>
      <c r="AD417" s="24">
        <f t="shared" si="25"/>
        <v>0.25981703918723387</v>
      </c>
      <c r="AE417" s="24">
        <f t="shared" si="26"/>
        <v>0.20981703918723382</v>
      </c>
      <c r="AH417">
        <f t="shared" si="24"/>
        <v>4.1399999999999997</v>
      </c>
      <c r="AI417">
        <f t="shared" si="27"/>
        <v>0.23783828392194462</v>
      </c>
    </row>
    <row r="418" spans="23:35" x14ac:dyDescent="0.3">
      <c r="W418" s="86">
        <f>MSY!A459</f>
        <v>4.1500000000000004</v>
      </c>
      <c r="X418" s="86">
        <f>MSY!B459</f>
        <v>0.14006263034113675</v>
      </c>
      <c r="Y418" s="86">
        <f>MSY!C459</f>
        <v>0.77467687131521645</v>
      </c>
      <c r="Z418" s="86">
        <f>MSY!D459</f>
        <v>1.2109431848771914</v>
      </c>
      <c r="AA418" s="86">
        <f>MSY!E459</f>
        <v>0.19216256743304139</v>
      </c>
      <c r="AB418" s="86">
        <f>MSY!F459</f>
        <v>0.2326979514215452</v>
      </c>
      <c r="AC418" s="86">
        <f>MSY!G459</f>
        <v>0.14886389652292781</v>
      </c>
      <c r="AD418" s="24">
        <f t="shared" si="25"/>
        <v>0.25993736965886327</v>
      </c>
      <c r="AE418" s="24">
        <f t="shared" si="26"/>
        <v>0.20993736965886323</v>
      </c>
      <c r="AH418">
        <f t="shared" si="24"/>
        <v>4.1500000000000004</v>
      </c>
      <c r="AI418">
        <f t="shared" si="27"/>
        <v>0.2326979514215452</v>
      </c>
    </row>
    <row r="419" spans="23:35" x14ac:dyDescent="0.3">
      <c r="W419" s="86">
        <f>MSY!A460</f>
        <v>4.16</v>
      </c>
      <c r="X419" s="86">
        <f>MSY!B460</f>
        <v>0.13994274025968237</v>
      </c>
      <c r="Y419" s="86">
        <f>MSY!C460</f>
        <v>0.77461891170138064</v>
      </c>
      <c r="Z419" s="86">
        <f>MSY!D460</f>
        <v>1.2099066480313678</v>
      </c>
      <c r="AA419" s="86">
        <f>MSY!E460</f>
        <v>0.18809420717022546</v>
      </c>
      <c r="AB419" s="86">
        <f>MSY!F460</f>
        <v>0.22757643171144515</v>
      </c>
      <c r="AC419" s="86">
        <f>MSY!G460</f>
        <v>0.14570133005553407</v>
      </c>
      <c r="AD419" s="24">
        <f t="shared" si="25"/>
        <v>0.26005725974031768</v>
      </c>
      <c r="AE419" s="24">
        <f t="shared" si="26"/>
        <v>0.21005725974031761</v>
      </c>
      <c r="AH419">
        <f t="shared" si="24"/>
        <v>4.16</v>
      </c>
      <c r="AI419">
        <f t="shared" si="27"/>
        <v>0.22757643171144515</v>
      </c>
    </row>
    <row r="420" spans="23:35" x14ac:dyDescent="0.3">
      <c r="W420" s="86">
        <f>MSY!A461</f>
        <v>4.17</v>
      </c>
      <c r="X420" s="86">
        <f>MSY!B461</f>
        <v>0.13982328787523968</v>
      </c>
      <c r="Y420" s="86">
        <f>MSY!C461</f>
        <v>0.7745610395858048</v>
      </c>
      <c r="Z420" s="86">
        <f>MSY!D461</f>
        <v>1.208873895394166</v>
      </c>
      <c r="AA420" s="86">
        <f>MSY!E461</f>
        <v>0.18403376116523232</v>
      </c>
      <c r="AB420" s="86">
        <f>MSY!F461</f>
        <v>0.222473609743854</v>
      </c>
      <c r="AC420" s="86">
        <f>MSY!G461</f>
        <v>0.14254538136702805</v>
      </c>
      <c r="AD420" s="24">
        <f t="shared" si="25"/>
        <v>0.26017671212476035</v>
      </c>
      <c r="AE420" s="24">
        <f t="shared" si="26"/>
        <v>0.2101767121247603</v>
      </c>
      <c r="AH420">
        <f t="shared" si="24"/>
        <v>4.17</v>
      </c>
      <c r="AI420">
        <f t="shared" si="27"/>
        <v>0.222473609743854</v>
      </c>
    </row>
    <row r="421" spans="23:35" x14ac:dyDescent="0.3">
      <c r="W421" s="86">
        <f>MSY!A462</f>
        <v>4.18</v>
      </c>
      <c r="X421" s="86">
        <f>MSY!B462</f>
        <v>0.13970427051776882</v>
      </c>
      <c r="Y421" s="86">
        <f>MSY!C462</f>
        <v>0.77450325498850503</v>
      </c>
      <c r="Z421" s="86">
        <f>MSY!D462</f>
        <v>1.2078449038811523</v>
      </c>
      <c r="AA421" s="86">
        <f>MSY!E462</f>
        <v>0.17998119689063222</v>
      </c>
      <c r="AB421" s="86">
        <f>MSY!F462</f>
        <v>0.2173893714587804</v>
      </c>
      <c r="AC421" s="86">
        <f>MSY!G462</f>
        <v>0.13939602282852165</v>
      </c>
      <c r="AD421" s="24">
        <f t="shared" si="25"/>
        <v>0.26029572948223123</v>
      </c>
      <c r="AE421" s="24">
        <f t="shared" si="26"/>
        <v>0.21029572948223116</v>
      </c>
      <c r="AH421">
        <f t="shared" si="24"/>
        <v>4.18</v>
      </c>
      <c r="AI421">
        <f t="shared" si="27"/>
        <v>0.2173893714587804</v>
      </c>
    </row>
    <row r="422" spans="23:35" x14ac:dyDescent="0.3">
      <c r="W422" s="86">
        <f>MSY!A463</f>
        <v>4.1900000000000004</v>
      </c>
      <c r="X422" s="86">
        <f>MSY!B463</f>
        <v>0.13958568554009398</v>
      </c>
      <c r="Y422" s="86">
        <f>MSY!C463</f>
        <v>0.77444555792490466</v>
      </c>
      <c r="Z422" s="86">
        <f>MSY!D463</f>
        <v>1.2068196506055684</v>
      </c>
      <c r="AA422" s="86">
        <f>MSY!E463</f>
        <v>0.17593648203060588</v>
      </c>
      <c r="AB422" s="86">
        <f>MSY!F463</f>
        <v>0.21232360377294865</v>
      </c>
      <c r="AC422" s="86">
        <f>MSY!G463</f>
        <v>0.13625322698553755</v>
      </c>
      <c r="AD422" s="24">
        <f t="shared" si="25"/>
        <v>0.26041431445990604</v>
      </c>
      <c r="AE422" s="24">
        <f t="shared" si="26"/>
        <v>0.21041431445990599</v>
      </c>
      <c r="AH422">
        <f t="shared" si="24"/>
        <v>4.1900000000000004</v>
      </c>
      <c r="AI422">
        <f t="shared" si="27"/>
        <v>0.21232360377294865</v>
      </c>
    </row>
    <row r="423" spans="23:35" x14ac:dyDescent="0.3">
      <c r="W423" s="86">
        <f>MSY!A464</f>
        <v>4.2</v>
      </c>
      <c r="X423" s="86">
        <f>MSY!B464</f>
        <v>0.13946753031764741</v>
      </c>
      <c r="Y423" s="86">
        <f>MSY!C464</f>
        <v>0.77438794840591751</v>
      </c>
      <c r="Z423" s="86">
        <f>MSY!D464</f>
        <v>1.2057981128761195</v>
      </c>
      <c r="AA423" s="86">
        <f>MSY!E464</f>
        <v>0.17189958447891365</v>
      </c>
      <c r="AB423" s="86">
        <f>MSY!F464</f>
        <v>0.20727619456886315</v>
      </c>
      <c r="AC423" s="86">
        <f>MSY!G464</f>
        <v>0.13311696655645563</v>
      </c>
      <c r="AD423" s="24">
        <f t="shared" si="25"/>
        <v>0.26053246968235261</v>
      </c>
      <c r="AE423" s="24">
        <f t="shared" si="26"/>
        <v>0.21053246968235256</v>
      </c>
      <c r="AH423">
        <f t="shared" si="24"/>
        <v>4.2</v>
      </c>
      <c r="AI423">
        <f t="shared" si="27"/>
        <v>0.20727619456886315</v>
      </c>
    </row>
    <row r="424" spans="23:35" x14ac:dyDescent="0.3">
      <c r="W424" s="86">
        <f>MSY!A465</f>
        <v>4.21</v>
      </c>
      <c r="X424" s="86">
        <f>MSY!B465</f>
        <v>0.13934980224821653</v>
      </c>
      <c r="Y424" s="86">
        <f>MSY!C465</f>
        <v>0.77433042643802463</v>
      </c>
      <c r="Z424" s="86">
        <f>MSY!D465</f>
        <v>1.2047802681947875</v>
      </c>
      <c r="AA424" s="86">
        <f>MSY!E465</f>
        <v>0.16787047233687807</v>
      </c>
      <c r="AB424" s="86">
        <f>MSY!F465</f>
        <v>0.20224703268400962</v>
      </c>
      <c r="AC424" s="86">
        <f>MSY!G465</f>
        <v>0.12998721443096742</v>
      </c>
      <c r="AD424" s="24">
        <f t="shared" si="25"/>
        <v>0.2606501977517835</v>
      </c>
      <c r="AE424" s="24">
        <f t="shared" si="26"/>
        <v>0.21065019775178345</v>
      </c>
      <c r="AH424">
        <f t="shared" si="24"/>
        <v>4.21</v>
      </c>
      <c r="AI424">
        <f t="shared" si="27"/>
        <v>0.20224703268400962</v>
      </c>
    </row>
    <row r="425" spans="23:35" x14ac:dyDescent="0.3">
      <c r="W425" s="86">
        <f>MSY!A466</f>
        <v>4.22</v>
      </c>
      <c r="X425" s="86">
        <f>MSY!B466</f>
        <v>0.13923249875169505</v>
      </c>
      <c r="Y425" s="86">
        <f>MSY!C466</f>
        <v>0.77427299202335198</v>
      </c>
      <c r="Z425" s="86">
        <f>MSY!D466</f>
        <v>1.2037660942546795</v>
      </c>
      <c r="AA425" s="86">
        <f>MSY!E466</f>
        <v>0.16384911391140397</v>
      </c>
      <c r="AB425" s="86">
        <f>MSY!F466</f>
        <v>0.19723600790022083</v>
      </c>
      <c r="AC425" s="86">
        <f>MSY!G466</f>
        <v>0.12686394366855777</v>
      </c>
      <c r="AD425" s="24">
        <f t="shared" si="25"/>
        <v>0.26076750124830494</v>
      </c>
      <c r="AE425" s="24">
        <f t="shared" si="26"/>
        <v>0.21076750124830493</v>
      </c>
      <c r="AH425">
        <f t="shared" si="24"/>
        <v>4.22</v>
      </c>
      <c r="AI425">
        <f t="shared" si="27"/>
        <v>0.19723600790022083</v>
      </c>
    </row>
    <row r="426" spans="23:35" x14ac:dyDescent="0.3">
      <c r="W426" s="86">
        <f>MSY!A467</f>
        <v>4.2300000000000004</v>
      </c>
      <c r="X426" s="86">
        <f>MSY!B467</f>
        <v>0.13911561726983693</v>
      </c>
      <c r="Y426" s="86">
        <f>MSY!C467</f>
        <v>0.77421564515974672</v>
      </c>
      <c r="Z426" s="86">
        <f>MSY!D467</f>
        <v>1.2027555689379001</v>
      </c>
      <c r="AA426" s="86">
        <f>MSY!E467</f>
        <v>0.15983547771300266</v>
      </c>
      <c r="AB426" s="86">
        <f>MSY!F467</f>
        <v>0.19224301093316359</v>
      </c>
      <c r="AC426" s="86">
        <f>MSY!G467</f>
        <v>0.12374712749698867</v>
      </c>
      <c r="AD426" s="24">
        <f t="shared" si="25"/>
        <v>0.26088438273016312</v>
      </c>
      <c r="AE426" s="24">
        <f t="shared" si="26"/>
        <v>0.21088438273016305</v>
      </c>
      <c r="AH426">
        <f t="shared" si="24"/>
        <v>4.2300000000000004</v>
      </c>
      <c r="AI426">
        <f t="shared" si="27"/>
        <v>0.19224301093316359</v>
      </c>
    </row>
    <row r="427" spans="23:35" x14ac:dyDescent="0.3">
      <c r="W427" s="86">
        <f>MSY!A468</f>
        <v>4.24</v>
      </c>
      <c r="X427" s="86">
        <f>MSY!B468</f>
        <v>0.13899915526601425</v>
      </c>
      <c r="Y427" s="86">
        <f>MSY!C468</f>
        <v>0.77415838584085184</v>
      </c>
      <c r="Z427" s="86">
        <f>MSY!D468</f>
        <v>1.2017486703134581</v>
      </c>
      <c r="AA427" s="86">
        <f>MSY!E468</f>
        <v>0.15582953245386238</v>
      </c>
      <c r="AB427" s="86">
        <f>MSY!F468</f>
        <v>0.18726793342199699</v>
      </c>
      <c r="AC427" s="86">
        <f>MSY!G468</f>
        <v>0.12063673931081674</v>
      </c>
      <c r="AD427" s="24">
        <f t="shared" si="25"/>
        <v>0.26100084473398577</v>
      </c>
      <c r="AE427" s="24">
        <f t="shared" si="26"/>
        <v>0.21100084473398573</v>
      </c>
      <c r="AH427">
        <f t="shared" si="24"/>
        <v>4.24</v>
      </c>
      <c r="AI427">
        <f t="shared" si="27"/>
        <v>0.18726793342199699</v>
      </c>
    </row>
    <row r="428" spans="23:35" x14ac:dyDescent="0.3">
      <c r="W428" s="86">
        <f>MSY!A469</f>
        <v>4.25</v>
      </c>
      <c r="X428" s="86">
        <f>MSY!B469</f>
        <v>0.13888311022497757</v>
      </c>
      <c r="Y428" s="86">
        <f>MSY!C469</f>
        <v>0.77410121405618026</v>
      </c>
      <c r="Z428" s="86">
        <f>MSY!D469</f>
        <v>1.2007453766351952</v>
      </c>
      <c r="AA428" s="86">
        <f>MSY!E469</f>
        <v>0.15183124704591519</v>
      </c>
      <c r="AB428" s="86">
        <f>MSY!F469</f>
        <v>0.1823106679191388</v>
      </c>
      <c r="AC428" s="86">
        <f>MSY!G469</f>
        <v>0.11753275266990679</v>
      </c>
      <c r="AD428" s="24">
        <f t="shared" si="25"/>
        <v>0.26111688977502245</v>
      </c>
      <c r="AE428" s="24">
        <f t="shared" si="26"/>
        <v>0.21111688977502241</v>
      </c>
      <c r="AH428">
        <f t="shared" si="24"/>
        <v>4.25</v>
      </c>
      <c r="AI428">
        <f t="shared" si="27"/>
        <v>0.1823106679191388</v>
      </c>
    </row>
    <row r="429" spans="23:35" x14ac:dyDescent="0.3">
      <c r="W429" s="86">
        <f>MSY!A470</f>
        <v>4.26</v>
      </c>
      <c r="X429" s="86">
        <f>MSY!B470</f>
        <v>0.13876747965262023</v>
      </c>
      <c r="Y429" s="86">
        <f>MSY!C470</f>
        <v>0.77404412979118586</v>
      </c>
      <c r="Z429" s="86">
        <f>MSY!D470</f>
        <v>1.1997456663397472</v>
      </c>
      <c r="AA429" s="86">
        <f>MSY!E470</f>
        <v>0.14784059059894403</v>
      </c>
      <c r="AB429" s="86">
        <f>MSY!F470</f>
        <v>0.17737110788019186</v>
      </c>
      <c r="AC429" s="86">
        <f>MSY!G470</f>
        <v>0.11443514129797461</v>
      </c>
      <c r="AD429" s="24">
        <f t="shared" si="25"/>
        <v>0.26123252034737976</v>
      </c>
      <c r="AE429" s="24">
        <f t="shared" si="26"/>
        <v>0.21123252034737974</v>
      </c>
      <c r="AH429">
        <f t="shared" si="24"/>
        <v>4.26</v>
      </c>
      <c r="AI429">
        <f t="shared" si="27"/>
        <v>0.17737110788019186</v>
      </c>
    </row>
    <row r="430" spans="23:35" x14ac:dyDescent="0.3">
      <c r="W430" s="86">
        <f>MSY!A471</f>
        <v>4.2699999999999996</v>
      </c>
      <c r="X430" s="86">
        <f>MSY!B471</f>
        <v>0.13865226107574552</v>
      </c>
      <c r="Y430" s="86">
        <f>MSY!C471</f>
        <v>0.77398713302733646</v>
      </c>
      <c r="Z430" s="86">
        <f>MSY!D471</f>
        <v>1.1987495180445318</v>
      </c>
      <c r="AA430" s="86">
        <f>MSY!E471</f>
        <v>0.14385753241870433</v>
      </c>
      <c r="AB430" s="86">
        <f>MSY!F471</f>
        <v>0.17244914765399741</v>
      </c>
      <c r="AC430" s="86">
        <f>MSY!G471</f>
        <v>0.11134387908114007</v>
      </c>
      <c r="AD430" s="24">
        <f t="shared" si="25"/>
        <v>0.2613477389242545</v>
      </c>
      <c r="AE430" s="24">
        <f t="shared" si="26"/>
        <v>0.21134773892425446</v>
      </c>
      <c r="AH430">
        <f t="shared" si="24"/>
        <v>4.2699999999999996</v>
      </c>
      <c r="AI430">
        <f t="shared" si="27"/>
        <v>0.17244914765399741</v>
      </c>
    </row>
    <row r="431" spans="23:35" x14ac:dyDescent="0.3">
      <c r="W431" s="86">
        <f>MSY!A472</f>
        <v>4.28</v>
      </c>
      <c r="X431" s="86">
        <f>MSY!B472</f>
        <v>0.13853745204183648</v>
      </c>
      <c r="Y431" s="86">
        <f>MSY!C472</f>
        <v>0.77393022374218179</v>
      </c>
      <c r="Z431" s="86">
        <f>MSY!D472</f>
        <v>1.1977569105457588</v>
      </c>
      <c r="AA431" s="86">
        <f>MSY!E472</f>
        <v>0.1398820420050586</v>
      </c>
      <c r="AB431" s="86">
        <f>MSY!F472</f>
        <v>0.16754468247281104</v>
      </c>
      <c r="AC431" s="86">
        <f>MSY!G472</f>
        <v>0.10825894006648827</v>
      </c>
      <c r="AD431" s="24">
        <f t="shared" si="25"/>
        <v>0.26146254795816354</v>
      </c>
      <c r="AE431" s="24">
        <f t="shared" si="26"/>
        <v>0.21146254795816349</v>
      </c>
      <c r="AH431">
        <f t="shared" si="24"/>
        <v>4.28</v>
      </c>
      <c r="AI431">
        <f t="shared" si="27"/>
        <v>0.16754468247281104</v>
      </c>
    </row>
    <row r="432" spans="23:35" x14ac:dyDescent="0.3">
      <c r="W432" s="86">
        <f>MSY!A473</f>
        <v>4.29</v>
      </c>
      <c r="X432" s="86">
        <f>MSY!B473</f>
        <v>0.13842305011882985</v>
      </c>
      <c r="Y432" s="86">
        <f>MSY!C473</f>
        <v>0.773873401909424</v>
      </c>
      <c r="Z432" s="86">
        <f>MSY!D473</f>
        <v>1.1967678228164744</v>
      </c>
      <c r="AA432" s="86">
        <f>MSY!E473</f>
        <v>0.13591408905014973</v>
      </c>
      <c r="AB432" s="86">
        <f>MSY!F473</f>
        <v>0.16265760844263211</v>
      </c>
      <c r="AC432" s="86">
        <f>MSY!G473</f>
        <v>0.10518029846065977</v>
      </c>
      <c r="AD432" s="24">
        <f t="shared" si="25"/>
        <v>0.2615769498811702</v>
      </c>
      <c r="AE432" s="24">
        <f t="shared" si="26"/>
        <v>0.21157694988117012</v>
      </c>
      <c r="AH432">
        <f t="shared" si="24"/>
        <v>4.29</v>
      </c>
      <c r="AI432">
        <f t="shared" si="27"/>
        <v>0.16265760844263211</v>
      </c>
    </row>
    <row r="433" spans="23:35" x14ac:dyDescent="0.3">
      <c r="W433" s="86">
        <f>MSY!A474</f>
        <v>4.3</v>
      </c>
      <c r="X433" s="86">
        <f>MSY!B474</f>
        <v>0.13830905289489223</v>
      </c>
      <c r="Y433" s="86">
        <f>MSY!C474</f>
        <v>0.7738166674989837</v>
      </c>
      <c r="Z433" s="86">
        <f>MSY!D474</f>
        <v>1.1957822340046267</v>
      </c>
      <c r="AA433" s="86">
        <f>MSY!E474</f>
        <v>0.13195364343658603</v>
      </c>
      <c r="AB433" s="86">
        <f>MSY!F474</f>
        <v>0.15778782253365078</v>
      </c>
      <c r="AC433" s="86">
        <f>MSY!G474</f>
        <v>0.10210792862844814</v>
      </c>
      <c r="AD433" s="24">
        <f t="shared" si="25"/>
        <v>0.26169094710510776</v>
      </c>
      <c r="AE433" s="24">
        <f t="shared" si="26"/>
        <v>0.21169094710510775</v>
      </c>
      <c r="AH433">
        <f t="shared" si="24"/>
        <v>4.3</v>
      </c>
      <c r="AI433">
        <f t="shared" si="27"/>
        <v>0.15778782253365078</v>
      </c>
    </row>
    <row r="434" spans="23:35" x14ac:dyDescent="0.3">
      <c r="W434" s="86">
        <f>MSY!A475</f>
        <v>4.3099999999999996</v>
      </c>
      <c r="X434" s="86">
        <f>MSY!B475</f>
        <v>0.13819545797819907</v>
      </c>
      <c r="Y434" s="86">
        <f>MSY!C475</f>
        <v>0.77376002047706793</v>
      </c>
      <c r="Z434" s="86">
        <f>MSY!D475</f>
        <v>1.1948001234311552</v>
      </c>
      <c r="AA434" s="86">
        <f>MSY!E475</f>
        <v>0.12800067523563238</v>
      </c>
      <c r="AB434" s="86">
        <f>MSY!F475</f>
        <v>0.15293522257080477</v>
      </c>
      <c r="AC434" s="86">
        <f>MSY!G475</f>
        <v>9.9041805091401439E-2</v>
      </c>
      <c r="AD434" s="24">
        <f t="shared" si="25"/>
        <v>0.26180454202180092</v>
      </c>
      <c r="AE434" s="24">
        <f t="shared" si="26"/>
        <v>0.21180454202180091</v>
      </c>
      <c r="AH434">
        <f t="shared" si="24"/>
        <v>4.3099999999999996</v>
      </c>
      <c r="AI434">
        <f t="shared" si="27"/>
        <v>0.15293522257080477</v>
      </c>
    </row>
    <row r="435" spans="23:35" x14ac:dyDescent="0.3">
      <c r="W435" s="86">
        <f>MSY!A476</f>
        <v>4.32</v>
      </c>
      <c r="X435" s="86">
        <f>MSY!B476</f>
        <v>0.13808226299671733</v>
      </c>
      <c r="Y435" s="86">
        <f>MSY!C476</f>
        <v>0.77370346080623442</v>
      </c>
      <c r="Z435" s="86">
        <f>MSY!D476</f>
        <v>1.1938214705881109</v>
      </c>
      <c r="AA435" s="86">
        <f>MSY!E476</f>
        <v>0.12405515470544831</v>
      </c>
      <c r="AB435" s="86">
        <f>MSY!F476</f>
        <v>0.14809970722449392</v>
      </c>
      <c r="AC435" s="86">
        <f>MSY!G476</f>
        <v>9.5981902526458177E-2</v>
      </c>
      <c r="AD435" s="24">
        <f t="shared" si="25"/>
        <v>0.26191773700328269</v>
      </c>
      <c r="AE435" s="24">
        <f t="shared" si="26"/>
        <v>0.21191773700328265</v>
      </c>
      <c r="AH435">
        <f t="shared" si="24"/>
        <v>4.32</v>
      </c>
      <c r="AI435">
        <f t="shared" si="27"/>
        <v>0.14809970722449392</v>
      </c>
    </row>
    <row r="436" spans="23:35" x14ac:dyDescent="0.3">
      <c r="W436" s="86">
        <f>MSY!A477</f>
        <v>4.33</v>
      </c>
      <c r="X436" s="86">
        <f>MSY!B477</f>
        <v>0.13796946559799061</v>
      </c>
      <c r="Y436" s="86">
        <f>MSY!C477</f>
        <v>0.7736469884454571</v>
      </c>
      <c r="Z436" s="86">
        <f>MSY!D477</f>
        <v>1.1928462551367995</v>
      </c>
      <c r="AA436" s="86">
        <f>MSY!E477</f>
        <v>0.12011705228933342</v>
      </c>
      <c r="AB436" s="86">
        <f>MSY!F477</f>
        <v>0.1432811760014025</v>
      </c>
      <c r="AC436" s="86">
        <f>MSY!G477</f>
        <v>9.2928195764588301E-2</v>
      </c>
      <c r="AD436" s="24">
        <f t="shared" si="25"/>
        <v>0.26203053440200941</v>
      </c>
      <c r="AE436" s="24">
        <f t="shared" si="26"/>
        <v>0.21203053440200936</v>
      </c>
      <c r="AH436">
        <f t="shared" si="24"/>
        <v>4.33</v>
      </c>
      <c r="AI436">
        <f t="shared" si="27"/>
        <v>0.1432811760014025</v>
      </c>
    </row>
    <row r="437" spans="23:35" x14ac:dyDescent="0.3">
      <c r="W437" s="86">
        <f>MSY!A478</f>
        <v>4.34</v>
      </c>
      <c r="X437" s="86">
        <f>MSY!B478</f>
        <v>0.13785706344892662</v>
      </c>
      <c r="Y437" s="86">
        <f>MSY!C478</f>
        <v>0.77359060335018792</v>
      </c>
      <c r="Z437" s="86">
        <f>MSY!D478</f>
        <v>1.1918744569059432</v>
      </c>
      <c r="AA437" s="86">
        <f>MSY!E478</f>
        <v>0.11618633861397364</v>
      </c>
      <c r="AB437" s="86">
        <f>MSY!F478</f>
        <v>0.13847952923541984</v>
      </c>
      <c r="AC437" s="86">
        <f>MSY!G478</f>
        <v>8.9880659789433104E-2</v>
      </c>
      <c r="AD437" s="24">
        <f t="shared" si="25"/>
        <v>0.2621429365510734</v>
      </c>
      <c r="AE437" s="24">
        <f t="shared" si="26"/>
        <v>0.21214293655107336</v>
      </c>
      <c r="AH437">
        <f t="shared" si="24"/>
        <v>4.34</v>
      </c>
      <c r="AI437">
        <f t="shared" si="27"/>
        <v>0.13847952923541984</v>
      </c>
    </row>
    <row r="438" spans="23:35" x14ac:dyDescent="0.3">
      <c r="W438" s="86">
        <f>MSY!A479</f>
        <v>4.3499999999999996</v>
      </c>
      <c r="X438" s="86">
        <f>MSY!B479</f>
        <v>0.13774505423558836</v>
      </c>
      <c r="Y438" s="86">
        <f>MSY!C479</f>
        <v>0.77353430547241964</v>
      </c>
      <c r="Z438" s="86">
        <f>MSY!D479</f>
        <v>1.1909060558898759</v>
      </c>
      <c r="AA438" s="86">
        <f>MSY!E479</f>
        <v>0.11226298448773915</v>
      </c>
      <c r="AB438" s="86">
        <f>MSY!F479</f>
        <v>0.13369466807871974</v>
      </c>
      <c r="AC438" s="86">
        <f>MSY!G479</f>
        <v>8.6839269735984326E-2</v>
      </c>
      <c r="AD438" s="24">
        <f t="shared" si="25"/>
        <v>0.26225494576441166</v>
      </c>
      <c r="AE438" s="24">
        <f t="shared" si="26"/>
        <v>0.21225494576441162</v>
      </c>
      <c r="AH438">
        <f t="shared" si="24"/>
        <v>4.3499999999999996</v>
      </c>
      <c r="AI438">
        <f t="shared" si="27"/>
        <v>0.13369466807871974</v>
      </c>
    </row>
    <row r="439" spans="23:35" x14ac:dyDescent="0.3">
      <c r="W439" s="86">
        <f>MSY!A480</f>
        <v>4.3600000000000003</v>
      </c>
      <c r="X439" s="86">
        <f>MSY!B480</f>
        <v>0.1376334356629878</v>
      </c>
      <c r="Y439" s="86">
        <f>MSY!C480</f>
        <v>0.77347809476074847</v>
      </c>
      <c r="Z439" s="86">
        <f>MSY!D480</f>
        <v>1.1899410322467587</v>
      </c>
      <c r="AA439" s="86">
        <f>MSY!E480</f>
        <v>0.1083469608989925</v>
      </c>
      <c r="AB439" s="86">
        <f>MSY!F480</f>
        <v>0.12892649449294633</v>
      </c>
      <c r="AC439" s="86">
        <f>MSY!G480</f>
        <v>8.3804000889270022E-2</v>
      </c>
      <c r="AD439" s="24">
        <f t="shared" si="25"/>
        <v>0.26236656433701222</v>
      </c>
      <c r="AE439" s="24">
        <f t="shared" si="26"/>
        <v>0.21236656433701218</v>
      </c>
      <c r="AH439">
        <f t="shared" si="24"/>
        <v>4.3600000000000003</v>
      </c>
      <c r="AI439">
        <f t="shared" si="27"/>
        <v>0.12892649449294633</v>
      </c>
    </row>
    <row r="440" spans="23:35" x14ac:dyDescent="0.3">
      <c r="W440" s="86">
        <f>MSY!A481</f>
        <v>4.37</v>
      </c>
      <c r="X440" s="86">
        <f>MSY!B481</f>
        <v>0.13752220545488134</v>
      </c>
      <c r="Y440" s="86">
        <f>MSY!C481</f>
        <v>0.77342197116043188</v>
      </c>
      <c r="Z440" s="86">
        <f>MSY!D481</f>
        <v>1.1889793662968124</v>
      </c>
      <c r="AA440" s="86">
        <f>MSY!E481</f>
        <v>0.10443823901438461</v>
      </c>
      <c r="AB440" s="86">
        <f>MSY!F481</f>
        <v>0.12417491124047804</v>
      </c>
      <c r="AC440" s="86">
        <f>MSY!G481</f>
        <v>8.0774828683029667E-2</v>
      </c>
      <c r="AD440" s="24">
        <f t="shared" si="25"/>
        <v>0.26247779454511866</v>
      </c>
      <c r="AE440" s="24">
        <f t="shared" si="26"/>
        <v>0.21247779454511864</v>
      </c>
      <c r="AH440">
        <f t="shared" si="24"/>
        <v>4.37</v>
      </c>
      <c r="AI440">
        <f t="shared" si="27"/>
        <v>0.12417491124047804</v>
      </c>
    </row>
    <row r="441" spans="23:35" x14ac:dyDescent="0.3">
      <c r="W441" s="86">
        <f>MSY!A482</f>
        <v>4.38</v>
      </c>
      <c r="X441" s="86">
        <f>MSY!B482</f>
        <v>0.13741136135356954</v>
      </c>
      <c r="Y441" s="86">
        <f>MSY!C482</f>
        <v>0.77336593461344882</v>
      </c>
      <c r="Z441" s="86">
        <f>MSY!D482</f>
        <v>1.1880210385205852</v>
      </c>
      <c r="AA441" s="86">
        <f>MSY!E482</f>
        <v>0.10053679017722168</v>
      </c>
      <c r="AB441" s="86">
        <f>MSY!F482</f>
        <v>0.11943982187586906</v>
      </c>
      <c r="AC441" s="86">
        <f>MSY!G482</f>
        <v>7.7751728698443254E-2</v>
      </c>
      <c r="AD441" s="24">
        <f t="shared" si="25"/>
        <v>0.26258863864643045</v>
      </c>
      <c r="AE441" s="24">
        <f t="shared" si="26"/>
        <v>0.21258863864643043</v>
      </c>
      <c r="AH441">
        <f t="shared" si="24"/>
        <v>4.38</v>
      </c>
      <c r="AI441">
        <f t="shared" si="27"/>
        <v>0.11943982187586906</v>
      </c>
    </row>
    <row r="442" spans="23:35" x14ac:dyDescent="0.3">
      <c r="W442" s="86">
        <f>MSY!A483</f>
        <v>4.3899999999999997</v>
      </c>
      <c r="X442" s="86">
        <f>MSY!B483</f>
        <v>0.13730090111969806</v>
      </c>
      <c r="Y442" s="86">
        <f>MSY!C483</f>
        <v>0.77330998505855908</v>
      </c>
      <c r="Z442" s="86">
        <f>MSY!D483</f>
        <v>1.1870660295572319</v>
      </c>
      <c r="AA442" s="86">
        <f>MSY!E483</f>
        <v>9.6642585905807724E-2</v>
      </c>
      <c r="AB442" s="86">
        <f>MSY!F483</f>
        <v>0.11472113073735088</v>
      </c>
      <c r="AC442" s="86">
        <f>MSY!G483</f>
        <v>7.4734676662840685E-2</v>
      </c>
      <c r="AD442" s="24">
        <f t="shared" si="25"/>
        <v>0.26269909888030196</v>
      </c>
      <c r="AE442" s="24">
        <f t="shared" si="26"/>
        <v>0.21269909888030192</v>
      </c>
      <c r="AH442">
        <f t="shared" si="24"/>
        <v>4.3899999999999997</v>
      </c>
      <c r="AI442">
        <f t="shared" si="27"/>
        <v>0.11472113073735088</v>
      </c>
    </row>
    <row r="443" spans="23:35" x14ac:dyDescent="0.3">
      <c r="W443" s="86">
        <f>MSY!A484</f>
        <v>4.4000000000000004</v>
      </c>
      <c r="X443" s="86">
        <f>MSY!B484</f>
        <v>0.13719082253206188</v>
      </c>
      <c r="Y443" s="86">
        <f>MSY!C484</f>
        <v>0.77325412243135894</v>
      </c>
      <c r="Z443" s="86">
        <f>MSY!D484</f>
        <v>1.1861143202028219</v>
      </c>
      <c r="AA443" s="86">
        <f>MSY!E484</f>
        <v>9.2755597891821723E-2</v>
      </c>
      <c r="AB443" s="86">
        <f>MSY!F484</f>
        <v>0.11001874293846443</v>
      </c>
      <c r="AC443" s="86">
        <f>MSY!G484</f>
        <v>7.1723648448436608E-2</v>
      </c>
      <c r="AD443" s="24">
        <f t="shared" si="25"/>
        <v>0.26280917746793814</v>
      </c>
      <c r="AE443" s="24">
        <f t="shared" si="26"/>
        <v>0.21280917746793809</v>
      </c>
      <c r="AH443">
        <f t="shared" si="24"/>
        <v>4.4000000000000004</v>
      </c>
      <c r="AI443">
        <f t="shared" si="27"/>
        <v>0.11001874293846443</v>
      </c>
    </row>
    <row r="444" spans="23:35" x14ac:dyDescent="0.3">
      <c r="W444" s="86">
        <f>MSY!A485</f>
        <v>4.41</v>
      </c>
      <c r="X444" s="86">
        <f>MSY!B485</f>
        <v>0.1370811233874121</v>
      </c>
      <c r="Y444" s="86">
        <f>MSY!C485</f>
        <v>0.77319834666433884</v>
      </c>
      <c r="Z444" s="86">
        <f>MSY!D485</f>
        <v>1.1851658914086678</v>
      </c>
      <c r="AA444" s="86">
        <f>MSY!E485</f>
        <v>8.8875797998718281E-2</v>
      </c>
      <c r="AB444" s="86">
        <f>MSY!F485</f>
        <v>0.10533256435980765</v>
      </c>
      <c r="AC444" s="86">
        <f>MSY!G485</f>
        <v>6.8718620071082731E-2</v>
      </c>
      <c r="AD444" s="24">
        <f t="shared" si="25"/>
        <v>0.26291887661258795</v>
      </c>
      <c r="AE444" s="24">
        <f t="shared" si="26"/>
        <v>0.21291887661258788</v>
      </c>
      <c r="AH444">
        <f t="shared" si="24"/>
        <v>4.41</v>
      </c>
      <c r="AI444">
        <f t="shared" si="27"/>
        <v>0.10533256435980765</v>
      </c>
    </row>
    <row r="445" spans="23:35" x14ac:dyDescent="0.3">
      <c r="W445" s="86">
        <f>MSY!A486</f>
        <v>4.42</v>
      </c>
      <c r="X445" s="86">
        <f>MSY!B486</f>
        <v>0.13697180150026467</v>
      </c>
      <c r="Y445" s="86">
        <f>MSY!C486</f>
        <v>0.7731426576869368</v>
      </c>
      <c r="Z445" s="86">
        <f>MSY!D486</f>
        <v>1.1842207242796723</v>
      </c>
      <c r="AA445" s="86">
        <f>MSY!E486</f>
        <v>8.5003158260127096E-2</v>
      </c>
      <c r="AB445" s="86">
        <f>MSY!F486</f>
        <v>0.10066250164086732</v>
      </c>
      <c r="AC445" s="86">
        <f>MSY!G486</f>
        <v>6.571956768901796E-2</v>
      </c>
      <c r="AD445" s="24">
        <f t="shared" si="25"/>
        <v>0.26302819849973536</v>
      </c>
      <c r="AE445" s="24">
        <f t="shared" si="26"/>
        <v>0.21302819849973531</v>
      </c>
      <c r="AH445">
        <f t="shared" si="24"/>
        <v>4.42</v>
      </c>
      <c r="AI445">
        <f t="shared" si="27"/>
        <v>0.10066250164086732</v>
      </c>
    </row>
    <row r="446" spans="23:35" x14ac:dyDescent="0.3">
      <c r="W446" s="86">
        <f>MSY!A487</f>
        <v>4.43</v>
      </c>
      <c r="X446" s="86">
        <f>MSY!B487</f>
        <v>0.13686285470271253</v>
      </c>
      <c r="Y446" s="86">
        <f>MSY!C487</f>
        <v>0.77308705542559597</v>
      </c>
      <c r="Z446" s="86">
        <f>MSY!D487</f>
        <v>1.1832788000727039</v>
      </c>
      <c r="AA446" s="86">
        <f>MSY!E487</f>
        <v>8.1137650878297038E-2</v>
      </c>
      <c r="AB446" s="86">
        <f>MSY!F487</f>
        <v>9.6008462171989287E-2</v>
      </c>
      <c r="AC446" s="86">
        <f>MSY!G487</f>
        <v>6.272646760165268E-2</v>
      </c>
      <c r="AD446" s="24">
        <f t="shared" si="25"/>
        <v>0.26313714529728749</v>
      </c>
      <c r="AE446" s="24">
        <f t="shared" si="26"/>
        <v>0.21313714529728744</v>
      </c>
      <c r="AH446">
        <f t="shared" si="24"/>
        <v>4.43</v>
      </c>
      <c r="AI446">
        <f t="shared" si="27"/>
        <v>9.6008462171989287E-2</v>
      </c>
    </row>
    <row r="447" spans="23:35" x14ac:dyDescent="0.3">
      <c r="W447" s="86">
        <f>MSY!A488</f>
        <v>4.4400000000000004</v>
      </c>
      <c r="X447" s="86">
        <f>MSY!B488</f>
        <v>0.1367542808442391</v>
      </c>
      <c r="Y447" s="86">
        <f>MSY!C488</f>
        <v>0.77303153980381589</v>
      </c>
      <c r="Z447" s="86">
        <f>MSY!D488</f>
        <v>1.1823401001949849</v>
      </c>
      <c r="AA447" s="86">
        <f>MSY!E488</f>
        <v>7.7279248222530086E-2</v>
      </c>
      <c r="AB447" s="86">
        <f>MSY!F488</f>
        <v>9.1370354086419331E-2</v>
      </c>
      <c r="AC447" s="86">
        <f>MSY!G488</f>
        <v>5.9739296248343732E-2</v>
      </c>
      <c r="AD447" s="24">
        <f t="shared" si="25"/>
        <v>0.26324571915576089</v>
      </c>
      <c r="AE447" s="24">
        <f t="shared" si="26"/>
        <v>0.21324571915576088</v>
      </c>
      <c r="AH447">
        <f t="shared" si="24"/>
        <v>4.4400000000000004</v>
      </c>
      <c r="AI447">
        <f t="shared" si="27"/>
        <v>9.1370354086419331E-2</v>
      </c>
    </row>
    <row r="448" spans="23:35" x14ac:dyDescent="0.3">
      <c r="W448" s="86">
        <f>MSY!A489</f>
        <v>4.45</v>
      </c>
      <c r="X448" s="86">
        <f>MSY!B489</f>
        <v>0.13664607779153518</v>
      </c>
      <c r="Y448" s="86">
        <f>MSY!C489</f>
        <v>0.77297611074220618</v>
      </c>
      <c r="Z448" s="86">
        <f>MSY!D489</f>
        <v>1.1814046062025076</v>
      </c>
      <c r="AA448" s="86">
        <f>MSY!E489</f>
        <v>7.3427922827652273E-2</v>
      </c>
      <c r="AB448" s="86">
        <f>MSY!F489</f>
        <v>8.6748086252470658E-2</v>
      </c>
      <c r="AC448" s="86">
        <f>MSY!G489</f>
        <v>5.675803020719751E-2</v>
      </c>
      <c r="AD448" s="24">
        <f t="shared" si="25"/>
        <v>0.26335392220846487</v>
      </c>
      <c r="AE448" s="24">
        <f t="shared" si="26"/>
        <v>0.2133539222084648</v>
      </c>
      <c r="AH448">
        <f t="shared" si="24"/>
        <v>4.45</v>
      </c>
      <c r="AI448">
        <f t="shared" si="27"/>
        <v>8.6748086252470658E-2</v>
      </c>
    </row>
    <row r="449" spans="23:35" x14ac:dyDescent="0.3">
      <c r="W449" s="86">
        <f>MSY!A490</f>
        <v>4.46</v>
      </c>
      <c r="X449" s="86">
        <f>MSY!B490</f>
        <v>0.13653824342831736</v>
      </c>
      <c r="Y449" s="86">
        <f>MSY!C490</f>
        <v>0.7729207681585385</v>
      </c>
      <c r="Z449" s="86">
        <f>MSY!D490</f>
        <v>1.1804722997984642</v>
      </c>
      <c r="AA449" s="86">
        <f>MSY!E490</f>
        <v>6.9583647392486472E-2</v>
      </c>
      <c r="AB449" s="86">
        <f>MSY!F490</f>
        <v>8.2141568265773915E-2</v>
      </c>
      <c r="AC449" s="86">
        <f>MSY!G490</f>
        <v>5.3782646193873532E-2</v>
      </c>
      <c r="AD449" s="24">
        <f t="shared" si="25"/>
        <v>0.26346175657168269</v>
      </c>
      <c r="AE449" s="24">
        <f t="shared" si="26"/>
        <v>0.21346175657168262</v>
      </c>
      <c r="AH449">
        <f t="shared" si="24"/>
        <v>4.46</v>
      </c>
      <c r="AI449">
        <f t="shared" si="27"/>
        <v>8.2141568265773915E-2</v>
      </c>
    </row>
    <row r="450" spans="23:35" x14ac:dyDescent="0.3">
      <c r="W450" s="86">
        <f>MSY!A491</f>
        <v>4.47</v>
      </c>
      <c r="X450" s="86">
        <f>MSY!B491</f>
        <v>0.13643077565514936</v>
      </c>
      <c r="Y450" s="86">
        <f>MSY!C491</f>
        <v>0.77286551196779762</v>
      </c>
      <c r="Z450" s="86">
        <f>MSY!D491</f>
        <v>1.1795431628317035</v>
      </c>
      <c r="AA450" s="86">
        <f>MSY!E491</f>
        <v>6.5746394778355977E-2</v>
      </c>
      <c r="AB450" s="86">
        <f>MSY!F491</f>
        <v>7.75507104416438E-2</v>
      </c>
      <c r="AC450" s="86">
        <f>MSY!G491</f>
        <v>5.0813121060411026E-2</v>
      </c>
      <c r="AD450" s="24">
        <f t="shared" si="25"/>
        <v>0.26356922434485064</v>
      </c>
      <c r="AE450" s="24">
        <f t="shared" si="26"/>
        <v>0.21356922434485062</v>
      </c>
      <c r="AH450">
        <f t="shared" ref="AH450:AH506" si="28">W450</f>
        <v>4.47</v>
      </c>
      <c r="AI450">
        <f t="shared" si="27"/>
        <v>7.75507104416438E-2</v>
      </c>
    </row>
    <row r="451" spans="23:35" x14ac:dyDescent="0.3">
      <c r="W451" s="86">
        <f>MSY!A492</f>
        <v>4.4800000000000004</v>
      </c>
      <c r="X451" s="86">
        <f>MSY!B492</f>
        <v>0.1363236723892654</v>
      </c>
      <c r="Y451" s="86">
        <f>MSY!C492</f>
        <v>0.77281034208223109</v>
      </c>
      <c r="Z451" s="86">
        <f>MSY!D492</f>
        <v>1.1786171772952019</v>
      </c>
      <c r="AA451" s="86">
        <f>MSY!E492</f>
        <v>6.1916138007596246E-2</v>
      </c>
      <c r="AB451" s="86">
        <f>MSY!F492</f>
        <v>7.297542380753326E-2</v>
      </c>
      <c r="AC451" s="86">
        <f>MSY!G492</f>
        <v>4.7849431794061086E-2</v>
      </c>
      <c r="AD451" s="24">
        <f t="shared" si="25"/>
        <v>0.26367632761073462</v>
      </c>
      <c r="AE451" s="24">
        <f t="shared" si="26"/>
        <v>0.21367632761073457</v>
      </c>
      <c r="AH451">
        <f t="shared" si="28"/>
        <v>4.4800000000000004</v>
      </c>
      <c r="AI451">
        <f t="shared" si="27"/>
        <v>7.297542380753326E-2</v>
      </c>
    </row>
    <row r="452" spans="23:35" x14ac:dyDescent="0.3">
      <c r="W452" s="86">
        <f>MSY!A493</f>
        <v>4.49</v>
      </c>
      <c r="X452" s="86">
        <f>MSY!B493</f>
        <v>0.13621693156439582</v>
      </c>
      <c r="Y452" s="86">
        <f>MSY!C493</f>
        <v>0.77275525841140069</v>
      </c>
      <c r="Z452" s="86">
        <f>MSY!D493</f>
        <v>1.1776943253245571</v>
      </c>
      <c r="AA452" s="86">
        <f>MSY!E493</f>
        <v>5.8092850262080081E-2</v>
      </c>
      <c r="AB452" s="86">
        <f>MSY!F493</f>
        <v>6.8415620095580928E-2</v>
      </c>
      <c r="AC452" s="86">
        <f>MSY!G493</f>
        <v>4.4891555516128501E-2</v>
      </c>
      <c r="AD452" s="24">
        <f t="shared" ref="AD452:AD506" si="29">ABS(X452-$C$28/100)</f>
        <v>0.26378306843560417</v>
      </c>
      <c r="AE452" s="24">
        <f t="shared" ref="AE452:AE506" si="30">ABS(X452-$C$29/100)</f>
        <v>0.21378306843560416</v>
      </c>
      <c r="AH452">
        <f t="shared" si="28"/>
        <v>4.49</v>
      </c>
      <c r="AI452">
        <f t="shared" ref="AI452:AI506" si="31">AB452</f>
        <v>6.8415620095580928E-2</v>
      </c>
    </row>
    <row r="453" spans="23:35" x14ac:dyDescent="0.3">
      <c r="W453" s="86">
        <f>MSY!A494</f>
        <v>4.5</v>
      </c>
      <c r="X453" s="86">
        <f>MSY!B494</f>
        <v>0.136110551130595</v>
      </c>
      <c r="Y453" s="86">
        <f>MSY!C494</f>
        <v>0.77270026086222821</v>
      </c>
      <c r="Z453" s="86">
        <f>MSY!D494</f>
        <v>1.1767745891965005</v>
      </c>
      <c r="AA453" s="86">
        <f>MSY!E494</f>
        <v>5.4276504881771E-2</v>
      </c>
      <c r="AB453" s="86">
        <f>MSY!F494</f>
        <v>6.3871211735267927E-2</v>
      </c>
      <c r="AC453" s="86">
        <f>MSY!G494</f>
        <v>4.1939469480834456E-2</v>
      </c>
      <c r="AD453" s="24">
        <f t="shared" si="29"/>
        <v>0.26388944886940502</v>
      </c>
      <c r="AE453" s="24">
        <f t="shared" si="30"/>
        <v>0.21388944886940497</v>
      </c>
      <c r="AH453">
        <f t="shared" si="28"/>
        <v>4.5</v>
      </c>
      <c r="AI453">
        <f t="shared" si="31"/>
        <v>6.3871211735267927E-2</v>
      </c>
    </row>
    <row r="454" spans="23:35" x14ac:dyDescent="0.3">
      <c r="W454" s="86">
        <f>MSY!A495</f>
        <v>4.51</v>
      </c>
      <c r="X454" s="86">
        <f>MSY!B495</f>
        <v>0.13600452905407134</v>
      </c>
      <c r="Y454" s="86">
        <f>MSY!C495</f>
        <v>0.77264534933904583</v>
      </c>
      <c r="Z454" s="86">
        <f>MSY!D495</f>
        <v>1.1758579513274261</v>
      </c>
      <c r="AA454" s="86">
        <f>MSY!E495</f>
        <v>5.0467075363275174E-2</v>
      </c>
      <c r="AB454" s="86">
        <f>MSY!F495</f>
        <v>5.9342111846147558E-2</v>
      </c>
      <c r="AC454" s="86">
        <f>MSY!G495</f>
        <v>3.8993151074177702E-2</v>
      </c>
      <c r="AD454" s="24">
        <f t="shared" si="29"/>
        <v>0.26399547094592868</v>
      </c>
      <c r="AE454" s="24">
        <f t="shared" si="30"/>
        <v>0.21399547094592863</v>
      </c>
      <c r="AH454">
        <f t="shared" si="28"/>
        <v>4.51</v>
      </c>
      <c r="AI454">
        <f t="shared" si="31"/>
        <v>5.9342111846147558E-2</v>
      </c>
    </row>
    <row r="455" spans="23:35" x14ac:dyDescent="0.3">
      <c r="W455" s="86">
        <f>MSY!A496</f>
        <v>4.5199999999999996</v>
      </c>
      <c r="X455" s="86">
        <f>MSY!B496</f>
        <v>0.13589886331701956</v>
      </c>
      <c r="Y455" s="86">
        <f>MSY!C496</f>
        <v>0.7725905237436419</v>
      </c>
      <c r="Z455" s="86">
        <f>MSY!D496</f>
        <v>1.1749443942719415</v>
      </c>
      <c r="AA455" s="86">
        <f>MSY!E496</f>
        <v>4.6664535358424145E-2</v>
      </c>
      <c r="AB455" s="86">
        <f>MSY!F496</f>
        <v>5.4828234230685252E-2</v>
      </c>
      <c r="AC455" s="86">
        <f>MSY!G496</f>
        <v>3.6052577812818606E-2</v>
      </c>
      <c r="AD455" s="24">
        <f t="shared" si="29"/>
        <v>0.26410113668298046</v>
      </c>
      <c r="AE455" s="24">
        <f t="shared" si="30"/>
        <v>0.21410113668298042</v>
      </c>
      <c r="AH455">
        <f t="shared" si="28"/>
        <v>4.5199999999999996</v>
      </c>
      <c r="AI455">
        <f t="shared" si="31"/>
        <v>5.4828234230685252E-2</v>
      </c>
    </row>
    <row r="456" spans="23:35" x14ac:dyDescent="0.3">
      <c r="W456" s="86">
        <f>MSY!A497</f>
        <v>4.53</v>
      </c>
      <c r="X456" s="86">
        <f>MSY!B497</f>
        <v>0.13579355191745499</v>
      </c>
      <c r="Y456" s="86">
        <f>MSY!C497</f>
        <v>0.77253578397530775</v>
      </c>
      <c r="Z456" s="86">
        <f>MSY!D497</f>
        <v>1.1740339007214349</v>
      </c>
      <c r="AA456" s="86">
        <f>MSY!E497</f>
        <v>4.2868858672862546E-2</v>
      </c>
      <c r="AB456" s="86">
        <f>MSY!F497</f>
        <v>5.0329493367176723E-2</v>
      </c>
      <c r="AC456" s="86">
        <f>MSY!G497</f>
        <v>3.3117727342966537E-2</v>
      </c>
      <c r="AD456" s="24">
        <f t="shared" si="29"/>
        <v>0.26420644808254501</v>
      </c>
      <c r="AE456" s="24">
        <f t="shared" si="30"/>
        <v>0.21420644808254499</v>
      </c>
      <c r="AH456">
        <f t="shared" si="28"/>
        <v>4.53</v>
      </c>
      <c r="AI456">
        <f t="shared" si="31"/>
        <v>5.0329493367176723E-2</v>
      </c>
    </row>
    <row r="457" spans="23:35" x14ac:dyDescent="0.3">
      <c r="W457" s="86">
        <f>MSY!A498</f>
        <v>4.54</v>
      </c>
      <c r="X457" s="86">
        <f>MSY!B498</f>
        <v>0.13568859286905016</v>
      </c>
      <c r="Y457" s="86">
        <f>MSY!C498</f>
        <v>0.77248112993088358</v>
      </c>
      <c r="Z457" s="86">
        <f>MSY!D498</f>
        <v>1.1731264535026624</v>
      </c>
      <c r="AA457" s="86">
        <f>MSY!E498</f>
        <v>3.9080019264664645E-2</v>
      </c>
      <c r="AB457" s="86">
        <f>MSY!F498</f>
        <v>4.5845804402771757E-2</v>
      </c>
      <c r="AC457" s="86">
        <f>MSY!G498</f>
        <v>3.0188577439288843E-2</v>
      </c>
      <c r="AD457" s="24">
        <f t="shared" si="29"/>
        <v>0.26431140713094986</v>
      </c>
      <c r="AE457" s="24">
        <f t="shared" si="30"/>
        <v>0.21431140713094982</v>
      </c>
      <c r="AH457">
        <f t="shared" si="28"/>
        <v>4.54</v>
      </c>
      <c r="AI457">
        <f t="shared" si="31"/>
        <v>4.5845804402771757E-2</v>
      </c>
    </row>
    <row r="458" spans="23:35" x14ac:dyDescent="0.3">
      <c r="W458" s="86">
        <f>MSY!A499</f>
        <v>4.55</v>
      </c>
      <c r="X458" s="86">
        <f>MSY!B499</f>
        <v>0.1355839842009732</v>
      </c>
      <c r="Y458" s="86">
        <f>MSY!C499</f>
        <v>0.77242656150480293</v>
      </c>
      <c r="Z458" s="86">
        <f>MSY!D499</f>
        <v>1.1722220355763509</v>
      </c>
      <c r="AA458" s="86">
        <f>MSY!E499</f>
        <v>3.529799124294955E-2</v>
      </c>
      <c r="AB458" s="86">
        <f>MSY!F499</f>
        <v>4.1377083146566532E-2</v>
      </c>
      <c r="AC458" s="86">
        <f>MSY!G499</f>
        <v>2.7265106003818165E-2</v>
      </c>
      <c r="AD458" s="24">
        <f t="shared" si="29"/>
        <v>0.26441601579902685</v>
      </c>
      <c r="AE458" s="24">
        <f t="shared" si="30"/>
        <v>0.21441601579902678</v>
      </c>
      <c r="AH458">
        <f t="shared" si="28"/>
        <v>4.55</v>
      </c>
      <c r="AI458">
        <f t="shared" si="31"/>
        <v>4.1377083146566532E-2</v>
      </c>
    </row>
    <row r="459" spans="23:35" x14ac:dyDescent="0.3">
      <c r="W459" s="86">
        <f>MSY!A500</f>
        <v>4.5599999999999996</v>
      </c>
      <c r="X459" s="86">
        <f>MSY!B500</f>
        <v>0.13547972395772831</v>
      </c>
      <c r="Y459" s="86">
        <f>MSY!C500</f>
        <v>0.77237207858913737</v>
      </c>
      <c r="Z459" s="86">
        <f>MSY!D500</f>
        <v>1.1713206300358185</v>
      </c>
      <c r="AA459" s="86">
        <f>MSY!E500</f>
        <v>3.1522748866517493E-2</v>
      </c>
      <c r="AB459" s="86">
        <f>MSY!F500</f>
        <v>3.6923246062790155E-2</v>
      </c>
      <c r="AC459" s="86">
        <f>MSY!G500</f>
        <v>2.434729106487549E-2</v>
      </c>
      <c r="AD459" s="24">
        <f t="shared" si="29"/>
        <v>0.26452027604227168</v>
      </c>
      <c r="AE459" s="24">
        <f t="shared" si="30"/>
        <v>0.21452027604227167</v>
      </c>
      <c r="AH459">
        <f t="shared" si="28"/>
        <v>4.5599999999999996</v>
      </c>
      <c r="AI459">
        <f t="shared" si="31"/>
        <v>3.6923246062790155E-2</v>
      </c>
    </row>
    <row r="460" spans="23:35" x14ac:dyDescent="0.3">
      <c r="W460" s="86">
        <f>MSY!A501</f>
        <v>4.57</v>
      </c>
      <c r="X460" s="86">
        <f>MSY!B501</f>
        <v>0.13537581019899839</v>
      </c>
      <c r="Y460" s="86">
        <f>MSY!C501</f>
        <v>0.77231768107363929</v>
      </c>
      <c r="Z460" s="86">
        <f>MSY!D501</f>
        <v>1.1704222201056145</v>
      </c>
      <c r="AA460" s="86">
        <f>MSY!E501</f>
        <v>2.7754266542505915E-2</v>
      </c>
      <c r="AB460" s="86">
        <f>MSY!F501</f>
        <v>3.2484210264082748E-2</v>
      </c>
      <c r="AC460" s="86">
        <f>MSY!G501</f>
        <v>2.1435110776007862E-2</v>
      </c>
      <c r="AD460" s="24">
        <f t="shared" si="29"/>
        <v>0.26462418980100166</v>
      </c>
      <c r="AE460" s="24">
        <f t="shared" si="30"/>
        <v>0.21462418980100159</v>
      </c>
      <c r="AH460">
        <f t="shared" si="28"/>
        <v>4.57</v>
      </c>
      <c r="AI460">
        <f t="shared" si="31"/>
        <v>3.2484210264082748E-2</v>
      </c>
    </row>
    <row r="461" spans="23:35" x14ac:dyDescent="0.3">
      <c r="W461" s="86">
        <f>MSY!A502</f>
        <v>4.58</v>
      </c>
      <c r="X461" s="86">
        <f>MSY!B502</f>
        <v>0.1352722409994897</v>
      </c>
      <c r="Y461" s="86">
        <f>MSY!C502</f>
        <v>0.77226336884578628</v>
      </c>
      <c r="Z461" s="86">
        <f>MSY!D502</f>
        <v>1.1695267891401759</v>
      </c>
      <c r="AA461" s="86">
        <f>MSY!E502</f>
        <v>2.3992518825064067E-2</v>
      </c>
      <c r="AB461" s="86">
        <f>MSY!F502</f>
        <v>2.8059893504862404E-2</v>
      </c>
      <c r="AC461" s="86">
        <f>MSY!G502</f>
        <v>1.8528543414939921E-2</v>
      </c>
      <c r="AD461" s="24">
        <f t="shared" si="29"/>
        <v>0.26472775900051032</v>
      </c>
      <c r="AE461" s="24">
        <f t="shared" si="30"/>
        <v>0.21472775900051028</v>
      </c>
      <c r="AH461">
        <f t="shared" si="28"/>
        <v>4.58</v>
      </c>
      <c r="AI461">
        <f t="shared" si="31"/>
        <v>2.8059893504862404E-2</v>
      </c>
    </row>
    <row r="462" spans="23:35" x14ac:dyDescent="0.3">
      <c r="W462" s="86">
        <f>MSY!A503</f>
        <v>4.59</v>
      </c>
      <c r="X462" s="86">
        <f>MSY!B503</f>
        <v>0.13516901444877799</v>
      </c>
      <c r="Y462" s="86">
        <f>MSY!C503</f>
        <v>0.77220914179082134</v>
      </c>
      <c r="Z462" s="86">
        <f>MSY!D503</f>
        <v>1.1686343206224972</v>
      </c>
      <c r="AA462" s="86">
        <f>MSY!E503</f>
        <v>2.0237480414014207E-2</v>
      </c>
      <c r="AB462" s="86">
        <f>MSY!F503</f>
        <v>2.3650214174742584E-2</v>
      </c>
      <c r="AC462" s="86">
        <f>MSY!G503</f>
        <v>1.5627567382514466E-2</v>
      </c>
      <c r="AD462" s="24">
        <f t="shared" si="29"/>
        <v>0.26483098555122203</v>
      </c>
      <c r="AE462" s="24">
        <f t="shared" si="30"/>
        <v>0.21483098555122199</v>
      </c>
      <c r="AH462">
        <f t="shared" si="28"/>
        <v>4.59</v>
      </c>
      <c r="AI462">
        <f t="shared" si="31"/>
        <v>2.3650214174742584E-2</v>
      </c>
    </row>
    <row r="463" spans="23:35" x14ac:dyDescent="0.3">
      <c r="W463" s="86">
        <f>MSY!A504</f>
        <v>4.5999999999999996</v>
      </c>
      <c r="X463" s="86">
        <f>MSY!B504</f>
        <v>0.13506612865115705</v>
      </c>
      <c r="Y463" s="86">
        <f>MSY!C504</f>
        <v>0.7721549997917948</v>
      </c>
      <c r="Z463" s="86">
        <f>MSY!D504</f>
        <v>1.1677447981628213</v>
      </c>
      <c r="AA463" s="86">
        <f>MSY!E504</f>
        <v>1.6489126153564487E-2</v>
      </c>
      <c r="AB463" s="86">
        <f>MSY!F504</f>
        <v>1.925509129207546E-2</v>
      </c>
      <c r="AC463" s="86">
        <f>MSY!G504</f>
        <v>1.2732161201672466E-2</v>
      </c>
      <c r="AD463" s="24">
        <f t="shared" si="29"/>
        <v>0.26493387134884294</v>
      </c>
      <c r="AE463" s="24">
        <f t="shared" si="30"/>
        <v>0.21493387134884293</v>
      </c>
      <c r="AH463">
        <f t="shared" si="28"/>
        <v>4.5999999999999996</v>
      </c>
      <c r="AI463">
        <f t="shared" si="31"/>
        <v>1.925509129207546E-2</v>
      </c>
    </row>
    <row r="464" spans="23:35" x14ac:dyDescent="0.3">
      <c r="W464" s="86">
        <f>MSY!A505</f>
        <v>4.6100000000000003</v>
      </c>
      <c r="X464" s="86">
        <f>MSY!B505</f>
        <v>0.13496358172548903</v>
      </c>
      <c r="Y464" s="86">
        <f>MSY!C505</f>
        <v>0.77210094272960716</v>
      </c>
      <c r="Z464" s="86">
        <f>MSY!D505</f>
        <v>1.1668582054973449</v>
      </c>
      <c r="AA464" s="86">
        <f>MSY!E505</f>
        <v>1.2747431031011659E-2</v>
      </c>
      <c r="AB464" s="86">
        <f>MSY!F505</f>
        <v>1.4874444497547433E-2</v>
      </c>
      <c r="AC464" s="86">
        <f>MSY!G505</f>
        <v>9.8423035164247503E-3</v>
      </c>
      <c r="AD464" s="24">
        <f t="shared" si="29"/>
        <v>0.26503641827451097</v>
      </c>
      <c r="AE464" s="24">
        <f t="shared" si="30"/>
        <v>0.21503641827451095</v>
      </c>
      <c r="AH464">
        <f t="shared" si="28"/>
        <v>4.6100000000000003</v>
      </c>
      <c r="AI464">
        <f t="shared" si="31"/>
        <v>1.4874444497547433E-2</v>
      </c>
    </row>
    <row r="465" spans="23:35" x14ac:dyDescent="0.3">
      <c r="W465" s="86">
        <f>MSY!A506</f>
        <v>4.62</v>
      </c>
      <c r="X465" s="86">
        <f>MSY!B506</f>
        <v>0.13486137180505661</v>
      </c>
      <c r="Y465" s="86">
        <f>MSY!C506</f>
        <v>0.77204697048304605</v>
      </c>
      <c r="Z465" s="86">
        <f>MSY!D506</f>
        <v>1.1659745264869406</v>
      </c>
      <c r="AA465" s="86">
        <f>MSY!E506</f>
        <v>9.0123701754686401E-3</v>
      </c>
      <c r="AB465" s="86">
        <f>MSY!F506</f>
        <v>1.0508194047867072E-2</v>
      </c>
      <c r="AC465" s="86">
        <f>MSY!G506</f>
        <v>6.9579730908423216E-3</v>
      </c>
      <c r="AD465" s="24">
        <f t="shared" si="29"/>
        <v>0.26513862819494338</v>
      </c>
      <c r="AE465" s="24">
        <f t="shared" si="30"/>
        <v>0.21513862819494337</v>
      </c>
      <c r="AH465">
        <f t="shared" si="28"/>
        <v>4.62</v>
      </c>
      <c r="AI465">
        <f t="shared" si="31"/>
        <v>1.0508194047867072E-2</v>
      </c>
    </row>
    <row r="466" spans="23:35" x14ac:dyDescent="0.3">
      <c r="W466" s="86">
        <f>MSY!A507</f>
        <v>4.63</v>
      </c>
      <c r="X466" s="86">
        <f>MSY!B507</f>
        <v>0.1347594970374168</v>
      </c>
      <c r="Y466" s="86">
        <f>MSY!C507</f>
        <v>0.77199308292882862</v>
      </c>
      <c r="Z466" s="86">
        <f>MSY!D507</f>
        <v>1.1650937451158929</v>
      </c>
      <c r="AA466" s="86">
        <f>MSY!E507</f>
        <v>5.2839188565978763E-3</v>
      </c>
      <c r="AB466" s="86">
        <f>MSY!F507</f>
        <v>6.1562608095221067E-3</v>
      </c>
      <c r="AC466" s="86">
        <f>MSY!G507</f>
        <v>4.0791488080507655E-3</v>
      </c>
      <c r="AD466" s="24">
        <f t="shared" si="29"/>
        <v>0.26524050296258322</v>
      </c>
      <c r="AE466" s="24">
        <f t="shared" si="30"/>
        <v>0.21524050296258318</v>
      </c>
      <c r="AH466">
        <f t="shared" si="28"/>
        <v>4.63</v>
      </c>
      <c r="AI466">
        <f t="shared" si="31"/>
        <v>6.1562608095221067E-3</v>
      </c>
    </row>
    <row r="467" spans="23:35" x14ac:dyDescent="0.3">
      <c r="W467" s="86">
        <f>MSY!A508</f>
        <v>4.6399999999999997</v>
      </c>
      <c r="X467" s="86">
        <f>MSY!B508</f>
        <v>0.13465795558425672</v>
      </c>
      <c r="Y467" s="86">
        <f>MSY!C508</f>
        <v>0.77193927994163913</v>
      </c>
      <c r="Z467" s="86">
        <f>MSY!D508</f>
        <v>1.1642158454906522</v>
      </c>
      <c r="AA467" s="86">
        <f>MSY!E508</f>
        <v>1.5620524833618902E-3</v>
      </c>
      <c r="AB467" s="86">
        <f>MSY!F508</f>
        <v>1.8185662526179359E-3</v>
      </c>
      <c r="AC467" s="86">
        <f>MSY!G508</f>
        <v>1.2058096692374267E-3</v>
      </c>
      <c r="AD467" s="24">
        <f t="shared" si="29"/>
        <v>0.26534204441574327</v>
      </c>
      <c r="AE467" s="24">
        <f t="shared" si="30"/>
        <v>0.21534204441574326</v>
      </c>
      <c r="AH467">
        <f t="shared" si="28"/>
        <v>4.6399999999999997</v>
      </c>
      <c r="AI467">
        <f t="shared" si="31"/>
        <v>1.8185662526179359E-3</v>
      </c>
    </row>
    <row r="468" spans="23:35" x14ac:dyDescent="0.3">
      <c r="W468" s="86">
        <f>MSY!A509</f>
        <v>4.6500000000000004</v>
      </c>
      <c r="X468" s="86">
        <f>MSY!B509</f>
        <v>0.13455674562125122</v>
      </c>
      <c r="Y468" s="86">
        <f>MSY!C509</f>
        <v>0.77188556139416753</v>
      </c>
      <c r="Z468" s="86">
        <f>MSY!D509</f>
        <v>1.1633408118386019</v>
      </c>
      <c r="AA468" s="86">
        <f>MSY!E509</f>
        <v>-2.1532533972133698E-3</v>
      </c>
      <c r="AB468" s="86">
        <f>MSY!F509</f>
        <v>-2.5049675552084294E-3</v>
      </c>
      <c r="AC468" s="86">
        <f>MSY!G509</f>
        <v>0</v>
      </c>
      <c r="AD468" s="24">
        <f t="shared" si="29"/>
        <v>0.26544325437874883</v>
      </c>
      <c r="AE468" s="24">
        <f t="shared" si="30"/>
        <v>0.21544325437874876</v>
      </c>
      <c r="AH468">
        <f t="shared" si="28"/>
        <v>4.6500000000000004</v>
      </c>
      <c r="AI468">
        <f t="shared" si="31"/>
        <v>-2.5049675552084294E-3</v>
      </c>
    </row>
    <row r="469" spans="23:35" x14ac:dyDescent="0.3">
      <c r="W469" s="86">
        <f>MSY!A510</f>
        <v>4.66</v>
      </c>
      <c r="X469" s="86">
        <f>MSY!B510</f>
        <v>0.13445586533792225</v>
      </c>
      <c r="Y469" s="86">
        <f>MSY!C510</f>
        <v>0.77183192715714666</v>
      </c>
      <c r="Z469" s="86">
        <f>MSY!D510</f>
        <v>1.1624686285068442</v>
      </c>
      <c r="AA469" s="86">
        <f>MSY!E510</f>
        <v>-5.8620231012560349E-3</v>
      </c>
      <c r="AB469" s="86">
        <f>MSY!F510</f>
        <v>-6.8144179547925407E-3</v>
      </c>
      <c r="AC469" s="86">
        <f>MSY!G510</f>
        <v>0</v>
      </c>
      <c r="AD469" s="24">
        <f t="shared" si="29"/>
        <v>0.26554413466207777</v>
      </c>
      <c r="AE469" s="24">
        <f t="shared" si="30"/>
        <v>0.21554413466207772</v>
      </c>
      <c r="AH469">
        <f t="shared" si="28"/>
        <v>4.66</v>
      </c>
      <c r="AI469">
        <f t="shared" si="31"/>
        <v>-6.8144179547925407E-3</v>
      </c>
    </row>
    <row r="470" spans="23:35" x14ac:dyDescent="0.3">
      <c r="W470" s="86">
        <f>MSY!A511</f>
        <v>4.67</v>
      </c>
      <c r="X470" s="86">
        <f>MSY!B511</f>
        <v>0.13435531293749978</v>
      </c>
      <c r="Y470" s="86">
        <f>MSY!C511</f>
        <v>0.77177837709939034</v>
      </c>
      <c r="Z470" s="86">
        <f>MSY!D511</f>
        <v>1.1615992799609967</v>
      </c>
      <c r="AA470" s="86">
        <f>MSY!E511</f>
        <v>-9.5642808092626323E-3</v>
      </c>
      <c r="AB470" s="86">
        <f>MSY!F511</f>
        <v>-1.1109861701384251E-2</v>
      </c>
      <c r="AC470" s="86">
        <f>MSY!G511</f>
        <v>0</v>
      </c>
      <c r="AD470" s="24">
        <f t="shared" si="29"/>
        <v>0.26564468706250022</v>
      </c>
      <c r="AE470" s="24">
        <f t="shared" si="30"/>
        <v>0.2156446870625002</v>
      </c>
      <c r="AH470">
        <f t="shared" si="28"/>
        <v>4.67</v>
      </c>
      <c r="AI470">
        <f t="shared" si="31"/>
        <v>-1.1109861701384251E-2</v>
      </c>
    </row>
    <row r="471" spans="23:35" x14ac:dyDescent="0.3">
      <c r="W471" s="86">
        <f>MSY!A512</f>
        <v>4.68</v>
      </c>
      <c r="X471" s="86">
        <f>MSY!B512</f>
        <v>0.13425508663678473</v>
      </c>
      <c r="Y471" s="86">
        <f>MSY!C512</f>
        <v>0.77172491108782992</v>
      </c>
      <c r="Z471" s="86">
        <f>MSY!D512</f>
        <v>1.1607327507840082</v>
      </c>
      <c r="AA471" s="86">
        <f>MSY!E512</f>
        <v>-1.3260050567286859E-2</v>
      </c>
      <c r="AB471" s="86">
        <f>MSY!F512</f>
        <v>-1.5391374970501925E-2</v>
      </c>
      <c r="AC471" s="86">
        <f>MSY!G512</f>
        <v>0</v>
      </c>
      <c r="AD471" s="24">
        <f t="shared" si="29"/>
        <v>0.26574491336321526</v>
      </c>
      <c r="AE471" s="24">
        <f t="shared" si="30"/>
        <v>0.21574491336321525</v>
      </c>
      <c r="AH471">
        <f t="shared" si="28"/>
        <v>4.68</v>
      </c>
      <c r="AI471">
        <f t="shared" si="31"/>
        <v>-1.5391374970501925E-2</v>
      </c>
    </row>
    <row r="472" spans="23:35" x14ac:dyDescent="0.3">
      <c r="W472" s="86">
        <f>MSY!A513</f>
        <v>4.6900000000000004</v>
      </c>
      <c r="X472" s="86">
        <f>MSY!B513</f>
        <v>0.13415518466601295</v>
      </c>
      <c r="Y472" s="86">
        <f>MSY!C513</f>
        <v>0.7716715289875492</v>
      </c>
      <c r="Z472" s="86">
        <f>MSY!D513</f>
        <v>1.159869025674982</v>
      </c>
      <c r="AA472" s="86">
        <f>MSY!E513</f>
        <v>-1.6949356288143046E-2</v>
      </c>
      <c r="AB472" s="86">
        <f>MSY!F513</f>
        <v>-1.9659033363746602E-2</v>
      </c>
      <c r="AC472" s="86">
        <f>MSY!G513</f>
        <v>0</v>
      </c>
      <c r="AD472" s="24">
        <f t="shared" si="29"/>
        <v>0.26584481533398707</v>
      </c>
      <c r="AE472" s="24">
        <f t="shared" si="30"/>
        <v>0.21584481533398703</v>
      </c>
      <c r="AH472">
        <f t="shared" si="28"/>
        <v>4.6900000000000004</v>
      </c>
      <c r="AI472">
        <f t="shared" si="31"/>
        <v>-1.9659033363746602E-2</v>
      </c>
    </row>
    <row r="473" spans="23:35" x14ac:dyDescent="0.3">
      <c r="W473" s="86">
        <f>MSY!A514</f>
        <v>4.7</v>
      </c>
      <c r="X473" s="86">
        <f>MSY!B514</f>
        <v>0.13405560526872184</v>
      </c>
      <c r="Y473" s="86">
        <f>MSY!C514</f>
        <v>0.77161823066182089</v>
      </c>
      <c r="Z473" s="86">
        <f>MSY!D514</f>
        <v>1.1590080894480232</v>
      </c>
      <c r="AA473" s="86">
        <f>MSY!E514</f>
        <v>-2.0632221752552159E-2</v>
      </c>
      <c r="AB473" s="86">
        <f>MSY!F514</f>
        <v>-2.3912911914493424E-2</v>
      </c>
      <c r="AC473" s="86">
        <f>MSY!G514</f>
        <v>0</v>
      </c>
      <c r="AD473" s="24">
        <f t="shared" si="29"/>
        <v>0.26594439473127818</v>
      </c>
      <c r="AE473" s="24">
        <f t="shared" si="30"/>
        <v>0.21594439473127813</v>
      </c>
      <c r="AH473">
        <f t="shared" si="28"/>
        <v>4.7</v>
      </c>
      <c r="AI473">
        <f t="shared" si="31"/>
        <v>-2.3912911914493424E-2</v>
      </c>
    </row>
    <row r="474" spans="23:35" x14ac:dyDescent="0.3">
      <c r="W474" s="86">
        <f>MSY!A515</f>
        <v>4.71</v>
      </c>
      <c r="X474" s="86">
        <f>MSY!B515</f>
        <v>0.13395634670161788</v>
      </c>
      <c r="Y474" s="86">
        <f>MSY!C515</f>
        <v>0.77156501597214133</v>
      </c>
      <c r="Z474" s="86">
        <f>MSY!D515</f>
        <v>1.1581499270310924</v>
      </c>
      <c r="AA474" s="86">
        <f>MSY!E515</f>
        <v>-2.4308670610317797E-2</v>
      </c>
      <c r="AB474" s="86">
        <f>MSY!F515</f>
        <v>-2.815308509356242E-2</v>
      </c>
      <c r="AC474" s="86">
        <f>MSY!G515</f>
        <v>0</v>
      </c>
      <c r="AD474" s="24">
        <f t="shared" si="29"/>
        <v>0.26604365329838214</v>
      </c>
      <c r="AE474" s="24">
        <f t="shared" si="30"/>
        <v>0.2160436532983821</v>
      </c>
      <c r="AH474">
        <f t="shared" si="28"/>
        <v>4.71</v>
      </c>
      <c r="AI474">
        <f t="shared" si="31"/>
        <v>-2.815308509356242E-2</v>
      </c>
    </row>
    <row r="475" spans="23:35" x14ac:dyDescent="0.3">
      <c r="W475" s="86">
        <f>MSY!A516</f>
        <v>4.72</v>
      </c>
      <c r="X475" s="86">
        <f>MSY!B516</f>
        <v>0.13385740723444584</v>
      </c>
      <c r="Y475" s="86">
        <f>MSY!C516</f>
        <v>0.77151188477826427</v>
      </c>
      <c r="Z475" s="86">
        <f>MSY!D516</f>
        <v>1.1572945234648766</v>
      </c>
      <c r="AA475" s="86">
        <f>MSY!E516</f>
        <v>-2.797872638146455E-2</v>
      </c>
      <c r="AB475" s="86">
        <f>MSY!F516</f>
        <v>-3.2379626814791188E-2</v>
      </c>
      <c r="AC475" s="86">
        <f>MSY!G516</f>
        <v>0</v>
      </c>
      <c r="AD475" s="24">
        <f t="shared" si="29"/>
        <v>0.26614259276555419</v>
      </c>
      <c r="AE475" s="24">
        <f t="shared" si="30"/>
        <v>0.21614259276555414</v>
      </c>
      <c r="AH475">
        <f t="shared" si="28"/>
        <v>4.72</v>
      </c>
      <c r="AI475">
        <f t="shared" si="31"/>
        <v>-3.2379626814791188E-2</v>
      </c>
    </row>
    <row r="476" spans="23:35" x14ac:dyDescent="0.3">
      <c r="W476" s="86">
        <f>MSY!A517</f>
        <v>4.7300000000000004</v>
      </c>
      <c r="X476" s="86">
        <f>MSY!B517</f>
        <v>0.13375878514985981</v>
      </c>
      <c r="Y476" s="86">
        <f>MSY!C517</f>
        <v>0.77145883693823603</v>
      </c>
      <c r="Z476" s="86">
        <f>MSY!D517</f>
        <v>1.1564418639016729</v>
      </c>
      <c r="AA476" s="86">
        <f>MSY!E517</f>
        <v>-3.1642412457375042E-2</v>
      </c>
      <c r="AB476" s="86">
        <f>MSY!F517</f>
        <v>-3.6592610440552308E-2</v>
      </c>
      <c r="AC476" s="86">
        <f>MSY!G517</f>
        <v>0</v>
      </c>
      <c r="AD476" s="24">
        <f t="shared" si="29"/>
        <v>0.26624121485014018</v>
      </c>
      <c r="AE476" s="24">
        <f t="shared" si="30"/>
        <v>0.21624121485014017</v>
      </c>
      <c r="AH476">
        <f t="shared" si="28"/>
        <v>4.7300000000000004</v>
      </c>
      <c r="AI476">
        <f t="shared" si="31"/>
        <v>-3.6592610440552308E-2</v>
      </c>
    </row>
    <row r="477" spans="23:35" x14ac:dyDescent="0.3">
      <c r="W477" s="86">
        <f>MSY!A518</f>
        <v>4.74</v>
      </c>
      <c r="X477" s="86">
        <f>MSY!B518</f>
        <v>0.13366047874329554</v>
      </c>
      <c r="Y477" s="86">
        <f>MSY!C518</f>
        <v>0.77140587230842672</v>
      </c>
      <c r="Z477" s="86">
        <f>MSY!D518</f>
        <v>1.155591933604285</v>
      </c>
      <c r="AA477" s="86">
        <f>MSY!E518</f>
        <v>-3.5299752101918075E-2</v>
      </c>
      <c r="AB477" s="86">
        <f>MSY!F518</f>
        <v>-4.0792108787207432E-2</v>
      </c>
      <c r="AC477" s="86">
        <f>MSY!G518</f>
        <v>0</v>
      </c>
      <c r="AD477" s="24">
        <f t="shared" si="29"/>
        <v>0.26633952125670446</v>
      </c>
      <c r="AE477" s="24">
        <f t="shared" si="30"/>
        <v>0.21633952125670444</v>
      </c>
      <c r="AH477">
        <f t="shared" si="28"/>
        <v>4.74</v>
      </c>
      <c r="AI477">
        <f t="shared" si="31"/>
        <v>-4.0792108787207432E-2</v>
      </c>
    </row>
    <row r="478" spans="23:35" x14ac:dyDescent="0.3">
      <c r="W478" s="86">
        <f>MSY!A519</f>
        <v>4.75</v>
      </c>
      <c r="X478" s="86">
        <f>MSY!B519</f>
        <v>0.1335624863228449</v>
      </c>
      <c r="Y478" s="86">
        <f>MSY!C519</f>
        <v>0.77135299074356511</v>
      </c>
      <c r="Z478" s="86">
        <f>MSY!D519</f>
        <v>1.1547447179449382</v>
      </c>
      <c r="AA478" s="86">
        <f>MSY!E519</f>
        <v>-3.8950768452539697E-2</v>
      </c>
      <c r="AB478" s="86">
        <f>MSY!F519</f>
        <v>-4.4978194130466553E-2</v>
      </c>
      <c r="AC478" s="86">
        <f>MSY!G519</f>
        <v>0</v>
      </c>
      <c r="AD478" s="24">
        <f t="shared" si="29"/>
        <v>0.26643751367715512</v>
      </c>
      <c r="AE478" s="24">
        <f t="shared" si="30"/>
        <v>0.21643751367715508</v>
      </c>
      <c r="AH478">
        <f t="shared" si="28"/>
        <v>4.75</v>
      </c>
      <c r="AI478">
        <f t="shared" si="31"/>
        <v>-4.4978194130466553E-2</v>
      </c>
    </row>
    <row r="479" spans="23:35" x14ac:dyDescent="0.3">
      <c r="W479" s="86">
        <f>MSY!A520</f>
        <v>4.76</v>
      </c>
      <c r="X479" s="86">
        <f>MSY!B520</f>
        <v>0.13346480620913079</v>
      </c>
      <c r="Y479" s="86">
        <f>MSY!C520</f>
        <v>0.77130019209677059</v>
      </c>
      <c r="Z479" s="86">
        <f>MSY!D520</f>
        <v>1.1539002024041973</v>
      </c>
      <c r="AA479" s="86">
        <f>MSY!E520</f>
        <v>-4.2595484521388172E-2</v>
      </c>
      <c r="AB479" s="86">
        <f>MSY!F520</f>
        <v>-4.9150938210734664E-2</v>
      </c>
      <c r="AC479" s="86">
        <f>MSY!G520</f>
        <v>0</v>
      </c>
      <c r="AD479" s="24">
        <f t="shared" si="29"/>
        <v>0.26653519379086921</v>
      </c>
      <c r="AE479" s="24">
        <f t="shared" si="30"/>
        <v>0.21653519379086919</v>
      </c>
      <c r="AH479">
        <f t="shared" si="28"/>
        <v>4.76</v>
      </c>
      <c r="AI479">
        <f t="shared" si="31"/>
        <v>-4.9150938210734664E-2</v>
      </c>
    </row>
    <row r="480" spans="23:35" x14ac:dyDescent="0.3">
      <c r="W480" s="86">
        <f>MSY!A521</f>
        <v>4.7699999999999996</v>
      </c>
      <c r="X480" s="86">
        <f>MSY!B521</f>
        <v>0.13336743673518478</v>
      </c>
      <c r="Y480" s="86">
        <f>MSY!C521</f>
        <v>0.77124747621958267</v>
      </c>
      <c r="Z480" s="86">
        <f>MSY!D521</f>
        <v>1.1530583725699095</v>
      </c>
      <c r="AA480" s="86">
        <f>MSY!E521</f>
        <v>-4.6233923196376307E-2</v>
      </c>
      <c r="AB480" s="86">
        <f>MSY!F521</f>
        <v>-5.3310412238335859E-2</v>
      </c>
      <c r="AC480" s="86">
        <f>MSY!G521</f>
        <v>0</v>
      </c>
      <c r="AD480" s="24">
        <f t="shared" si="29"/>
        <v>0.26663256326481521</v>
      </c>
      <c r="AE480" s="24">
        <f t="shared" si="30"/>
        <v>0.2166325632648152</v>
      </c>
      <c r="AH480">
        <f t="shared" si="28"/>
        <v>4.7699999999999996</v>
      </c>
      <c r="AI480">
        <f t="shared" si="31"/>
        <v>-5.3310412238335859E-2</v>
      </c>
    </row>
    <row r="481" spans="23:35" x14ac:dyDescent="0.3">
      <c r="W481" s="86">
        <f>MSY!A522</f>
        <v>4.78</v>
      </c>
      <c r="X481" s="86">
        <f>MSY!B522</f>
        <v>0.13327037624632532</v>
      </c>
      <c r="Y481" s="86">
        <f>MSY!C522</f>
        <v>0.77119484296199581</v>
      </c>
      <c r="Z481" s="86">
        <f>MSY!D522</f>
        <v>1.1522192141361507</v>
      </c>
      <c r="AA481" s="86">
        <f>MSY!E522</f>
        <v>-4.9866107242271938E-2</v>
      </c>
      <c r="AB481" s="86">
        <f>MSY!F522</f>
        <v>-5.7456686898719592E-2</v>
      </c>
      <c r="AC481" s="86">
        <f>MSY!G522</f>
        <v>0</v>
      </c>
      <c r="AD481" s="24">
        <f t="shared" si="29"/>
        <v>0.26672962375367471</v>
      </c>
      <c r="AE481" s="24">
        <f t="shared" si="30"/>
        <v>0.21672962375367466</v>
      </c>
      <c r="AH481">
        <f t="shared" si="28"/>
        <v>4.78</v>
      </c>
      <c r="AI481">
        <f t="shared" si="31"/>
        <v>-5.7456686898719592E-2</v>
      </c>
    </row>
    <row r="482" spans="23:35" x14ac:dyDescent="0.3">
      <c r="W482" s="86">
        <f>MSY!A523</f>
        <v>4.79</v>
      </c>
      <c r="X482" s="86">
        <f>MSY!B523</f>
        <v>0.13317362310003766</v>
      </c>
      <c r="Y482" s="86">
        <f>MSY!C523</f>
        <v>0.7711422921724872</v>
      </c>
      <c r="Z482" s="86">
        <f>MSY!D523</f>
        <v>1.1513827129021879</v>
      </c>
      <c r="AA482" s="86">
        <f>MSY!E523</f>
        <v>-5.3492059301760909E-2</v>
      </c>
      <c r="AB482" s="86">
        <f>MSY!F523</f>
        <v>-6.1589832357586194E-2</v>
      </c>
      <c r="AC482" s="86">
        <f>MSY!G523</f>
        <v>0</v>
      </c>
      <c r="AD482" s="24">
        <f t="shared" si="29"/>
        <v>0.26682637689996236</v>
      </c>
      <c r="AE482" s="24">
        <f t="shared" si="30"/>
        <v>0.21682637689996231</v>
      </c>
      <c r="AH482">
        <f t="shared" si="28"/>
        <v>4.79</v>
      </c>
      <c r="AI482">
        <f t="shared" si="31"/>
        <v>-6.1589832357586194E-2</v>
      </c>
    </row>
    <row r="483" spans="23:35" x14ac:dyDescent="0.3">
      <c r="W483" s="86">
        <f>MSY!A524</f>
        <v>4.8</v>
      </c>
      <c r="X483" s="86">
        <f>MSY!B524</f>
        <v>0.13307717566585572</v>
      </c>
      <c r="Y483" s="86">
        <f>MSY!C524</f>
        <v>0.77108982369804935</v>
      </c>
      <c r="Z483" s="86">
        <f>MSY!D524</f>
        <v>1.1505488547714569</v>
      </c>
      <c r="AA483" s="86">
        <f>MSY!E524</f>
        <v>-5.7111801896488394E-2</v>
      </c>
      <c r="AB483" s="86">
        <f>MSY!F524</f>
        <v>-6.5709918265939041E-2</v>
      </c>
      <c r="AC483" s="86">
        <f>MSY!G524</f>
        <v>0</v>
      </c>
      <c r="AD483" s="24">
        <f t="shared" si="29"/>
        <v>0.26692282433414427</v>
      </c>
      <c r="AE483" s="24">
        <f t="shared" si="30"/>
        <v>0.21692282433414425</v>
      </c>
      <c r="AH483">
        <f t="shared" si="28"/>
        <v>4.8</v>
      </c>
      <c r="AI483">
        <f t="shared" si="31"/>
        <v>-6.5709918265939041E-2</v>
      </c>
    </row>
    <row r="484" spans="23:35" x14ac:dyDescent="0.3">
      <c r="W484" s="86">
        <f>MSY!A525</f>
        <v>4.8099999999999996</v>
      </c>
      <c r="X484" s="86">
        <f>MSY!B525</f>
        <v>0.13298103232524433</v>
      </c>
      <c r="Y484" s="86">
        <f>MSY!C525</f>
        <v>0.77103743738421882</v>
      </c>
      <c r="Z484" s="86">
        <f>MSY!D525</f>
        <v>1.1497176257505457</v>
      </c>
      <c r="AA484" s="86">
        <f>MSY!E525</f>
        <v>-6.0725357428115495E-2</v>
      </c>
      <c r="AB484" s="86">
        <f>MSY!F525</f>
        <v>-6.9817013765106212E-2</v>
      </c>
      <c r="AC484" s="86">
        <f>MSY!G525</f>
        <v>0</v>
      </c>
      <c r="AD484" s="24">
        <f t="shared" si="29"/>
        <v>0.26701896767475569</v>
      </c>
      <c r="AE484" s="24">
        <f t="shared" si="30"/>
        <v>0.21701896767475565</v>
      </c>
      <c r="AH484">
        <f t="shared" si="28"/>
        <v>4.8099999999999996</v>
      </c>
      <c r="AI484">
        <f t="shared" si="31"/>
        <v>-6.9817013765106212E-2</v>
      </c>
    </row>
    <row r="485" spans="23:35" x14ac:dyDescent="0.3">
      <c r="W485" s="86">
        <f>MSY!A526</f>
        <v>4.82</v>
      </c>
      <c r="X485" s="86">
        <f>MSY!B526</f>
        <v>0.13288519147148412</v>
      </c>
      <c r="Y485" s="86">
        <f>MSY!C526</f>
        <v>0.77098513307510597</v>
      </c>
      <c r="Z485" s="86">
        <f>MSY!D526</f>
        <v>1.1488890119481985</v>
      </c>
      <c r="AA485" s="86">
        <f>MSY!E526</f>
        <v>-6.4332748179333113E-2</v>
      </c>
      <c r="AB485" s="86">
        <f>MSY!F526</f>
        <v>-7.391118749166628E-2</v>
      </c>
      <c r="AC485" s="86">
        <f>MSY!G526</f>
        <v>0</v>
      </c>
      <c r="AD485" s="24">
        <f t="shared" si="29"/>
        <v>0.26711480852851588</v>
      </c>
      <c r="AE485" s="24">
        <f t="shared" si="30"/>
        <v>0.21711480852851586</v>
      </c>
      <c r="AH485">
        <f t="shared" si="28"/>
        <v>4.82</v>
      </c>
      <c r="AI485">
        <f t="shared" si="31"/>
        <v>-7.391118749166628E-2</v>
      </c>
    </row>
    <row r="486" spans="23:35" x14ac:dyDescent="0.3">
      <c r="W486" s="86">
        <f>MSY!A527</f>
        <v>4.83</v>
      </c>
      <c r="X486" s="86">
        <f>MSY!B527</f>
        <v>0.1327896515095566</v>
      </c>
      <c r="Y486" s="86">
        <f>MSY!C527</f>
        <v>0.77093291061342384</v>
      </c>
      <c r="Z486" s="86">
        <f>MSY!D527</f>
        <v>1.1480629995743215</v>
      </c>
      <c r="AA486" s="86">
        <f>MSY!E527</f>
        <v>-6.7933996314899353E-2</v>
      </c>
      <c r="AB486" s="86">
        <f>MSY!F527</f>
        <v>-7.7992507582354251E-2</v>
      </c>
      <c r="AC486" s="86">
        <f>MSY!G527</f>
        <v>0</v>
      </c>
      <c r="AD486" s="24">
        <f t="shared" si="29"/>
        <v>0.26721034849044345</v>
      </c>
      <c r="AE486" s="24">
        <f t="shared" si="30"/>
        <v>0.21721034849044338</v>
      </c>
      <c r="AH486">
        <f t="shared" si="28"/>
        <v>4.83</v>
      </c>
      <c r="AI486">
        <f t="shared" si="31"/>
        <v>-7.7992507582354251E-2</v>
      </c>
    </row>
    <row r="487" spans="23:35" x14ac:dyDescent="0.3">
      <c r="W487" s="86">
        <f>MSY!A528</f>
        <v>4.84</v>
      </c>
      <c r="X487" s="86">
        <f>MSY!B528</f>
        <v>0.13269441085603145</v>
      </c>
      <c r="Y487" s="86">
        <f>MSY!C528</f>
        <v>0.77088076984051612</v>
      </c>
      <c r="Z487" s="86">
        <f>MSY!D528</f>
        <v>1.1472395749390092</v>
      </c>
      <c r="AA487" s="86">
        <f>MSY!E528</f>
        <v>-7.1529123882635576E-2</v>
      </c>
      <c r="AB487" s="86">
        <f>MSY!F528</f>
        <v>-8.2061041678874569E-2</v>
      </c>
      <c r="AC487" s="86">
        <f>MSY!G528</f>
        <v>0</v>
      </c>
      <c r="AD487" s="24">
        <f t="shared" si="29"/>
        <v>0.26730558914396857</v>
      </c>
      <c r="AE487" s="24">
        <f t="shared" si="30"/>
        <v>0.21730558914396852</v>
      </c>
      <c r="AH487">
        <f t="shared" si="28"/>
        <v>4.84</v>
      </c>
      <c r="AI487">
        <f t="shared" si="31"/>
        <v>-8.2061041678874569E-2</v>
      </c>
    </row>
    <row r="488" spans="23:35" x14ac:dyDescent="0.3">
      <c r="W488" s="86">
        <f>MSY!A529</f>
        <v>4.8499999999999996</v>
      </c>
      <c r="X488" s="86">
        <f>MSY!B529</f>
        <v>0.13259946793895483</v>
      </c>
      <c r="Y488" s="86">
        <f>MSY!C529</f>
        <v>0.7708287105963868</v>
      </c>
      <c r="Z488" s="86">
        <f>MSY!D529</f>
        <v>1.1464187244515787</v>
      </c>
      <c r="AA488" s="86">
        <f>MSY!E529</f>
        <v>-7.5118152814430614E-2</v>
      </c>
      <c r="AB488" s="86">
        <f>MSY!F529</f>
        <v>-8.6116856932678301E-2</v>
      </c>
      <c r="AC488" s="86">
        <f>MSY!G529</f>
        <v>0</v>
      </c>
      <c r="AD488" s="24">
        <f t="shared" si="29"/>
        <v>0.26740053206104519</v>
      </c>
      <c r="AE488" s="24">
        <f t="shared" si="30"/>
        <v>0.21740053206104515</v>
      </c>
      <c r="AH488">
        <f t="shared" si="28"/>
        <v>4.8499999999999996</v>
      </c>
      <c r="AI488">
        <f t="shared" si="31"/>
        <v>-8.6116856932678301E-2</v>
      </c>
    </row>
    <row r="489" spans="23:35" x14ac:dyDescent="0.3">
      <c r="W489" s="86">
        <f>MSY!A530</f>
        <v>4.8600000000000003</v>
      </c>
      <c r="X489" s="86">
        <f>MSY!B530</f>
        <v>0.1325048211977389</v>
      </c>
      <c r="Y489" s="86">
        <f>MSY!C530</f>
        <v>0.77077673271972713</v>
      </c>
      <c r="Z489" s="86">
        <f>MSY!D530</f>
        <v>1.1456004346196149</v>
      </c>
      <c r="AA489" s="86">
        <f>MSY!E530</f>
        <v>-7.870110492722332E-2</v>
      </c>
      <c r="AB489" s="86">
        <f>MSY!F530</f>
        <v>-9.0160020009670952E-2</v>
      </c>
      <c r="AC489" s="86">
        <f>MSY!G530</f>
        <v>0</v>
      </c>
      <c r="AD489" s="24">
        <f t="shared" si="29"/>
        <v>0.26749517880226115</v>
      </c>
      <c r="AE489" s="24">
        <f t="shared" si="30"/>
        <v>0.21749517880226107</v>
      </c>
      <c r="AH489">
        <f t="shared" si="28"/>
        <v>4.8600000000000003</v>
      </c>
      <c r="AI489">
        <f t="shared" si="31"/>
        <v>-9.0160020009670952E-2</v>
      </c>
    </row>
    <row r="490" spans="23:35" x14ac:dyDescent="0.3">
      <c r="W490" s="86">
        <f>MSY!A531</f>
        <v>4.87</v>
      </c>
      <c r="X490" s="86">
        <f>MSY!B531</f>
        <v>0.13241046908305287</v>
      </c>
      <c r="Y490" s="86">
        <f>MSY!C531</f>
        <v>0.77072483604794217</v>
      </c>
      <c r="Z490" s="86">
        <f>MSY!D531</f>
        <v>1.1447846920480274</v>
      </c>
      <c r="AA490" s="86">
        <f>MSY!E531</f>
        <v>-8.227800192399029E-2</v>
      </c>
      <c r="AB490" s="86">
        <f>MSY!F531</f>
        <v>-9.4190597094882228E-2</v>
      </c>
      <c r="AC490" s="86">
        <f>MSY!G531</f>
        <v>0</v>
      </c>
      <c r="AD490" s="24">
        <f t="shared" si="29"/>
        <v>0.26758953091694715</v>
      </c>
      <c r="AE490" s="24">
        <f t="shared" si="30"/>
        <v>0.2175895309169471</v>
      </c>
      <c r="AH490">
        <f t="shared" si="28"/>
        <v>4.87</v>
      </c>
      <c r="AI490">
        <f t="shared" si="31"/>
        <v>-9.4190597094882228E-2</v>
      </c>
    </row>
    <row r="491" spans="23:35" x14ac:dyDescent="0.3">
      <c r="W491" s="86">
        <f>MSY!A532</f>
        <v>4.88</v>
      </c>
      <c r="X491" s="86">
        <f>MSY!B532</f>
        <v>0.13231641005671546</v>
      </c>
      <c r="Y491" s="86">
        <f>MSY!C532</f>
        <v>0.77067302041717833</v>
      </c>
      <c r="Z491" s="86">
        <f>MSY!D532</f>
        <v>1.1439714834381214</v>
      </c>
      <c r="AA491" s="86">
        <f>MSY!E532</f>
        <v>-8.5848865394693871E-2</v>
      </c>
      <c r="AB491" s="86">
        <f>MSY!F532</f>
        <v>-9.8208653897047554E-2</v>
      </c>
      <c r="AC491" s="86">
        <f>MSY!G532</f>
        <v>0</v>
      </c>
      <c r="AD491" s="24">
        <f t="shared" si="29"/>
        <v>0.26768358994328456</v>
      </c>
      <c r="AE491" s="24">
        <f t="shared" si="30"/>
        <v>0.21768358994328452</v>
      </c>
      <c r="AH491">
        <f t="shared" si="28"/>
        <v>4.88</v>
      </c>
      <c r="AI491">
        <f t="shared" si="31"/>
        <v>-9.8208653897047554E-2</v>
      </c>
    </row>
    <row r="492" spans="23:35" x14ac:dyDescent="0.3">
      <c r="W492" s="86">
        <f>MSY!A533</f>
        <v>4.8899999999999997</v>
      </c>
      <c r="X492" s="86">
        <f>MSY!B533</f>
        <v>0.13222264259158775</v>
      </c>
      <c r="Y492" s="86">
        <f>MSY!C533</f>
        <v>0.77062128566235011</v>
      </c>
      <c r="Z492" s="86">
        <f>MSY!D533</f>
        <v>1.1431607955866721</v>
      </c>
      <c r="AA492" s="86">
        <f>MSY!E533</f>
        <v>-8.9413716817267355E-2</v>
      </c>
      <c r="AB492" s="86">
        <f>MSY!F533</f>
        <v>-0.10221425565318876</v>
      </c>
      <c r="AC492" s="86">
        <f>MSY!G533</f>
        <v>0</v>
      </c>
      <c r="AD492" s="24">
        <f t="shared" si="29"/>
        <v>0.26777735740841224</v>
      </c>
      <c r="AE492" s="24">
        <f t="shared" si="30"/>
        <v>0.21777735740841223</v>
      </c>
      <c r="AH492">
        <f t="shared" si="28"/>
        <v>4.8899999999999997</v>
      </c>
      <c r="AI492">
        <f t="shared" si="31"/>
        <v>-0.10221425565318876</v>
      </c>
    </row>
    <row r="493" spans="23:35" x14ac:dyDescent="0.3">
      <c r="W493" s="86">
        <f>MSY!A534</f>
        <v>4.9000000000000004</v>
      </c>
      <c r="X493" s="86">
        <f>MSY!B534</f>
        <v>0.13212916517146889</v>
      </c>
      <c r="Y493" s="86">
        <f>MSY!C534</f>
        <v>0.77056963161716541</v>
      </c>
      <c r="Z493" s="86">
        <f>MSY!D534</f>
        <v>1.1423526153850212</v>
      </c>
      <c r="AA493" s="86">
        <f>MSY!E534</f>
        <v>-9.2972577558531069E-2</v>
      </c>
      <c r="AB493" s="86">
        <f>MSY!F534</f>
        <v>-0.10620746713307469</v>
      </c>
      <c r="AC493" s="86">
        <f>MSY!G534</f>
        <v>0</v>
      </c>
      <c r="AD493" s="24">
        <f t="shared" si="29"/>
        <v>0.26787083482853113</v>
      </c>
      <c r="AE493" s="24">
        <f t="shared" si="30"/>
        <v>0.21787083482853109</v>
      </c>
      <c r="AH493">
        <f t="shared" si="28"/>
        <v>4.9000000000000004</v>
      </c>
      <c r="AI493">
        <f t="shared" si="31"/>
        <v>-0.10620746713307469</v>
      </c>
    </row>
    <row r="494" spans="23:35" x14ac:dyDescent="0.3">
      <c r="W494" s="86">
        <f>MSY!A535</f>
        <v>4.91</v>
      </c>
      <c r="X494" s="86">
        <f>MSY!B535</f>
        <v>0.13203597629099129</v>
      </c>
      <c r="Y494" s="86">
        <f>MSY!C535</f>
        <v>0.77051805811415175</v>
      </c>
      <c r="Z494" s="86">
        <f>MSY!D535</f>
        <v>1.1415469298181729</v>
      </c>
      <c r="AA494" s="86">
        <f>MSY!E535</f>
        <v>-9.6525468875151399E-2</v>
      </c>
      <c r="AB494" s="86">
        <f>MSY!F535</f>
        <v>-0.11018835264368869</v>
      </c>
      <c r="AC494" s="86">
        <f>MSY!G535</f>
        <v>0</v>
      </c>
      <c r="AD494" s="24">
        <f t="shared" si="29"/>
        <v>0.26796402370900874</v>
      </c>
      <c r="AE494" s="24">
        <f t="shared" si="30"/>
        <v>0.21796402370900869</v>
      </c>
      <c r="AH494">
        <f t="shared" si="28"/>
        <v>4.91</v>
      </c>
      <c r="AI494">
        <f t="shared" si="31"/>
        <v>-0.11018835264368869</v>
      </c>
    </row>
    <row r="495" spans="23:35" x14ac:dyDescent="0.3">
      <c r="W495" s="86">
        <f>MSY!A536</f>
        <v>4.92</v>
      </c>
      <c r="X495" s="86">
        <f>MSY!B536</f>
        <v>0.13194307445551837</v>
      </c>
      <c r="Y495" s="86">
        <f>MSY!C536</f>
        <v>0.77046656498468158</v>
      </c>
      <c r="Z495" s="86">
        <f>MSY!D536</f>
        <v>1.1407437259639077</v>
      </c>
      <c r="AA495" s="86">
        <f>MSY!E536</f>
        <v>-0.10007241191455682</v>
      </c>
      <c r="AB495" s="86">
        <f>MSY!F536</f>
        <v>-0.1141569760336065</v>
      </c>
      <c r="AC495" s="86">
        <f>MSY!G536</f>
        <v>0</v>
      </c>
      <c r="AD495" s="24">
        <f t="shared" si="29"/>
        <v>0.26805692554448168</v>
      </c>
      <c r="AE495" s="24">
        <f t="shared" si="30"/>
        <v>0.21805692554448161</v>
      </c>
      <c r="AH495">
        <f t="shared" si="28"/>
        <v>4.92</v>
      </c>
      <c r="AI495">
        <f t="shared" si="31"/>
        <v>-0.1141569760336065</v>
      </c>
    </row>
    <row r="496" spans="23:35" x14ac:dyDescent="0.3">
      <c r="W496" s="86">
        <f>MSY!A537</f>
        <v>4.93</v>
      </c>
      <c r="X496" s="86">
        <f>MSY!B537</f>
        <v>0.13185045818104257</v>
      </c>
      <c r="Y496" s="86">
        <f>MSY!C537</f>
        <v>0.77041515205899713</v>
      </c>
      <c r="Z496" s="86">
        <f>MSY!D537</f>
        <v>1.1399429909919025</v>
      </c>
      <c r="AA496" s="86">
        <f>MSY!E537</f>
        <v>-0.10361342771586445</v>
      </c>
      <c r="AB496" s="86">
        <f>MSY!F537</f>
        <v>-0.11811340069734581</v>
      </c>
      <c r="AC496" s="86">
        <f>MSY!G537</f>
        <v>0</v>
      </c>
      <c r="AD496" s="24">
        <f t="shared" si="29"/>
        <v>0.26814954181895745</v>
      </c>
      <c r="AE496" s="24">
        <f t="shared" si="30"/>
        <v>0.2181495418189574</v>
      </c>
      <c r="AH496">
        <f t="shared" si="28"/>
        <v>4.93</v>
      </c>
      <c r="AI496">
        <f t="shared" si="31"/>
        <v>-0.11811340069734581</v>
      </c>
    </row>
    <row r="497" spans="23:35" x14ac:dyDescent="0.3">
      <c r="W497" s="86">
        <f>MSY!A538</f>
        <v>4.9400000000000004</v>
      </c>
      <c r="X497" s="86">
        <f>MSY!B538</f>
        <v>0.13175812599408529</v>
      </c>
      <c r="Y497" s="86">
        <f>MSY!C538</f>
        <v>0.7703638191662342</v>
      </c>
      <c r="Z497" s="86">
        <f>MSY!D538</f>
        <v>1.1391447121628644</v>
      </c>
      <c r="AA497" s="86">
        <f>MSY!E538</f>
        <v>-0.10714853721077813</v>
      </c>
      <c r="AB497" s="86">
        <f>MSY!F538</f>
        <v>-0.12205768957964383</v>
      </c>
      <c r="AC497" s="86">
        <f>MSY!G538</f>
        <v>0</v>
      </c>
      <c r="AD497" s="24">
        <f t="shared" si="29"/>
        <v>0.2682418740059147</v>
      </c>
      <c r="AE497" s="24">
        <f t="shared" si="30"/>
        <v>0.21824187400591469</v>
      </c>
      <c r="AH497">
        <f t="shared" si="28"/>
        <v>4.9400000000000004</v>
      </c>
      <c r="AI497">
        <f t="shared" si="31"/>
        <v>-0.12205768957964383</v>
      </c>
    </row>
    <row r="498" spans="23:35" x14ac:dyDescent="0.3">
      <c r="W498" s="86">
        <f>MSY!A539</f>
        <v>4.95</v>
      </c>
      <c r="X498" s="86">
        <f>MSY!B539</f>
        <v>0.13166607643159758</v>
      </c>
      <c r="Y498" s="86">
        <f>MSY!C539</f>
        <v>0.77031256613444776</v>
      </c>
      <c r="Z498" s="86">
        <f>MSY!D539</f>
        <v>1.1383488768276724</v>
      </c>
      <c r="AA498" s="86">
        <f>MSY!E539</f>
        <v>-0.11067776122449013</v>
      </c>
      <c r="AB498" s="86">
        <f>MSY!F539</f>
        <v>-0.12598990517969966</v>
      </c>
      <c r="AC498" s="86">
        <f>MSY!G539</f>
        <v>0</v>
      </c>
      <c r="AD498" s="24">
        <f t="shared" si="29"/>
        <v>0.26833392356840247</v>
      </c>
      <c r="AE498" s="24">
        <f t="shared" si="30"/>
        <v>0.21833392356840239</v>
      </c>
      <c r="AH498">
        <f t="shared" si="28"/>
        <v>4.95</v>
      </c>
      <c r="AI498">
        <f t="shared" si="31"/>
        <v>-0.12598990517969966</v>
      </c>
    </row>
    <row r="499" spans="23:35" x14ac:dyDescent="0.3">
      <c r="W499" s="86">
        <f>MSY!A540</f>
        <v>4.96</v>
      </c>
      <c r="X499" s="86">
        <f>MSY!B540</f>
        <v>0.1315743080408619</v>
      </c>
      <c r="Y499" s="86">
        <f>MSY!C540</f>
        <v>0.77026139279063466</v>
      </c>
      <c r="Z499" s="86">
        <f>MSY!D540</f>
        <v>1.1375554724265278</v>
      </c>
      <c r="AA499" s="86">
        <f>MSY!E540</f>
        <v>-0.11420112047657667</v>
      </c>
      <c r="AB499" s="86">
        <f>MSY!F540</f>
        <v>-0.129910109555371</v>
      </c>
      <c r="AC499" s="86">
        <f>MSY!G540</f>
        <v>0</v>
      </c>
      <c r="AD499" s="24">
        <f t="shared" si="29"/>
        <v>0.26842569195913812</v>
      </c>
      <c r="AE499" s="24">
        <f t="shared" si="30"/>
        <v>0.21842569195913808</v>
      </c>
      <c r="AH499">
        <f t="shared" si="28"/>
        <v>4.96</v>
      </c>
      <c r="AI499">
        <f t="shared" si="31"/>
        <v>-0.129910109555371</v>
      </c>
    </row>
    <row r="500" spans="23:35" x14ac:dyDescent="0.3">
      <c r="W500" s="86">
        <f>MSY!A541</f>
        <v>4.97</v>
      </c>
      <c r="X500" s="86">
        <f>MSY!B541</f>
        <v>0.13148281937939552</v>
      </c>
      <c r="Y500" s="86">
        <f>MSY!C541</f>
        <v>0.77021029896075732</v>
      </c>
      <c r="Z500" s="86">
        <f>MSY!D541</f>
        <v>1.1367644864881201</v>
      </c>
      <c r="AA500" s="86">
        <f>MSY!E541</f>
        <v>-0.11771863558186124</v>
      </c>
      <c r="AB500" s="86">
        <f>MSY!F541</f>
        <v>-0.13381836432729663</v>
      </c>
      <c r="AC500" s="86">
        <f>MSY!G541</f>
        <v>0</v>
      </c>
      <c r="AD500" s="24">
        <f t="shared" si="29"/>
        <v>0.26851718062060448</v>
      </c>
      <c r="AE500" s="24">
        <f t="shared" si="30"/>
        <v>0.21851718062060446</v>
      </c>
      <c r="AH500">
        <f t="shared" si="28"/>
        <v>4.97</v>
      </c>
      <c r="AI500">
        <f t="shared" si="31"/>
        <v>-0.13381836432729663</v>
      </c>
    </row>
    <row r="501" spans="23:35" x14ac:dyDescent="0.3">
      <c r="W501" s="86">
        <f>MSY!A542</f>
        <v>4.9800000000000004</v>
      </c>
      <c r="X501" s="86">
        <f>MSY!B542</f>
        <v>0.1313916090148543</v>
      </c>
      <c r="Y501" s="86">
        <f>MSY!C542</f>
        <v>0.77015928446976722</v>
      </c>
      <c r="Z501" s="86">
        <f>MSY!D542</f>
        <v>1.1359759066287933</v>
      </c>
      <c r="AA501" s="86">
        <f>MSY!E542</f>
        <v>-0.12123032705130832</v>
      </c>
      <c r="AB501" s="86">
        <f>MSY!F542</f>
        <v>-0.1377147306830151</v>
      </c>
      <c r="AC501" s="86">
        <f>MSY!G542</f>
        <v>0</v>
      </c>
      <c r="AD501" s="24">
        <f t="shared" si="29"/>
        <v>0.26860839098514572</v>
      </c>
      <c r="AE501" s="24">
        <f t="shared" si="30"/>
        <v>0.21860839098514567</v>
      </c>
      <c r="AH501">
        <f t="shared" si="28"/>
        <v>4.9800000000000004</v>
      </c>
      <c r="AI501">
        <f t="shared" si="31"/>
        <v>-0.1377147306830151</v>
      </c>
    </row>
    <row r="502" spans="23:35" x14ac:dyDescent="0.3">
      <c r="W502" s="86">
        <f>MSY!A543</f>
        <v>4.99</v>
      </c>
      <c r="X502" s="86">
        <f>MSY!B543</f>
        <v>0.13130067552493829</v>
      </c>
      <c r="Y502" s="86">
        <f>MSY!C543</f>
        <v>0.77010834914162674</v>
      </c>
      <c r="Z502" s="86">
        <f>MSY!D543</f>
        <v>1.1351897205517312</v>
      </c>
      <c r="AA502" s="86">
        <f>MSY!E543</f>
        <v>-0.1247362152928681</v>
      </c>
      <c r="AB502" s="86">
        <f>MSY!F543</f>
        <v>-0.14159926938099152</v>
      </c>
      <c r="AC502" s="86">
        <f>MSY!G543</f>
        <v>0</v>
      </c>
      <c r="AD502" s="24">
        <f t="shared" si="29"/>
        <v>0.26869932447506173</v>
      </c>
      <c r="AE502" s="24">
        <f t="shared" si="30"/>
        <v>0.21869932447506168</v>
      </c>
      <c r="AH502">
        <f t="shared" si="28"/>
        <v>4.99</v>
      </c>
      <c r="AI502">
        <f t="shared" si="31"/>
        <v>-0.14159926938099152</v>
      </c>
    </row>
    <row r="503" spans="23:35" x14ac:dyDescent="0.3">
      <c r="W503" s="86">
        <f>MSY!A544</f>
        <v>5</v>
      </c>
      <c r="X503" s="86">
        <f>MSY!B544</f>
        <v>0.13121001749729819</v>
      </c>
      <c r="Y503" s="86">
        <f>MSY!C544</f>
        <v>0.77005749279933322</v>
      </c>
      <c r="Z503" s="86">
        <f>MSY!D544</f>
        <v>1.1344059160461482</v>
      </c>
      <c r="AA503" s="86">
        <f>MSY!E544</f>
        <v>-0.12823632061232496</v>
      </c>
      <c r="AB503" s="86">
        <f>MSY!F544</f>
        <v>-0.14547204075461204</v>
      </c>
      <c r="AC503" s="86">
        <f>MSY!G544</f>
        <v>0</v>
      </c>
      <c r="AD503" s="24">
        <f t="shared" si="29"/>
        <v>0.26878998250270181</v>
      </c>
      <c r="AE503" s="24">
        <f t="shared" si="30"/>
        <v>0.21878998250270179</v>
      </c>
      <c r="AH503">
        <f t="shared" si="28"/>
        <v>5</v>
      </c>
      <c r="AI503">
        <f t="shared" si="31"/>
        <v>-0.14547204075461204</v>
      </c>
    </row>
    <row r="504" spans="23:35" x14ac:dyDescent="0.3">
      <c r="W504" s="86">
        <f>MSY!A545</f>
        <v>10</v>
      </c>
      <c r="X504" s="86">
        <f>MSY!B545</f>
        <v>0.10443490769012664</v>
      </c>
      <c r="Y504" s="86">
        <f>MSY!C545</f>
        <v>0.75076172148830833</v>
      </c>
      <c r="Z504" s="86">
        <f>MSY!D545</f>
        <v>0.90291564154278503</v>
      </c>
      <c r="AA504" s="86">
        <f>MSY!E545</f>
        <v>-1.4278892206243408</v>
      </c>
      <c r="AB504" s="86">
        <f>MSY!F545</f>
        <v>-1.2892635116920539</v>
      </c>
      <c r="AC504" s="86">
        <f>MSY!G545</f>
        <v>0</v>
      </c>
      <c r="AD504" s="24">
        <f t="shared" si="29"/>
        <v>0.29556509230987338</v>
      </c>
      <c r="AE504" s="24">
        <f t="shared" si="30"/>
        <v>0.24556509230987333</v>
      </c>
      <c r="AH504">
        <f t="shared" si="28"/>
        <v>10</v>
      </c>
      <c r="AI504">
        <f t="shared" si="31"/>
        <v>-1.2892635116920539</v>
      </c>
    </row>
    <row r="505" spans="23:35" x14ac:dyDescent="0.3">
      <c r="W505" s="86">
        <f>MSY!A546</f>
        <v>20</v>
      </c>
      <c r="X505" s="86">
        <f>MSY!B546</f>
        <v>8.1398173687757411E-2</v>
      </c>
      <c r="Y505" s="86">
        <f>MSY!C546</f>
        <v>0.7218559281009348</v>
      </c>
      <c r="Z505" s="86">
        <f>MSY!D546</f>
        <v>0.70374634153711102</v>
      </c>
      <c r="AA505" s="86">
        <f>MSY!E546</f>
        <v>-3.2303646772452601</v>
      </c>
      <c r="AB505" s="86">
        <f>MSY!F546</f>
        <v>-2.2733573234420623</v>
      </c>
      <c r="AC505" s="86">
        <f>MSY!G546</f>
        <v>0</v>
      </c>
      <c r="AD505" s="24">
        <f t="shared" si="29"/>
        <v>0.3186018263122426</v>
      </c>
      <c r="AE505" s="24">
        <f t="shared" si="30"/>
        <v>0.26860182631224255</v>
      </c>
      <c r="AH505">
        <f t="shared" si="28"/>
        <v>20</v>
      </c>
      <c r="AI505">
        <f t="shared" si="31"/>
        <v>-2.2733573234420623</v>
      </c>
    </row>
    <row r="506" spans="23:35" x14ac:dyDescent="0.3">
      <c r="W506" s="86">
        <f>MSY!A547</f>
        <v>35</v>
      </c>
      <c r="X506" s="86">
        <f>MSY!B547</f>
        <v>6.3405413323626592E-2</v>
      </c>
      <c r="Y506" s="86">
        <f>MSY!C547</f>
        <v>0.69190472323922658</v>
      </c>
      <c r="Z506" s="86">
        <f>MSY!D547</f>
        <v>0.54818585772351081</v>
      </c>
      <c r="AA506" s="86">
        <f>MSY!E547</f>
        <v>-5.5491769874331318</v>
      </c>
      <c r="AB506" s="86">
        <f>MSY!F547</f>
        <v>-3.041980346515599</v>
      </c>
      <c r="AC506" s="86">
        <f>MSY!G547</f>
        <v>0</v>
      </c>
      <c r="AD506" s="24">
        <f t="shared" si="29"/>
        <v>0.33659458667637343</v>
      </c>
      <c r="AE506" s="24">
        <f t="shared" si="30"/>
        <v>0.28659458667637339</v>
      </c>
      <c r="AH506">
        <f t="shared" si="28"/>
        <v>35</v>
      </c>
      <c r="AI506">
        <f t="shared" si="31"/>
        <v>-3.041980346515599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phi0</vt:lpstr>
      <vt:lpstr>phiF SPR YPR</vt:lpstr>
      <vt:lpstr>SPR YPR all F</vt:lpstr>
      <vt:lpstr>Fx%SPR</vt:lpstr>
      <vt:lpstr>SSB at Fx%SPR</vt:lpstr>
      <vt:lpstr>SRR and Yield</vt:lpstr>
      <vt:lpstr>MSY</vt:lpstr>
      <vt:lpstr>Plots</vt:lpstr>
      <vt:lpstr>SR Plots with Ref Pts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Tim</dc:creator>
  <cp:lastModifiedBy>Barrett, Tim</cp:lastModifiedBy>
  <dcterms:created xsi:type="dcterms:W3CDTF">2021-10-13T15:01:06Z</dcterms:created>
  <dcterms:modified xsi:type="dcterms:W3CDTF">2021-11-01T00:41:26Z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2021-10-13T19:32:16Z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e8465786-1aa6-4c57-beca-000083d6e696</vt:lpwstr>
  </property>
</Properties>
</file>